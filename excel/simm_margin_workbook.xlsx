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README" sheetId="1" state="visible" r:id="rId3"/>
    <sheet name="Inputs" sheetId="2" state="visible" r:id="rId4"/>
    <sheet name="Parameters" sheetId="3" state="visible" r:id="rId5"/>
    <sheet name="Parameters_Reg" sheetId="4" state="visible" r:id="rId6"/>
    <sheet name="Portfolio" sheetId="5" state="visible" r:id="rId7"/>
    <sheet name="Sensitivities" sheetId="6" state="visible" r:id="rId8"/>
    <sheet name="SIMM_Delta" sheetId="7" state="visible" r:id="rId9"/>
    <sheet name="SIMM_Vega" sheetId="8" state="visible" r:id="rId10"/>
    <sheet name="SIMM_Curvature" sheetId="9" state="visible" r:id="rId11"/>
    <sheet name="SIMM_Total" sheetId="10" state="visible" r:id="rId12"/>
    <sheet name="Schedule_IM" sheetId="11" state="visible" r:id="rId13"/>
    <sheet name="Backtest" sheetId="12" state="visible" r:id="rId14"/>
    <sheet name="Attribution" sheetId="13" state="visible" r:id="rId15"/>
    <sheet name="Checks" sheetId="14" state="visible" r:id="rId16"/>
    <sheet name="Conclusions" sheetId="15" state="visible" r:id="rId17"/>
    <sheet name="Python_Ref" sheetId="16" state="visible" r:id="rId18"/>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<sst xmlns="http://schemas.openxmlformats.org/spreadsheetml/2006/main" count="16066" uniqueCount="2650">
  <si>
    <t xml:space="preserve">SIMM-style initial margin workbook (RatesFX: IR and FX delta, vega, curvature) with schedule IM, backtests and attribution.</t>
  </si>
  <si>
    <t xml:space="preserve">ALL DATA IS SYNTHETIC. This is a SIMM-style implementation for learning and validation practice. It is not ISDA licensed, not ISDA certified and makes no compliance claim. ISDA SIMM is a trademark of ISDA.</t>
  </si>
  <si>
    <t xml:space="preserve">How to use: change a value on Inputs (parameter set, exception probability, Basel probabilities) or a typed CRIF amount on Sensitivities, a notional or PV on Portfolio, or a loss or forecast on Backtest, and all live sheets recalculate. Checks!B3 equals 1 when every live cell matches the Python reference within tolerance (the references on Python_Ref belong to the shipped inputs, so Checks will show 0 once you change an input; that is expected).</t>
  </si>
  <si>
    <t xml:space="preserve">Sheets: Inputs and Parameters (typed, with provenance), Portfolio, Sensitivities (typed CRIF plus helper columns and closed-form Bachelier and Garman-Kohlhagen checks), SIMM_Delta, SIMM_Vega, SIMM_Curvature, SIMM_Total, Schedule_IM, Backtest, Attribution (live formulas), Checks, Conclusions (static text), Python_Ref (typed Python results), Parameters_Reg (typed schedule rates, weights and BCBS 22 Table 2).</t>
  </si>
  <si>
    <t xml:space="preserve">What is replicated in cell formulas: net sensitivities, risk weights by lookup, concentration risk CR, weighted sensitivities, 12x12 tenor correlation grids, K and S per currency, inter-currency aggregation with gamma and g_bc, FX sigma_SIMM, FX delta and vega with concentration scaling, curvature scale factors, theta, lambda, HVR scale, risk class and RatesFX aggregation, schedule IM, Kupiec, Christoffersen, Basel zone, Shapley and bridge.</t>
  </si>
  <si>
    <t xml:space="preserve">LIMITS, stated plainly. (1) The CRIF is typed from Python: trade pricing and the bump and reprice sensitivities are not replicated in Excel; only one swaption (Bachelier) and one FX option (Garman-Kohlhagen) are repriced in closed form as spot checks. (2) The sample CRIF has no inflation or cross-currency basis rows and a single OIS sub-curve, so those SIMM branches (inflation risk weight, basis correlation of minus 1 percent, sub-curve phi) are not built into the formulas. (3) The 16 subset IMs of the attribution are typed from Python because each needs a full SIMM run on a different market or portfolio. The rates, FX and vol split of the market step is typed for the same reason. (4) The Backtest series are typed because the VaR models need the full simulated history. (5) The workbook was recalculated and verified in LibreOffice only. It uses functions that Excel 2016 also has, but it was not opened in Excel.</t>
  </si>
  <si>
    <t xml:space="preserve">Shipped inputs: parameter set 2.8+2512, calculation currency USD, p = 0.010000000000000009.</t>
  </si>
  <si>
    <t xml:space="preserve">Inputs (typed). Change a value here and the live sheets recalculate.</t>
  </si>
  <si>
    <t xml:space="preserve">SIMM parameter set</t>
  </si>
  <si>
    <t xml:space="preserve">2.8+2512</t>
  </si>
  <si>
    <t xml:space="preserve">Calculation currency</t>
  </si>
  <si>
    <t xml:space="preserve">USD</t>
  </si>
  <si>
    <t xml:space="preserve">Exception probability p (1 minus confidence)</t>
  </si>
  <si>
    <t xml:space="preserve">Basel yellow zone cumulative probability</t>
  </si>
  <si>
    <t xml:space="preserve">Basel red zone cumulative probability</t>
  </si>
  <si>
    <t xml:space="preserve">USD per million (thresholds are in USD mm)</t>
  </si>
  <si>
    <t xml:space="preserve">Basel window (observations)</t>
  </si>
  <si>
    <t xml:space="preserve">Lists used as labels by the live sheets</t>
  </si>
  <si>
    <t xml:space="preserve">IR currencies</t>
  </si>
  <si>
    <t xml:space="preserve">EUR</t>
  </si>
  <si>
    <t xml:space="preserve">GBP</t>
  </si>
  <si>
    <t xml:space="preserve">JPY</t>
  </si>
  <si>
    <t xml:space="preserve">MXN</t>
  </si>
  <si>
    <t xml:space="preserve">Tenor labels</t>
  </si>
  <si>
    <t xml:space="preserve">2w</t>
  </si>
  <si>
    <t xml:space="preserve">1m</t>
  </si>
  <si>
    <t xml:space="preserve">3m</t>
  </si>
  <si>
    <t xml:space="preserve">6m</t>
  </si>
  <si>
    <t xml:space="preserve">1y</t>
  </si>
  <si>
    <t xml:space="preserve">2y</t>
  </si>
  <si>
    <t xml:space="preserve">3y</t>
  </si>
  <si>
    <t xml:space="preserve">5y</t>
  </si>
  <si>
    <t xml:space="preserve">10y</t>
  </si>
  <si>
    <t xml:space="preserve">15y</t>
  </si>
  <si>
    <t xml:space="preserve">20y</t>
  </si>
  <si>
    <t xml:space="preserve">30y</t>
  </si>
  <si>
    <t xml:space="preserve">Tenor years</t>
  </si>
  <si>
    <t xml:space="preserve">FX currencies</t>
  </si>
  <si>
    <t xml:space="preserve">FX pairs</t>
  </si>
  <si>
    <t xml:space="preserve">EURUSD</t>
  </si>
  <si>
    <t xml:space="preserve">GBPUSD</t>
  </si>
  <si>
    <t xml:space="preserve">USDJPY</t>
  </si>
  <si>
    <t xml:space="preserve">USDMXN</t>
  </si>
  <si>
    <t xml:space="preserve">Currency</t>
  </si>
  <si>
    <t xml:space="preserve">USD per unit (schedule IM notionals)</t>
  </si>
  <si>
    <t xml:space="preserve">Case</t>
  </si>
  <si>
    <t xml:space="preserve">base</t>
  </si>
  <si>
    <t xml:space="preserve">SIMM-style parameters (typed from data/parameters/simm_parameters.csv with provenance). Column A is the lookup key.</t>
  </si>
  <si>
    <t xml:space="preserve">key</t>
  </si>
  <si>
    <t xml:space="preserve">param_set</t>
  </si>
  <si>
    <t xml:space="preserve">risk_class</t>
  </si>
  <si>
    <t xml:space="preserve">param_name</t>
  </si>
  <si>
    <t xml:space="preserve">key1</t>
  </si>
  <si>
    <t xml:space="preserve">key2</t>
  </si>
  <si>
    <t xml:space="preserve">value</t>
  </si>
  <si>
    <t xml:space="preserve">unit</t>
  </si>
  <si>
    <t xml:space="preserve">source_doc</t>
  </si>
  <si>
    <t xml:space="preserve">version</t>
  </si>
  <si>
    <t xml:space="preserve">effective_date</t>
  </si>
  <si>
    <t xml:space="preserve">section</t>
  </si>
  <si>
    <t xml:space="preserve">paragraph</t>
  </si>
  <si>
    <t xml:space="preserve">table</t>
  </si>
  <si>
    <t xml:space="preserve">pdf_page</t>
  </si>
  <si>
    <t xml:space="preserve">source_url</t>
  </si>
  <si>
    <t xml:space="preserve">retrieved_on</t>
  </si>
  <si>
    <t xml:space="preserve">source_sha256</t>
  </si>
  <si>
    <t xml:space="preserve">verification_status</t>
  </si>
  <si>
    <t xml:space="preserve">verification_method</t>
  </si>
  <si>
    <t xml:space="preserve">IR</t>
  </si>
  <si>
    <t xml:space="preserve">delta_rw</t>
  </si>
  <si>
    <t xml:space="preserve">regular</t>
  </si>
  <si>
    <t xml:space="preserve">multiplier of per-1bp sensitivity</t>
  </si>
  <si>
    <t xml:space="preserve">ISDA SIMM Methodology v2.8+2512 (based on v2.8+2512.2, 13 May 2026)</t>
  </si>
  <si>
    <t xml:space="preserve">2026-07-11</t>
  </si>
  <si>
    <t xml:space="preserve">D.1</t>
  </si>
  <si>
    <t xml:space="preserve">33</t>
  </si>
  <si>
    <t xml:space="preserve">Table 1 risk weights per vertex</t>
  </si>
  <si>
    <t xml:space="preserve">14</t>
  </si>
  <si>
    <t xml:space="preserve">https://www.isda.org/a/hhkiE/ISDA-SIMM_v2.82512_PUBLIC.pdf</t>
  </si>
  <si>
    <t xml:space="preserve">2026-10-02</t>
  </si>
  <si>
    <t xml:space="preserve">8484d3de7dcb5280b6ad6458d051c50f8ccc3370bc279ae1c47a7bccb8064636</t>
  </si>
  <si>
    <t xml:space="preserve">VERIFIED_PRIMARY</t>
  </si>
  <si>
    <t xml:space="preserve">two extractors agree (PyMuPDF, markitdown; sequence) + page image check</t>
  </si>
  <si>
    <t xml:space="preserve">low</t>
  </si>
  <si>
    <t xml:space="preserve">Table 2 risk weights per vertex</t>
  </si>
  <si>
    <t xml:space="preserve">high</t>
  </si>
  <si>
    <t xml:space="preserve">Table 3 risk weights per vertex</t>
  </si>
  <si>
    <t xml:space="preserve">delta_rw_inflation</t>
  </si>
  <si>
    <t xml:space="preserve">any</t>
  </si>
  <si>
    <t xml:space="preserve">text below Table 3</t>
  </si>
  <si>
    <t xml:space="preserve">delta_rw_xccy_basis</t>
  </si>
  <si>
    <t xml:space="preserve">hvr</t>
  </si>
  <si>
    <t xml:space="preserve">ratio</t>
  </si>
  <si>
    <t xml:space="preserve">34</t>
  </si>
  <si>
    <t xml:space="preserve">text of paragraph 34 (no table)</t>
  </si>
  <si>
    <t xml:space="preserve">vega_rw</t>
  </si>
  <si>
    <t xml:space="preserve">35</t>
  </si>
  <si>
    <t xml:space="preserve">text of paragraph 35 (no table)</t>
  </si>
  <si>
    <t xml:space="preserve">rw_group_member</t>
  </si>
  <si>
    <t xml:space="preserve">membership</t>
  </si>
  <si>
    <t xml:space="preserve">33(1)</t>
  </si>
  <si>
    <t xml:space="preserve">text of paragraph 33(1) (no table)</t>
  </si>
  <si>
    <t xml:space="preserve">CHF</t>
  </si>
  <si>
    <t xml:space="preserve">AUD</t>
  </si>
  <si>
    <t xml:space="preserve">NZD</t>
  </si>
  <si>
    <t xml:space="preserve">CAD</t>
  </si>
  <si>
    <t xml:space="preserve">SEK</t>
  </si>
  <si>
    <t xml:space="preserve">NOK</t>
  </si>
  <si>
    <t xml:space="preserve">DKK</t>
  </si>
  <si>
    <t xml:space="preserve">HKD</t>
  </si>
  <si>
    <t xml:space="preserve">KRW</t>
  </si>
  <si>
    <t xml:space="preserve">SGD</t>
  </si>
  <si>
    <t xml:space="preserve">TWD</t>
  </si>
  <si>
    <t xml:space="preserve">33(2)</t>
  </si>
  <si>
    <t xml:space="preserve">text of paragraph 33(2) (no table)</t>
  </si>
  <si>
    <t xml:space="preserve">ALL_OTHER</t>
  </si>
  <si>
    <t xml:space="preserve">33(3)</t>
  </si>
  <si>
    <t xml:space="preserve">all currencies not in the regular or low lists</t>
  </si>
  <si>
    <t xml:space="preserve">delta_tenor_corr</t>
  </si>
  <si>
    <t xml:space="preserve">fraction</t>
  </si>
  <si>
    <t xml:space="preserve">D.2</t>
  </si>
  <si>
    <t xml:space="preserve">36</t>
  </si>
  <si>
    <t xml:space="preserve">correlation matrix for aggregated weighted sensitivities or risk exposures (row 2w)</t>
  </si>
  <si>
    <t xml:space="preserve">two extractors agree (PyMuPDF, markitdown; sequence) + page image check; diagonal blank in source, 1 by definition</t>
  </si>
  <si>
    <t xml:space="preserve">correlation matrix for aggregated weighted sensitivities or risk exposures (row 1m)</t>
  </si>
  <si>
    <t xml:space="preserve">correlation matrix for aggregated weighted sensitivities or risk exposures (row 3m)</t>
  </si>
  <si>
    <t xml:space="preserve">correlation matrix for aggregated weighted sensitivities or risk exposures (row 6m)</t>
  </si>
  <si>
    <t xml:space="preserve">correlation matrix for aggregated weighted sensitivities or risk exposures (row 1y)</t>
  </si>
  <si>
    <t xml:space="preserve">15</t>
  </si>
  <si>
    <t xml:space="preserve">correlation matrix for aggregated weighted sensitivities or risk exposures (row 2y)</t>
  </si>
  <si>
    <t xml:space="preserve">correlation matrix for aggregated weighted sensitivities or risk exposures (row 3y)</t>
  </si>
  <si>
    <t xml:space="preserve">correlation matrix for aggregated weighted sensitivities or risk exposures (row 5y)</t>
  </si>
  <si>
    <t xml:space="preserve">correlation matrix for aggregated weighted sensitivities or risk exposures (row 10y)</t>
  </si>
  <si>
    <t xml:space="preserve">correlation matrix for aggregated weighted sensitivities or risk exposures (row 15y)</t>
  </si>
  <si>
    <t xml:space="preserve">correlation matrix for aggregated weighted sensitivities or risk exposures (row 20y)</t>
  </si>
  <si>
    <t xml:space="preserve">correlation matrix for aggregated weighted sensitivities or risk exposures (row 30y)</t>
  </si>
  <si>
    <t xml:space="preserve">subcurve_phi</t>
  </si>
  <si>
    <t xml:space="preserve">text under matrix (to one decimal place)</t>
  </si>
  <si>
    <t xml:space="preserve">inflation_yield_corr</t>
  </si>
  <si>
    <t xml:space="preserve">text under matrix</t>
  </si>
  <si>
    <t xml:space="preserve">inflation_vol_ir_vol_corr</t>
  </si>
  <si>
    <t xml:space="preserve">same sentence: inflation vol vs IR vol</t>
  </si>
  <si>
    <t xml:space="preserve">xccy_basis_yield_corr</t>
  </si>
  <si>
    <t xml:space="preserve">text under matrix (vs yield or inflation, same currency)</t>
  </si>
  <si>
    <t xml:space="preserve">gamma</t>
  </si>
  <si>
    <t xml:space="preserve">37</t>
  </si>
  <si>
    <t xml:space="preserve">text of paragraph 37 (no table)</t>
  </si>
  <si>
    <t xml:space="preserve">delta_ct</t>
  </si>
  <si>
    <t xml:space="preserve">USD mm per bp</t>
  </si>
  <si>
    <t xml:space="preserve">J.1</t>
  </si>
  <si>
    <t xml:space="preserve">74</t>
  </si>
  <si>
    <t xml:space="preserve">text of paragraph 74 (no table)</t>
  </si>
  <si>
    <t xml:space="preserve">26</t>
  </si>
  <si>
    <t xml:space="preserve">regular_well_traded</t>
  </si>
  <si>
    <t xml:space="preserve">regular_less_well_traded</t>
  </si>
  <si>
    <t xml:space="preserve">vega_ct</t>
  </si>
  <si>
    <t xml:space="preserve">USD mm</t>
  </si>
  <si>
    <t xml:space="preserve">J.6</t>
  </si>
  <si>
    <t xml:space="preserve">81</t>
  </si>
  <si>
    <t xml:space="preserve">text of paragraph 81 (no table)</t>
  </si>
  <si>
    <t xml:space="preserve">27</t>
  </si>
  <si>
    <t xml:space="preserve">ct_group_member</t>
  </si>
  <si>
    <t xml:space="preserve">75(2)</t>
  </si>
  <si>
    <t xml:space="preserve">text of paragraph 75(2) (no table)</t>
  </si>
  <si>
    <t xml:space="preserve">75(3)</t>
  </si>
  <si>
    <t xml:space="preserve">text of paragraph 75(3) (no table)</t>
  </si>
  <si>
    <t xml:space="preserve">75(4)</t>
  </si>
  <si>
    <t xml:space="preserve">text of paragraph 75(4) (no table)</t>
  </si>
  <si>
    <t xml:space="preserve">75(1)</t>
  </si>
  <si>
    <t xml:space="preserve">all other currencies</t>
  </si>
  <si>
    <t xml:space="preserve">FX</t>
  </si>
  <si>
    <t xml:space="preserve">high_vol_member</t>
  </si>
  <si>
    <t xml:space="preserve">ARS</t>
  </si>
  <si>
    <t xml:space="preserve">I.1</t>
  </si>
  <si>
    <t xml:space="preserve">67</t>
  </si>
  <si>
    <t xml:space="preserve">text of paragraph 67 (no table)</t>
  </si>
  <si>
    <t xml:space="preserve">24</t>
  </si>
  <si>
    <t xml:space="preserve">EGP</t>
  </si>
  <si>
    <t xml:space="preserve">ETB</t>
  </si>
  <si>
    <t xml:space="preserve">GHS</t>
  </si>
  <si>
    <t xml:space="preserve">ISK</t>
  </si>
  <si>
    <t xml:space="preserve">LBP</t>
  </si>
  <si>
    <t xml:space="preserve">NGN</t>
  </si>
  <si>
    <t xml:space="preserve">SCR</t>
  </si>
  <si>
    <t xml:space="preserve">ZMW</t>
  </si>
  <si>
    <t xml:space="preserve">68</t>
  </si>
  <si>
    <t xml:space="preserve">multiplier of per-1% sensitivity</t>
  </si>
  <si>
    <t xml:space="preserve">69</t>
  </si>
  <si>
    <t xml:space="preserve">FX risk weight table (key1=FX vol group of the given currency, key2=FX vol group of the calculation currency)</t>
  </si>
  <si>
    <t xml:space="preserve">70</t>
  </si>
  <si>
    <t xml:space="preserve">text of paragraph 70 (no table)</t>
  </si>
  <si>
    <t xml:space="preserve">71</t>
  </si>
  <si>
    <t xml:space="preserve">text of paragraph 71 (no table)</t>
  </si>
  <si>
    <t xml:space="preserve">delta_corr_calc_regular</t>
  </si>
  <si>
    <t xml:space="preserve">I.2</t>
  </si>
  <si>
    <t xml:space="preserve">72</t>
  </si>
  <si>
    <t xml:space="preserve">FX correlation table, calculation currency in the regular FX vol group (key1, key2 = FX vol groups of the two risk factors)</t>
  </si>
  <si>
    <t xml:space="preserve">delta_corr_calc_high</t>
  </si>
  <si>
    <t xml:space="preserve">FX correlation table, calculation currency in the high FX vol group (key1, key2 = FX vol groups of the two risk factors)</t>
  </si>
  <si>
    <t xml:space="preserve">25</t>
  </si>
  <si>
    <t xml:space="preserve">vol_curvature_corr</t>
  </si>
  <si>
    <t xml:space="preserve">73</t>
  </si>
  <si>
    <t xml:space="preserve">text of paragraph 73 (no table)</t>
  </si>
  <si>
    <t xml:space="preserve">Category 1</t>
  </si>
  <si>
    <t xml:space="preserve">USD mm per percent</t>
  </si>
  <si>
    <t xml:space="preserve">J.5</t>
  </si>
  <si>
    <t xml:space="preserve">79</t>
  </si>
  <si>
    <t xml:space="preserve">text of paragraph 79 (no table)</t>
  </si>
  <si>
    <t xml:space="preserve">Category 2</t>
  </si>
  <si>
    <t xml:space="preserve">Category 3</t>
  </si>
  <si>
    <t xml:space="preserve">J.10</t>
  </si>
  <si>
    <t xml:space="preserve">86</t>
  </si>
  <si>
    <t xml:space="preserve">text of paragraph 86 (no table)</t>
  </si>
  <si>
    <t xml:space="preserve">28</t>
  </si>
  <si>
    <t xml:space="preserve">two extractors agree (PyMuPDF, markitdown; multiset) + page image check; markitdown row order differs in this table (multiset equal); pair labels from PyMuPDF</t>
  </si>
  <si>
    <t xml:space="preserve">ct_category_member</t>
  </si>
  <si>
    <t xml:space="preserve">80</t>
  </si>
  <si>
    <t xml:space="preserve">text of paragraph 80 (no table)</t>
  </si>
  <si>
    <t xml:space="preserve">BRL</t>
  </si>
  <si>
    <t xml:space="preserve">CNY</t>
  </si>
  <si>
    <t xml:space="preserve">INR</t>
  </si>
  <si>
    <t xml:space="preserve">RUB</t>
  </si>
  <si>
    <t xml:space="preserve">TRY</t>
  </si>
  <si>
    <t xml:space="preserve">ZAR</t>
  </si>
  <si>
    <t xml:space="preserve">ALL</t>
  </si>
  <si>
    <t xml:space="preserve">curvature_sf_example</t>
  </si>
  <si>
    <t xml:space="preserve">B</t>
  </si>
  <si>
    <t xml:space="preserve">11(a)</t>
  </si>
  <si>
    <t xml:space="preserve">SF example table (document rounds to 0.1 percent)</t>
  </si>
  <si>
    <t xml:space="preserve">7</t>
  </si>
  <si>
    <t xml:space="preserve">12m</t>
  </si>
  <si>
    <t xml:space="preserve">curvature_sf_scale</t>
  </si>
  <si>
    <t xml:space="preserve">SF(t) = 0.5 min(1, 14 days / t days)</t>
  </si>
  <si>
    <t xml:space="preserve">curvature_sf_ref_days</t>
  </si>
  <si>
    <t xml:space="preserve">days</t>
  </si>
  <si>
    <t xml:space="preserve">tenor_days_per_year</t>
  </si>
  <si>
    <t xml:space="preserve">12m = 365 calendar days, pro-rata for other tenors</t>
  </si>
  <si>
    <t xml:space="preserve">curvature_lambda_quantile</t>
  </si>
  <si>
    <t xml:space="preserve">11(d)</t>
  </si>
  <si>
    <t xml:space="preserve">lambda = (Phi^-1(99.5%)^2 - 1)(1+theta) - theta; theta = min(sum CVR / sum |CVR|, 0)</t>
  </si>
  <si>
    <t xml:space="preserve">curvature_hvr_exponent</t>
  </si>
  <si>
    <t xml:space="preserve">exponent</t>
  </si>
  <si>
    <t xml:space="preserve">IR curvature margin multiplied by HVR_IR^-2</t>
  </si>
  <si>
    <t xml:space="preserve">8</t>
  </si>
  <si>
    <t xml:space="preserve">vega_sigma_days_numerator</t>
  </si>
  <si>
    <t xml:space="preserve">10(b)</t>
  </si>
  <si>
    <t xml:space="preserve">sigma_kj = RW_k sqrt(365/14)/alpha, alpha = Phi^-1(99%), Equity/FX/Commodity</t>
  </si>
  <si>
    <t xml:space="preserve">5</t>
  </si>
  <si>
    <t xml:space="preserve">vega_sigma_days_denominator</t>
  </si>
  <si>
    <t xml:space="preserve">same formula</t>
  </si>
  <si>
    <t xml:space="preserve">vega_sigma_quantile</t>
  </si>
  <si>
    <t xml:space="preserve">alpha = Phi^-1(99%)</t>
  </si>
  <si>
    <t xml:space="preserve">concentration_exponent</t>
  </si>
  <si>
    <t xml:space="preserve">7(b), 8(b)</t>
  </si>
  <si>
    <t xml:space="preserve">CR = max(1, (|s|/T)^(1/2)) (IR para 7(b) on this page; FX para 8(b) on next page); VCR likewise for vega, para 10(d)</t>
  </si>
  <si>
    <t xml:space="preserve">3</t>
  </si>
  <si>
    <t xml:space="preserve">psi</t>
  </si>
  <si>
    <t xml:space="preserve">K</t>
  </si>
  <si>
    <t xml:space="preserve">88</t>
  </si>
  <si>
    <t xml:space="preserve">correlation between risk classes within a product class</t>
  </si>
  <si>
    <t xml:space="preserve">29</t>
  </si>
  <si>
    <t xml:space="preserve">CreditQ</t>
  </si>
  <si>
    <t xml:space="preserve">CreditNonQ</t>
  </si>
  <si>
    <t xml:space="preserve">Equity</t>
  </si>
  <si>
    <t xml:space="preserve">Commodity</t>
  </si>
  <si>
    <t xml:space="preserve">multiplicative_scale_default</t>
  </si>
  <si>
    <t xml:space="preserve">RatesFX</t>
  </si>
  <si>
    <t xml:space="preserve">scalar</t>
  </si>
  <si>
    <t xml:space="preserve">L</t>
  </si>
  <si>
    <t xml:space="preserve">Annex L</t>
  </si>
  <si>
    <t xml:space="preserve">default and minimum value of the multiplicative scales</t>
  </si>
  <si>
    <t xml:space="preserve">30</t>
  </si>
  <si>
    <t xml:space="preserve">sens_bump_ir_bp</t>
  </si>
  <si>
    <t xml:space="preserve">bp</t>
  </si>
  <si>
    <t xml:space="preserve">C.2</t>
  </si>
  <si>
    <t xml:space="preserve">20</t>
  </si>
  <si>
    <t xml:space="preserve">PV01: V(x+1bp)-V(x); central +/-0.5bp allowed (para 21)</t>
  </si>
  <si>
    <t xml:space="preserve">10</t>
  </si>
  <si>
    <t xml:space="preserve">sens_bump_fx_pct</t>
  </si>
  <si>
    <t xml:space="preserve">percent</t>
  </si>
  <si>
    <t xml:space="preserve">V(x+1% x)-V(x) for FX, Equity, Commodity</t>
  </si>
  <si>
    <t xml:space="preserve">sens_bump_vol</t>
  </si>
  <si>
    <t xml:space="preserve">vol unit</t>
  </si>
  <si>
    <t xml:space="preserve">C.3</t>
  </si>
  <si>
    <t xml:space="preserve">V(sigma+1)-V(sigma); FX/Equity/Commodity vol in percent points</t>
  </si>
  <si>
    <t xml:space="preserve">13</t>
  </si>
  <si>
    <t xml:space="preserve">2.8+2506</t>
  </si>
  <si>
    <t xml:space="preserve">ISDA SIMM Methodology v2.8+2506 (based on v2.8+2506.1, 14 October 2025)</t>
  </si>
  <si>
    <t xml:space="preserve">2025-12-06</t>
  </si>
  <si>
    <t xml:space="preserve">https://www.isda.org/a/f2RgE/ISDA-SIMM_v2.82506_PUBLIC.pdf</t>
  </si>
  <si>
    <t xml:space="preserve">6d39aa13282428baffc684274d8b4d921933d9913ae640a6ed2e0280b18e47cf</t>
  </si>
  <si>
    <t xml:space="preserve">VES</t>
  </si>
  <si>
    <t xml:space="preserve">Regulatory parameters (typed with provenance): schedule IM rates, weights, BCBS 22 Table 2.</t>
  </si>
  <si>
    <t xml:space="preserve">asset_class</t>
  </si>
  <si>
    <t xml:space="preserve">maturity_low_years</t>
  </si>
  <si>
    <t xml:space="preserve">maturity_high_years (1E9 means open ended)</t>
  </si>
  <si>
    <t xml:space="preserve">rate_pct</t>
  </si>
  <si>
    <t xml:space="preserve">constant</t>
  </si>
  <si>
    <t xml:space="preserve">citation</t>
  </si>
  <si>
    <t xml:space="preserve">exceptions</t>
  </si>
  <si>
    <t xml:space="preserve">zone</t>
  </si>
  <si>
    <t xml:space="preserve">plus_factor</t>
  </si>
  <si>
    <t xml:space="preserve">source</t>
  </si>
  <si>
    <t xml:space="preserve">Credit</t>
  </si>
  <si>
    <t xml:space="preserve">12 CFR Part 45 (OCC), eCFR as of 2026-09-30</t>
  </si>
  <si>
    <t xml:space="preserve">Appendix A to Part 45, Table A (Standardized Minimum Gross Initial Margin Requirements)</t>
  </si>
  <si>
    <t xml:space="preserve">schedule_gross_weight</t>
  </si>
  <si>
    <t xml:space="preserve">12 CFR Part 45 Appendix A, footnote 1</t>
  </si>
  <si>
    <t xml:space="preserve">Green</t>
  </si>
  <si>
    <t xml:space="preserve">BCBS 22 Table 2</t>
  </si>
  <si>
    <t xml:space="preserve">schedule_ngr_weight</t>
  </si>
  <si>
    <t xml:space="preserve">Foreign exchange</t>
  </si>
  <si>
    <t xml:space="preserve">Yellow</t>
  </si>
  <si>
    <t xml:space="preserve">Cross-currency swap</t>
  </si>
  <si>
    <t xml:space="preserve">Interest rate</t>
  </si>
  <si>
    <t xml:space="preserve">Red</t>
  </si>
  <si>
    <t xml:space="preserve">Other</t>
  </si>
  <si>
    <t xml:space="preserve">Sample portfolio and PV (typed from Python; SYNTHETIC). PV is in USD.</t>
  </si>
  <si>
    <t xml:space="preserve">trade_id</t>
  </si>
  <si>
    <t xml:space="preserve">counterparty</t>
  </si>
  <si>
    <t xml:space="preserve">product</t>
  </si>
  <si>
    <t xml:space="preserve">ccy</t>
  </si>
  <si>
    <t xml:space="preserve">ccy2</t>
  </si>
  <si>
    <t xml:space="preserve">notional</t>
  </si>
  <si>
    <t xml:space="preserve">direction</t>
  </si>
  <si>
    <t xml:space="preserve">start</t>
  </si>
  <si>
    <t xml:space="preserve">maturity</t>
  </si>
  <si>
    <t xml:space="preserve">expiry</t>
  </si>
  <si>
    <t xml:space="preserve">strike</t>
  </si>
  <si>
    <t xml:space="preserve">opt_type</t>
  </si>
  <si>
    <t xml:space="preserve">pv</t>
  </si>
  <si>
    <t xml:space="preserve">IRS_USD_2Y</t>
  </si>
  <si>
    <t xml:space="preserve">CPTY_B</t>
  </si>
  <si>
    <t xml:space="preserve">IRS</t>
  </si>
  <si>
    <t xml:space="preserve">IRS_USD_5Y</t>
  </si>
  <si>
    <t xml:space="preserve">IRS_USD_10Y</t>
  </si>
  <si>
    <t xml:space="preserve">IRS_USD_30Y</t>
  </si>
  <si>
    <t xml:space="preserve">IRS_EUR_5Y</t>
  </si>
  <si>
    <t xml:space="preserve">IRS_EUR_10Y</t>
  </si>
  <si>
    <t xml:space="preserve">IRS_GBP_7Y</t>
  </si>
  <si>
    <t xml:space="preserve">IRS_JPY_10Y</t>
  </si>
  <si>
    <t xml:space="preserve">IRS_MXN_3Y</t>
  </si>
  <si>
    <t xml:space="preserve">SWPT_USD_1Yx5Y</t>
  </si>
  <si>
    <t xml:space="preserve">SWAPTION</t>
  </si>
  <si>
    <t xml:space="preserve">payer</t>
  </si>
  <si>
    <t xml:space="preserve">SWPT_EUR_4Yx10Y</t>
  </si>
  <si>
    <t xml:space="preserve">receiver</t>
  </si>
  <si>
    <t xml:space="preserve">SWPT_GBP_5Yx5Y</t>
  </si>
  <si>
    <t xml:space="preserve">FXF_EURUSD_6M</t>
  </si>
  <si>
    <t xml:space="preserve">FXFWD</t>
  </si>
  <si>
    <t xml:space="preserve">FXF_GBPUSD_1Y</t>
  </si>
  <si>
    <t xml:space="preserve">FXF_USDJPY_3M</t>
  </si>
  <si>
    <t xml:space="preserve">FXF_USDMXN_6M</t>
  </si>
  <si>
    <t xml:space="preserve">FXO_EURUSD_C3M</t>
  </si>
  <si>
    <t xml:space="preserve">FXOPT</t>
  </si>
  <si>
    <t xml:space="preserve">call</t>
  </si>
  <si>
    <t xml:space="preserve">FXO_USDMXN_C1Y</t>
  </si>
  <si>
    <t xml:space="preserve">FXO_GBPUSD_STRADDLE_C</t>
  </si>
  <si>
    <t xml:space="preserve">FXO_GBPUSD_STRADDLE_P</t>
  </si>
  <si>
    <t xml:space="preserve">put</t>
  </si>
  <si>
    <t xml:space="preserve">CRIF (typed from Python) with live helper columns, and closed-form Bachelier and Garman-Kohlhagen checks (columns O to P).</t>
  </si>
  <si>
    <t xml:space="preserve">TradeID</t>
  </si>
  <si>
    <t xml:space="preserve">RiskType</t>
  </si>
  <si>
    <t xml:space="preserve">Qualifier</t>
  </si>
  <si>
    <t xml:space="preserve">Bucket</t>
  </si>
  <si>
    <t xml:space="preserve">Label1</t>
  </si>
  <si>
    <t xml:space="preserve">Label2</t>
  </si>
  <si>
    <t xml:space="preserve">Amount</t>
  </si>
  <si>
    <t xml:space="preserve">AmountCurrency</t>
  </si>
  <si>
    <t xml:space="preserve">AmountUSD</t>
  </si>
  <si>
    <t xml:space="preserve">SigmaMarket</t>
  </si>
  <si>
    <t xml:space="preserve">fx_vega_per_unit_vol_usd</t>
  </si>
  <si>
    <t xml:space="preserve">sf_of_vertex</t>
  </si>
  <si>
    <t xml:space="preserve">fx_vega_x_sf</t>
  </si>
  <si>
    <t xml:space="preserve">Bachelier swaption (typed inputs, live formulas)</t>
  </si>
  <si>
    <t xml:space="preserve">Risk_IRCurve</t>
  </si>
  <si>
    <t xml:space="preserve">OIS</t>
  </si>
  <si>
    <t xml:space="preserve">forward swap rate</t>
  </si>
  <si>
    <t xml:space="preserve">annuity</t>
  </si>
  <si>
    <t xml:space="preserve">normal vol (bp)</t>
  </si>
  <si>
    <t xml:space="preserve">expiry (years)</t>
  </si>
  <si>
    <t xml:space="preserve">fx to USD</t>
  </si>
  <si>
    <t xml:space="preserve">normal vol (fraction)</t>
  </si>
  <si>
    <t xml:space="preserve">vol * sqrt(T)</t>
  </si>
  <si>
    <t xml:space="preserve">d</t>
  </si>
  <si>
    <t xml:space="preserve">pdf(d)</t>
  </si>
  <si>
    <t xml:space="preserve">vega per 1bp (USD)</t>
  </si>
  <si>
    <t xml:space="preserve">CRIF vega amount, closed form (USD)</t>
  </si>
  <si>
    <t xml:space="preserve">CRIF vega amount, typed CRIF (USD)</t>
  </si>
  <si>
    <t xml:space="preserve">PV, closed form payer (USD)</t>
  </si>
  <si>
    <t xml:space="preserve">PV, typed portfolio (USD)</t>
  </si>
  <si>
    <t xml:space="preserve">Garman-Kohlhagen FX call (typed inputs, live formulas)</t>
  </si>
  <si>
    <t xml:space="preserve">Risk_FX</t>
  </si>
  <si>
    <t xml:space="preserve">notional (base)</t>
  </si>
  <si>
    <t xml:space="preserve">forward</t>
  </si>
  <si>
    <t xml:space="preserve">lognormal vol</t>
  </si>
  <si>
    <t xml:space="preserve">discount factor, quote ccy</t>
  </si>
  <si>
    <t xml:space="preserve">discount factor, base ccy</t>
  </si>
  <si>
    <t xml:space="preserve">spot of base in USD</t>
  </si>
  <si>
    <t xml:space="preserve">quote ccy to USD</t>
  </si>
  <si>
    <t xml:space="preserve">d1</t>
  </si>
  <si>
    <t xml:space="preserve">d2</t>
  </si>
  <si>
    <t xml:space="preserve">regular_low_vol</t>
  </si>
  <si>
    <t xml:space="preserve">PV, closed form (USD)</t>
  </si>
  <si>
    <t xml:space="preserve">CRIF FX delta per 1 percent, closed form (USD)</t>
  </si>
  <si>
    <t xml:space="preserve">high_vol</t>
  </si>
  <si>
    <t xml:space="preserve">Risk_IRVol</t>
  </si>
  <si>
    <t xml:space="preserve">Risk_FXVol</t>
  </si>
  <si>
    <t xml:space="preserve">IR and FX delta. All numbers are formulas: risk weights and thresholds by lookup on Parameters, CR, WS, K, S, aggregation.</t>
  </si>
  <si>
    <t xml:space="preserve">Parameter set</t>
  </si>
  <si>
    <t xml:space="preserve">IR tenor correlation (12x12)</t>
  </si>
  <si>
    <t xml:space="preserve">RW group</t>
  </si>
  <si>
    <t xml:space="preserve">Concentration group</t>
  </si>
  <si>
    <t xml:space="preserve">Concentration threshold (USD mm per bp)</t>
  </si>
  <si>
    <t xml:space="preserve">Sum of net sensitivities</t>
  </si>
  <si>
    <t xml:space="preserve">CR</t>
  </si>
  <si>
    <t xml:space="preserve">Sum of WS</t>
  </si>
  <si>
    <t xml:space="preserve">S</t>
  </si>
  <si>
    <t xml:space="preserve">Tenor</t>
  </si>
  <si>
    <t xml:space="preserve">Net sensitivity</t>
  </si>
  <si>
    <t xml:space="preserve">RW</t>
  </si>
  <si>
    <t xml:space="preserve">WS</t>
  </si>
  <si>
    <t xml:space="preserve">IR delta aggregation across currencies</t>
  </si>
  <si>
    <t xml:space="preserve">Cross-currency terms gamma * min(CR)/max(CR) * S_b * S_c</t>
  </si>
  <si>
    <t xml:space="preserve">gamma value</t>
  </si>
  <si>
    <t xml:space="preserve">Sum of K squared</t>
  </si>
  <si>
    <t xml:space="preserve">Sum of cross terms</t>
  </si>
  <si>
    <t xml:space="preserve">IR delta margin</t>
  </si>
  <si>
    <t xml:space="preserve">FX delta (single bucket)</t>
  </si>
  <si>
    <t xml:space="preserve">Calculation currency volatility group</t>
  </si>
  <si>
    <t xml:space="preserve">Correlation table</t>
  </si>
  <si>
    <t xml:space="preserve">FX currency</t>
  </si>
  <si>
    <t xml:space="preserve">Vol group</t>
  </si>
  <si>
    <t xml:space="preserve">Category</t>
  </si>
  <si>
    <t xml:space="preserve">Threshold (USD mm per 1 percent)</t>
  </si>
  <si>
    <t xml:space="preserve">K (FX delta margin)</t>
  </si>
  <si>
    <t xml:space="preserve">IR vega and FX vega (formulas). IR vega uses the delta tenor correlation with f = 1; FX vega uses sigma_SIMM from RW.</t>
  </si>
  <si>
    <t xml:space="preserve">IR vega risk weight</t>
  </si>
  <si>
    <t xml:space="preserve">IR gamma</t>
  </si>
  <si>
    <t xml:space="preserve">Vega threshold (USD mm)</t>
  </si>
  <si>
    <t xml:space="preserve">Sum of net vega*vol</t>
  </si>
  <si>
    <t xml:space="preserve">VCR</t>
  </si>
  <si>
    <t xml:space="preserve">Sum of VR</t>
  </si>
  <si>
    <t xml:space="preserve">Net vega*vol (USD)</t>
  </si>
  <si>
    <t xml:space="preserve">VR</t>
  </si>
  <si>
    <t xml:space="preserve">IR vega aggregation across currencies</t>
  </si>
  <si>
    <t xml:space="preserve">IR vega margin</t>
  </si>
  <si>
    <t xml:space="preserve">FX vega (single bucket, pair-level factors)</t>
  </si>
  <si>
    <t xml:space="preserve">HVR_FX</t>
  </si>
  <si>
    <t xml:space="preserve">VRW_FX</t>
  </si>
  <si>
    <t xml:space="preserve">Vol and curvature correlation</t>
  </si>
  <si>
    <t xml:space="preserve">SIMM sigma days numerator</t>
  </si>
  <si>
    <t xml:space="preserve">SIMM sigma days denominator</t>
  </si>
  <si>
    <t xml:space="preserve">SIMM sigma quantile</t>
  </si>
  <si>
    <t xml:space="preserve">Pair</t>
  </si>
  <si>
    <t xml:space="preserve">Base</t>
  </si>
  <si>
    <t xml:space="preserve">Quote</t>
  </si>
  <si>
    <t xml:space="preserve">Base group</t>
  </si>
  <si>
    <t xml:space="preserve">Quote group</t>
  </si>
  <si>
    <t xml:space="preserve">sigma_SIMM</t>
  </si>
  <si>
    <t xml:space="preserve">Net vega per unit vol (USD)</t>
  </si>
  <si>
    <t xml:space="preserve">sigma_SIMM * vega</t>
  </si>
  <si>
    <t xml:space="preserve">VR_ik = HVR * that</t>
  </si>
  <si>
    <t xml:space="preserve">Base category</t>
  </si>
  <si>
    <t xml:space="preserve">Quote category</t>
  </si>
  <si>
    <t xml:space="preserve">Threshold (USD mm)</t>
  </si>
  <si>
    <t xml:space="preserve">K (FX vega margin)</t>
  </si>
  <si>
    <t xml:space="preserve">Curvature (formulas): CVR = SF(t) * sigma*vega, theta, lambda, rho squared and gamma squared aggregation.</t>
  </si>
  <si>
    <t xml:space="preserve">SF reference days</t>
  </si>
  <si>
    <t xml:space="preserve">SF scale</t>
  </si>
  <si>
    <t xml:space="preserve">Days per year</t>
  </si>
  <si>
    <t xml:space="preserve">Lambda quantile</t>
  </si>
  <si>
    <t xml:space="preserve">Phi inverse of lambda quantile</t>
  </si>
  <si>
    <t xml:space="preserve">FX vol correlation</t>
  </si>
  <si>
    <t xml:space="preserve">HVR_IR curvature exponent</t>
  </si>
  <si>
    <t xml:space="preserve">HVR_IR</t>
  </si>
  <si>
    <t xml:space="preserve">IR curvature scale HVR^exponent</t>
  </si>
  <si>
    <t xml:space="preserve">Years</t>
  </si>
  <si>
    <t xml:space="preserve">Calendar days</t>
  </si>
  <si>
    <t xml:space="preserve">SF</t>
  </si>
  <si>
    <t xml:space="preserve">IR curvature CVR_k = SF(t) * net vega*vol, by tenor and currency</t>
  </si>
  <si>
    <t xml:space="preserve">Sum of CVR (all currencies)</t>
  </si>
  <si>
    <t xml:space="preserve">Sum of absolute CVR</t>
  </si>
  <si>
    <t xml:space="preserve">theta</t>
  </si>
  <si>
    <t xml:space="preserve">lambda</t>
  </si>
  <si>
    <t xml:space="preserve">CVR</t>
  </si>
  <si>
    <t xml:space="preserve">IR curvature aggregation</t>
  </si>
  <si>
    <t xml:space="preserve">Aggregate sqrt(sum K squared + cross terms)</t>
  </si>
  <si>
    <t xml:space="preserve">IR curvature margin</t>
  </si>
  <si>
    <t xml:space="preserve">FX curvature by pair</t>
  </si>
  <si>
    <t xml:space="preserve">Sum of CVR</t>
  </si>
  <si>
    <t xml:space="preserve">FX curvature margin</t>
  </si>
  <si>
    <t xml:space="preserve">Risk class and RatesFX product class aggregation (formulas).</t>
  </si>
  <si>
    <t xml:space="preserve">Margin type</t>
  </si>
  <si>
    <t xml:space="preserve">Delta</t>
  </si>
  <si>
    <t xml:space="preserve">Vega</t>
  </si>
  <si>
    <t xml:space="preserve">Curvature</t>
  </si>
  <si>
    <t xml:space="preserve">Risk class IM (delta + vega + curvature)</t>
  </si>
  <si>
    <t xml:space="preserve">psi (IR, FX)</t>
  </si>
  <si>
    <t xml:space="preserve">Multiplicative scale (RatesFX)</t>
  </si>
  <si>
    <t xml:space="preserve">RatesFX SIMM-style total IM (USD)</t>
  </si>
  <si>
    <t xml:space="preserve">Standardised (schedule) IM: gross = sum of rate * notional, net = 0.4 G + 0.6 NGR G (formulas).</t>
  </si>
  <si>
    <t xml:space="preserve">Trade</t>
  </si>
  <si>
    <t xml:space="preserve">Product</t>
  </si>
  <si>
    <t xml:space="preserve">Asset class</t>
  </si>
  <si>
    <t xml:space="preserve">Duration (years)</t>
  </si>
  <si>
    <t xml:space="preserve">Notional USD</t>
  </si>
  <si>
    <t xml:space="preserve">Rate</t>
  </si>
  <si>
    <t xml:space="preserve">Gross IM</t>
  </si>
  <si>
    <t xml:space="preserve">MTM (USD)</t>
  </si>
  <si>
    <t xml:space="preserve">Sum of MTM</t>
  </si>
  <si>
    <t xml:space="preserve">Gross replacement cost (sum of positive MTM)</t>
  </si>
  <si>
    <t xml:space="preserve">NGR</t>
  </si>
  <si>
    <t xml:space="preserve">Weight on gross</t>
  </si>
  <si>
    <t xml:space="preserve">Weight on NGR * gross</t>
  </si>
  <si>
    <t xml:space="preserve">Net schedule IM</t>
  </si>
  <si>
    <t xml:space="preserve">SIMM-style total IM (USD)</t>
  </si>
  <si>
    <t xml:space="preserve">SIMM over schedule net</t>
  </si>
  <si>
    <t xml:space="preserve">Backtests. Columns A to I are typed from Python (champion HS IM 1 day, SIMM-style IM 10 day non overlapping); the rest is live.</t>
  </si>
  <si>
    <t xml:space="preserve">1 day: champion HS IM</t>
  </si>
  <si>
    <t xml:space="preserve">10 day non overlapping: SIMM-style IM</t>
  </si>
  <si>
    <t xml:space="preserve">date</t>
  </si>
  <si>
    <t xml:space="preserve">loss</t>
  </si>
  <si>
    <t xml:space="preserve">var_forecast</t>
  </si>
  <si>
    <t xml:space="preserve">exception</t>
  </si>
  <si>
    <t xml:space="preserve">1 day</t>
  </si>
  <si>
    <t xml:space="preserve">10 day</t>
  </si>
  <si>
    <t xml:space="preserve">x</t>
  </si>
  <si>
    <t xml:space="preserve">cum prob n 1d</t>
  </si>
  <si>
    <t xml:space="preserve">cum prob n 10d</t>
  </si>
  <si>
    <t xml:space="preserve">cum prob window</t>
  </si>
  <si>
    <t xml:space="preserve">2021-08-30</t>
  </si>
  <si>
    <t xml:space="preserve">n</t>
  </si>
  <si>
    <t xml:space="preserve">2021-08-31</t>
  </si>
  <si>
    <t xml:space="preserve">2021-09-13</t>
  </si>
  <si>
    <t xml:space="preserve">x (exceptions)</t>
  </si>
  <si>
    <t xml:space="preserve">2021-09-01</t>
  </si>
  <si>
    <t xml:space="preserve">2021-09-27</t>
  </si>
  <si>
    <t xml:space="preserve">p</t>
  </si>
  <si>
    <t xml:space="preserve">2021-09-02</t>
  </si>
  <si>
    <t xml:space="preserve">2021-10-11</t>
  </si>
  <si>
    <t xml:space="preserve">x / n</t>
  </si>
  <si>
    <t xml:space="preserve">2021-09-03</t>
  </si>
  <si>
    <t xml:space="preserve">2021-10-25</t>
  </si>
  <si>
    <t xml:space="preserve">log-likelihood under p</t>
  </si>
  <si>
    <t xml:space="preserve">2021-09-06</t>
  </si>
  <si>
    <t xml:space="preserve">2021-11-08</t>
  </si>
  <si>
    <t xml:space="preserve">log-likelihood at x/n</t>
  </si>
  <si>
    <t xml:space="preserve">2021-09-07</t>
  </si>
  <si>
    <t xml:space="preserve">2021-11-22</t>
  </si>
  <si>
    <t xml:space="preserve">Kupiec LR</t>
  </si>
  <si>
    <t xml:space="preserve">2021-09-08</t>
  </si>
  <si>
    <t xml:space="preserve">2021-12-06</t>
  </si>
  <si>
    <t xml:space="preserve">Kupiec p-value</t>
  </si>
  <si>
    <t xml:space="preserve">2021-09-09</t>
  </si>
  <si>
    <t xml:space="preserve">2021-12-20</t>
  </si>
  <si>
    <t xml:space="preserve">n00</t>
  </si>
  <si>
    <t xml:space="preserve">2021-09-10</t>
  </si>
  <si>
    <t xml:space="preserve">2022-01-03</t>
  </si>
  <si>
    <t xml:space="preserve">n01</t>
  </si>
  <si>
    <t xml:space="preserve">2022-01-17</t>
  </si>
  <si>
    <t xml:space="preserve">n10</t>
  </si>
  <si>
    <t xml:space="preserve">2021-09-14</t>
  </si>
  <si>
    <t xml:space="preserve">2022-01-31</t>
  </si>
  <si>
    <t xml:space="preserve">n11</t>
  </si>
  <si>
    <t xml:space="preserve">2021-09-15</t>
  </si>
  <si>
    <t xml:space="preserve">2022-02-14</t>
  </si>
  <si>
    <t xml:space="preserve">pi01</t>
  </si>
  <si>
    <t xml:space="preserve">2021-09-16</t>
  </si>
  <si>
    <t xml:space="preserve">2022-02-28</t>
  </si>
  <si>
    <t xml:space="preserve">pi11</t>
  </si>
  <si>
    <t xml:space="preserve">2021-09-17</t>
  </si>
  <si>
    <t xml:space="preserve">2022-03-14</t>
  </si>
  <si>
    <t xml:space="preserve">pi</t>
  </si>
  <si>
    <t xml:space="preserve">2021-09-20</t>
  </si>
  <si>
    <t xml:space="preserve">2022-03-28</t>
  </si>
  <si>
    <t xml:space="preserve">ll alternative (Markov)</t>
  </si>
  <si>
    <t xml:space="preserve">2021-09-21</t>
  </si>
  <si>
    <t xml:space="preserve">2022-04-11</t>
  </si>
  <si>
    <t xml:space="preserve">ll null</t>
  </si>
  <si>
    <t xml:space="preserve">2021-09-22</t>
  </si>
  <si>
    <t xml:space="preserve">2022-04-25</t>
  </si>
  <si>
    <t xml:space="preserve">LR independence</t>
  </si>
  <si>
    <t xml:space="preserve">2021-09-23</t>
  </si>
  <si>
    <t xml:space="preserve">2022-05-09</t>
  </si>
  <si>
    <t xml:space="preserve">p independence</t>
  </si>
  <si>
    <t xml:space="preserve">2021-09-24</t>
  </si>
  <si>
    <t xml:space="preserve">2022-05-23</t>
  </si>
  <si>
    <t xml:space="preserve">LR conditional coverage</t>
  </si>
  <si>
    <t xml:space="preserve">2022-06-06</t>
  </si>
  <si>
    <t xml:space="preserve">p conditional coverage</t>
  </si>
  <si>
    <t xml:space="preserve">2021-09-28</t>
  </si>
  <si>
    <t xml:space="preserve">2022-06-20</t>
  </si>
  <si>
    <t xml:space="preserve">yellow zone starts at</t>
  </si>
  <si>
    <t xml:space="preserve">2021-09-29</t>
  </si>
  <si>
    <t xml:space="preserve">2022-07-04</t>
  </si>
  <si>
    <t xml:space="preserve">red zone starts at</t>
  </si>
  <si>
    <t xml:space="preserve">2021-09-30</t>
  </si>
  <si>
    <t xml:space="preserve">2022-07-18</t>
  </si>
  <si>
    <t xml:space="preserve">Basel zone</t>
  </si>
  <si>
    <t xml:space="preserve">2021-10-01</t>
  </si>
  <si>
    <t xml:space="preserve">2022-08-01</t>
  </si>
  <si>
    <t xml:space="preserve">exceptions in last window</t>
  </si>
  <si>
    <t xml:space="preserve">2021-10-04</t>
  </si>
  <si>
    <t xml:space="preserve">2022-08-15</t>
  </si>
  <si>
    <t xml:space="preserve">zone of last window</t>
  </si>
  <si>
    <t xml:space="preserve">2021-10-05</t>
  </si>
  <si>
    <t xml:space="preserve">2022-08-29</t>
  </si>
  <si>
    <t xml:space="preserve">plus factor of last window (BCBS 22 Table 2)</t>
  </si>
  <si>
    <t xml:space="preserve">2021-10-06</t>
  </si>
  <si>
    <t xml:space="preserve">2022-09-12</t>
  </si>
  <si>
    <t xml:space="preserve">yellow start (window)</t>
  </si>
  <si>
    <t xml:space="preserve">2021-10-07</t>
  </si>
  <si>
    <t xml:space="preserve">2022-09-26</t>
  </si>
  <si>
    <t xml:space="preserve">red start (window)</t>
  </si>
  <si>
    <t xml:space="preserve">2021-10-08</t>
  </si>
  <si>
    <t xml:space="preserve">2022-10-10</t>
  </si>
  <si>
    <t xml:space="preserve">2022-10-24</t>
  </si>
  <si>
    <t xml:space="preserve">2021-10-12</t>
  </si>
  <si>
    <t xml:space="preserve">2022-11-07</t>
  </si>
  <si>
    <t xml:space="preserve">2021-10-13</t>
  </si>
  <si>
    <t xml:space="preserve">2022-11-21</t>
  </si>
  <si>
    <t xml:space="preserve">2021-10-14</t>
  </si>
  <si>
    <t xml:space="preserve">2022-12-05</t>
  </si>
  <si>
    <t xml:space="preserve">2021-10-15</t>
  </si>
  <si>
    <t xml:space="preserve">2022-12-19</t>
  </si>
  <si>
    <t xml:space="preserve">2021-10-18</t>
  </si>
  <si>
    <t xml:space="preserve">2023-01-02</t>
  </si>
  <si>
    <t xml:space="preserve">2021-10-19</t>
  </si>
  <si>
    <t xml:space="preserve">2023-01-16</t>
  </si>
  <si>
    <t xml:space="preserve">2021-10-20</t>
  </si>
  <si>
    <t xml:space="preserve">2023-01-30</t>
  </si>
  <si>
    <t xml:space="preserve">2021-10-21</t>
  </si>
  <si>
    <t xml:space="preserve">2023-02-13</t>
  </si>
  <si>
    <t xml:space="preserve">2021-10-22</t>
  </si>
  <si>
    <t xml:space="preserve">2023-02-27</t>
  </si>
  <si>
    <t xml:space="preserve">2023-03-13</t>
  </si>
  <si>
    <t xml:space="preserve">2021-10-26</t>
  </si>
  <si>
    <t xml:space="preserve">2023-03-27</t>
  </si>
  <si>
    <t xml:space="preserve">2021-10-27</t>
  </si>
  <si>
    <t xml:space="preserve">2023-04-10</t>
  </si>
  <si>
    <t xml:space="preserve">2021-10-28</t>
  </si>
  <si>
    <t xml:space="preserve">2023-04-24</t>
  </si>
  <si>
    <t xml:space="preserve">2021-10-29</t>
  </si>
  <si>
    <t xml:space="preserve">2023-05-08</t>
  </si>
  <si>
    <t xml:space="preserve">2021-11-01</t>
  </si>
  <si>
    <t xml:space="preserve">2023-05-22</t>
  </si>
  <si>
    <t xml:space="preserve">2021-11-02</t>
  </si>
  <si>
    <t xml:space="preserve">2023-06-05</t>
  </si>
  <si>
    <t xml:space="preserve">2021-11-03</t>
  </si>
  <si>
    <t xml:space="preserve">2023-06-19</t>
  </si>
  <si>
    <t xml:space="preserve">2021-11-04</t>
  </si>
  <si>
    <t xml:space="preserve">2023-07-03</t>
  </si>
  <si>
    <t xml:space="preserve">2021-11-05</t>
  </si>
  <si>
    <t xml:space="preserve">2023-07-17</t>
  </si>
  <si>
    <t xml:space="preserve">2023-07-31</t>
  </si>
  <si>
    <t xml:space="preserve">2021-11-09</t>
  </si>
  <si>
    <t xml:space="preserve">2023-08-14</t>
  </si>
  <si>
    <t xml:space="preserve">2021-11-10</t>
  </si>
  <si>
    <t xml:space="preserve">2023-08-28</t>
  </si>
  <si>
    <t xml:space="preserve">2021-11-11</t>
  </si>
  <si>
    <t xml:space="preserve">2023-09-11</t>
  </si>
  <si>
    <t xml:space="preserve">2021-11-12</t>
  </si>
  <si>
    <t xml:space="preserve">2023-09-25</t>
  </si>
  <si>
    <t xml:space="preserve">2021-11-15</t>
  </si>
  <si>
    <t xml:space="preserve">2023-10-09</t>
  </si>
  <si>
    <t xml:space="preserve">2021-11-16</t>
  </si>
  <si>
    <t xml:space="preserve">2023-10-23</t>
  </si>
  <si>
    <t xml:space="preserve">2021-11-17</t>
  </si>
  <si>
    <t xml:space="preserve">2023-11-06</t>
  </si>
  <si>
    <t xml:space="preserve">2021-11-18</t>
  </si>
  <si>
    <t xml:space="preserve">2023-11-20</t>
  </si>
  <si>
    <t xml:space="preserve">2021-11-19</t>
  </si>
  <si>
    <t xml:space="preserve">2023-12-04</t>
  </si>
  <si>
    <t xml:space="preserve">2023-12-18</t>
  </si>
  <si>
    <t xml:space="preserve">2021-11-23</t>
  </si>
  <si>
    <t xml:space="preserve">2024-01-01</t>
  </si>
  <si>
    <t xml:space="preserve">2021-11-24</t>
  </si>
  <si>
    <t xml:space="preserve">2024-01-15</t>
  </si>
  <si>
    <t xml:space="preserve">2021-11-25</t>
  </si>
  <si>
    <t xml:space="preserve">2024-01-29</t>
  </si>
  <si>
    <t xml:space="preserve">2021-11-26</t>
  </si>
  <si>
    <t xml:space="preserve">2024-02-12</t>
  </si>
  <si>
    <t xml:space="preserve">2021-11-29</t>
  </si>
  <si>
    <t xml:space="preserve">2024-02-26</t>
  </si>
  <si>
    <t xml:space="preserve">2021-11-30</t>
  </si>
  <si>
    <t xml:space="preserve">2024-03-11</t>
  </si>
  <si>
    <t xml:space="preserve">2021-12-01</t>
  </si>
  <si>
    <t xml:space="preserve">2024-03-25</t>
  </si>
  <si>
    <t xml:space="preserve">2021-12-02</t>
  </si>
  <si>
    <t xml:space="preserve">2024-04-08</t>
  </si>
  <si>
    <t xml:space="preserve">2021-12-03</t>
  </si>
  <si>
    <t xml:space="preserve">2024-04-22</t>
  </si>
  <si>
    <t xml:space="preserve">2024-05-06</t>
  </si>
  <si>
    <t xml:space="preserve">2021-12-07</t>
  </si>
  <si>
    <t xml:space="preserve">2024-05-20</t>
  </si>
  <si>
    <t xml:space="preserve">2021-12-08</t>
  </si>
  <si>
    <t xml:space="preserve">2024-06-03</t>
  </si>
  <si>
    <t xml:space="preserve">2021-12-09</t>
  </si>
  <si>
    <t xml:space="preserve">2024-06-17</t>
  </si>
  <si>
    <t xml:space="preserve">2021-12-10</t>
  </si>
  <si>
    <t xml:space="preserve">2024-07-01</t>
  </si>
  <si>
    <t xml:space="preserve">2021-12-13</t>
  </si>
  <si>
    <t xml:space="preserve">2024-07-15</t>
  </si>
  <si>
    <t xml:space="preserve">2021-12-14</t>
  </si>
  <si>
    <t xml:space="preserve">2024-07-29</t>
  </si>
  <si>
    <t xml:space="preserve">2021-12-15</t>
  </si>
  <si>
    <t xml:space="preserve">2024-08-12</t>
  </si>
  <si>
    <t xml:space="preserve">2021-12-16</t>
  </si>
  <si>
    <t xml:space="preserve">2024-08-26</t>
  </si>
  <si>
    <t xml:space="preserve">2021-12-17</t>
  </si>
  <si>
    <t xml:space="preserve">2024-09-09</t>
  </si>
  <si>
    <t xml:space="preserve">2024-09-23</t>
  </si>
  <si>
    <t xml:space="preserve">2021-12-21</t>
  </si>
  <si>
    <t xml:space="preserve">2024-10-07</t>
  </si>
  <si>
    <t xml:space="preserve">2021-12-22</t>
  </si>
  <si>
    <t xml:space="preserve">2024-10-21</t>
  </si>
  <si>
    <t xml:space="preserve">2021-12-23</t>
  </si>
  <si>
    <t xml:space="preserve">2024-11-04</t>
  </si>
  <si>
    <t xml:space="preserve">2021-12-24</t>
  </si>
  <si>
    <t xml:space="preserve">2024-11-18</t>
  </si>
  <si>
    <t xml:space="preserve">2021-12-27</t>
  </si>
  <si>
    <t xml:space="preserve">2024-12-02</t>
  </si>
  <si>
    <t xml:space="preserve">2021-12-28</t>
  </si>
  <si>
    <t xml:space="preserve">2024-12-16</t>
  </si>
  <si>
    <t xml:space="preserve">2021-12-29</t>
  </si>
  <si>
    <t xml:space="preserve">2024-12-30</t>
  </si>
  <si>
    <t xml:space="preserve">2021-12-30</t>
  </si>
  <si>
    <t xml:space="preserve">2025-01-13</t>
  </si>
  <si>
    <t xml:space="preserve">2021-12-31</t>
  </si>
  <si>
    <t xml:space="preserve">2025-01-27</t>
  </si>
  <si>
    <t xml:space="preserve">2025-02-10</t>
  </si>
  <si>
    <t xml:space="preserve">2022-01-04</t>
  </si>
  <si>
    <t xml:space="preserve">2025-02-24</t>
  </si>
  <si>
    <t xml:space="preserve">2022-01-05</t>
  </si>
  <si>
    <t xml:space="preserve">2025-03-10</t>
  </si>
  <si>
    <t xml:space="preserve">2022-01-06</t>
  </si>
  <si>
    <t xml:space="preserve">2025-03-24</t>
  </si>
  <si>
    <t xml:space="preserve">2022-01-07</t>
  </si>
  <si>
    <t xml:space="preserve">2025-04-07</t>
  </si>
  <si>
    <t xml:space="preserve">2022-01-10</t>
  </si>
  <si>
    <t xml:space="preserve">2025-04-21</t>
  </si>
  <si>
    <t xml:space="preserve">2022-01-11</t>
  </si>
  <si>
    <t xml:space="preserve">2025-05-05</t>
  </si>
  <si>
    <t xml:space="preserve">2022-01-12</t>
  </si>
  <si>
    <t xml:space="preserve">2025-05-19</t>
  </si>
  <si>
    <t xml:space="preserve">2022-01-13</t>
  </si>
  <si>
    <t xml:space="preserve">2025-06-02</t>
  </si>
  <si>
    <t xml:space="preserve">2022-01-14</t>
  </si>
  <si>
    <t xml:space="preserve">2025-06-16</t>
  </si>
  <si>
    <t xml:space="preserve">2025-06-30</t>
  </si>
  <si>
    <t xml:space="preserve">2022-01-18</t>
  </si>
  <si>
    <t xml:space="preserve">2025-07-14</t>
  </si>
  <si>
    <t xml:space="preserve">2022-01-19</t>
  </si>
  <si>
    <t xml:space="preserve">2025-07-28</t>
  </si>
  <si>
    <t xml:space="preserve">2022-01-20</t>
  </si>
  <si>
    <t xml:space="preserve">2025-08-11</t>
  </si>
  <si>
    <t xml:space="preserve">2022-01-21</t>
  </si>
  <si>
    <t xml:space="preserve">2025-08-25</t>
  </si>
  <si>
    <t xml:space="preserve">2022-01-24</t>
  </si>
  <si>
    <t xml:space="preserve">2025-09-08</t>
  </si>
  <si>
    <t xml:space="preserve">2022-01-25</t>
  </si>
  <si>
    <t xml:space="preserve">2025-09-22</t>
  </si>
  <si>
    <t xml:space="preserve">2022-01-26</t>
  </si>
  <si>
    <t xml:space="preserve">2025-10-06</t>
  </si>
  <si>
    <t xml:space="preserve">2022-01-27</t>
  </si>
  <si>
    <t xml:space="preserve">2025-10-20</t>
  </si>
  <si>
    <t xml:space="preserve">2022-01-28</t>
  </si>
  <si>
    <t xml:space="preserve">2025-11-03</t>
  </si>
  <si>
    <t xml:space="preserve">2025-11-17</t>
  </si>
  <si>
    <t xml:space="preserve">2022-02-01</t>
  </si>
  <si>
    <t xml:space="preserve">2025-12-01</t>
  </si>
  <si>
    <t xml:space="preserve">2022-02-02</t>
  </si>
  <si>
    <t xml:space="preserve">2025-12-15</t>
  </si>
  <si>
    <t xml:space="preserve">2022-02-03</t>
  </si>
  <si>
    <t xml:space="preserve">2025-12-29</t>
  </si>
  <si>
    <t xml:space="preserve">2022-02-04</t>
  </si>
  <si>
    <t xml:space="preserve">2026-01-12</t>
  </si>
  <si>
    <t xml:space="preserve">2022-02-07</t>
  </si>
  <si>
    <t xml:space="preserve">2026-01-26</t>
  </si>
  <si>
    <t xml:space="preserve">2022-02-08</t>
  </si>
  <si>
    <t xml:space="preserve">2026-02-09</t>
  </si>
  <si>
    <t xml:space="preserve">2022-02-09</t>
  </si>
  <si>
    <t xml:space="preserve">2026-02-23</t>
  </si>
  <si>
    <t xml:space="preserve">2022-02-10</t>
  </si>
  <si>
    <t xml:space="preserve">2026-03-09</t>
  </si>
  <si>
    <t xml:space="preserve">2022-02-11</t>
  </si>
  <si>
    <t xml:space="preserve">2026-03-23</t>
  </si>
  <si>
    <t xml:space="preserve">2026-04-06</t>
  </si>
  <si>
    <t xml:space="preserve">2022-02-15</t>
  </si>
  <si>
    <t xml:space="preserve">2026-04-20</t>
  </si>
  <si>
    <t xml:space="preserve">2022-02-16</t>
  </si>
  <si>
    <t xml:space="preserve">2026-05-04</t>
  </si>
  <si>
    <t xml:space="preserve">2022-02-17</t>
  </si>
  <si>
    <t xml:space="preserve">2026-05-18</t>
  </si>
  <si>
    <t xml:space="preserve">2022-02-18</t>
  </si>
  <si>
    <t xml:space="preserve">2026-06-01</t>
  </si>
  <si>
    <t xml:space="preserve">2022-02-21</t>
  </si>
  <si>
    <t xml:space="preserve">2026-06-15</t>
  </si>
  <si>
    <t xml:space="preserve">2022-02-22</t>
  </si>
  <si>
    <t xml:space="preserve">2026-06-29</t>
  </si>
  <si>
    <t xml:space="preserve">2022-02-23</t>
  </si>
  <si>
    <t xml:space="preserve">2026-07-13</t>
  </si>
  <si>
    <t xml:space="preserve">2022-02-24</t>
  </si>
  <si>
    <t xml:space="preserve">2026-07-27</t>
  </si>
  <si>
    <t xml:space="preserve">2022-02-25</t>
  </si>
  <si>
    <t xml:space="preserve">2026-08-10</t>
  </si>
  <si>
    <t xml:space="preserve">2026-08-24</t>
  </si>
  <si>
    <t xml:space="preserve">2022-03-01</t>
  </si>
  <si>
    <t xml:space="preserve">2026-09-07</t>
  </si>
  <si>
    <t xml:space="preserve">2022-03-02</t>
  </si>
  <si>
    <t xml:space="preserve">2022-03-03</t>
  </si>
  <si>
    <t xml:space="preserve">2022-03-04</t>
  </si>
  <si>
    <t xml:space="preserve">2022-03-07</t>
  </si>
  <si>
    <t xml:space="preserve">2022-03-08</t>
  </si>
  <si>
    <t xml:space="preserve">2022-03-09</t>
  </si>
  <si>
    <t xml:space="preserve">2022-03-10</t>
  </si>
  <si>
    <t xml:space="preserve">2022-03-11</t>
  </si>
  <si>
    <t xml:space="preserve">2022-03-15</t>
  </si>
  <si>
    <t xml:space="preserve">2022-03-16</t>
  </si>
  <si>
    <t xml:space="preserve">2022-03-17</t>
  </si>
  <si>
    <t xml:space="preserve">2022-03-18</t>
  </si>
  <si>
    <t xml:space="preserve">2022-03-21</t>
  </si>
  <si>
    <t xml:space="preserve">2022-03-22</t>
  </si>
  <si>
    <t xml:space="preserve">2022-03-23</t>
  </si>
  <si>
    <t xml:space="preserve">2022-03-24</t>
  </si>
  <si>
    <t xml:space="preserve">2022-03-25</t>
  </si>
  <si>
    <t xml:space="preserve">2022-03-29</t>
  </si>
  <si>
    <t xml:space="preserve">2022-03-30</t>
  </si>
  <si>
    <t xml:space="preserve">2022-03-31</t>
  </si>
  <si>
    <t xml:space="preserve">2022-04-01</t>
  </si>
  <si>
    <t xml:space="preserve">2022-04-04</t>
  </si>
  <si>
    <t xml:space="preserve">2022-04-05</t>
  </si>
  <si>
    <t xml:space="preserve">2022-04-06</t>
  </si>
  <si>
    <t xml:space="preserve">2022-04-07</t>
  </si>
  <si>
    <t xml:space="preserve">2022-04-08</t>
  </si>
  <si>
    <t xml:space="preserve">2022-04-12</t>
  </si>
  <si>
    <t xml:space="preserve">2022-04-13</t>
  </si>
  <si>
    <t xml:space="preserve">2022-04-14</t>
  </si>
  <si>
    <t xml:space="preserve">2022-04-15</t>
  </si>
  <si>
    <t xml:space="preserve">2022-04-18</t>
  </si>
  <si>
    <t xml:space="preserve">2022-04-19</t>
  </si>
  <si>
    <t xml:space="preserve">2022-04-20</t>
  </si>
  <si>
    <t xml:space="preserve">2022-04-21</t>
  </si>
  <si>
    <t xml:space="preserve">2022-04-22</t>
  </si>
  <si>
    <t xml:space="preserve">2022-04-26</t>
  </si>
  <si>
    <t xml:space="preserve">2022-04-27</t>
  </si>
  <si>
    <t xml:space="preserve">2022-04-28</t>
  </si>
  <si>
    <t xml:space="preserve">2022-04-29</t>
  </si>
  <si>
    <t xml:space="preserve">2022-05-02</t>
  </si>
  <si>
    <t xml:space="preserve">2022-05-03</t>
  </si>
  <si>
    <t xml:space="preserve">2022-05-04</t>
  </si>
  <si>
    <t xml:space="preserve">2022-05-05</t>
  </si>
  <si>
    <t xml:space="preserve">2022-05-06</t>
  </si>
  <si>
    <t xml:space="preserve">2022-05-10</t>
  </si>
  <si>
    <t xml:space="preserve">2022-05-11</t>
  </si>
  <si>
    <t xml:space="preserve">2022-05-12</t>
  </si>
  <si>
    <t xml:space="preserve">2022-05-13</t>
  </si>
  <si>
    <t xml:space="preserve">2022-05-16</t>
  </si>
  <si>
    <t xml:space="preserve">2022-05-17</t>
  </si>
  <si>
    <t xml:space="preserve">2022-05-18</t>
  </si>
  <si>
    <t xml:space="preserve">2022-05-19</t>
  </si>
  <si>
    <t xml:space="preserve">2022-05-20</t>
  </si>
  <si>
    <t xml:space="preserve">2022-05-24</t>
  </si>
  <si>
    <t xml:space="preserve">2022-05-25</t>
  </si>
  <si>
    <t xml:space="preserve">2022-05-26</t>
  </si>
  <si>
    <t xml:space="preserve">2022-05-27</t>
  </si>
  <si>
    <t xml:space="preserve">2022-05-30</t>
  </si>
  <si>
    <t xml:space="preserve">2022-05-31</t>
  </si>
  <si>
    <t xml:space="preserve">2022-06-01</t>
  </si>
  <si>
    <t xml:space="preserve">2022-06-02</t>
  </si>
  <si>
    <t xml:space="preserve">2022-06-03</t>
  </si>
  <si>
    <t xml:space="preserve">2022-06-07</t>
  </si>
  <si>
    <t xml:space="preserve">2022-06-08</t>
  </si>
  <si>
    <t xml:space="preserve">2022-06-09</t>
  </si>
  <si>
    <t xml:space="preserve">2022-06-10</t>
  </si>
  <si>
    <t xml:space="preserve">2022-06-13</t>
  </si>
  <si>
    <t xml:space="preserve">2022-06-14</t>
  </si>
  <si>
    <t xml:space="preserve">2022-06-15</t>
  </si>
  <si>
    <t xml:space="preserve">2022-06-16</t>
  </si>
  <si>
    <t xml:space="preserve">2022-06-17</t>
  </si>
  <si>
    <t xml:space="preserve">2022-06-21</t>
  </si>
  <si>
    <t xml:space="preserve">2022-06-22</t>
  </si>
  <si>
    <t xml:space="preserve">2022-06-23</t>
  </si>
  <si>
    <t xml:space="preserve">2022-06-24</t>
  </si>
  <si>
    <t xml:space="preserve">2022-06-27</t>
  </si>
  <si>
    <t xml:space="preserve">2022-06-28</t>
  </si>
  <si>
    <t xml:space="preserve">2022-06-29</t>
  </si>
  <si>
    <t xml:space="preserve">2022-06-30</t>
  </si>
  <si>
    <t xml:space="preserve">2022-07-01</t>
  </si>
  <si>
    <t xml:space="preserve">2022-07-05</t>
  </si>
  <si>
    <t xml:space="preserve">2022-07-06</t>
  </si>
  <si>
    <t xml:space="preserve">2022-07-07</t>
  </si>
  <si>
    <t xml:space="preserve">2022-07-08</t>
  </si>
  <si>
    <t xml:space="preserve">2022-07-11</t>
  </si>
  <si>
    <t xml:space="preserve">2022-07-12</t>
  </si>
  <si>
    <t xml:space="preserve">2022-07-13</t>
  </si>
  <si>
    <t xml:space="preserve">2022-07-14</t>
  </si>
  <si>
    <t xml:space="preserve">2022-07-15</t>
  </si>
  <si>
    <t xml:space="preserve">2022-07-19</t>
  </si>
  <si>
    <t xml:space="preserve">2022-07-20</t>
  </si>
  <si>
    <t xml:space="preserve">2022-07-21</t>
  </si>
  <si>
    <t xml:space="preserve">2022-07-22</t>
  </si>
  <si>
    <t xml:space="preserve">2022-07-25</t>
  </si>
  <si>
    <t xml:space="preserve">2022-07-26</t>
  </si>
  <si>
    <t xml:space="preserve">2022-07-27</t>
  </si>
  <si>
    <t xml:space="preserve">2022-07-28</t>
  </si>
  <si>
    <t xml:space="preserve">2022-07-29</t>
  </si>
  <si>
    <t xml:space="preserve">2022-08-02</t>
  </si>
  <si>
    <t xml:space="preserve">2022-08-03</t>
  </si>
  <si>
    <t xml:space="preserve">2022-08-04</t>
  </si>
  <si>
    <t xml:space="preserve">2022-08-05</t>
  </si>
  <si>
    <t xml:space="preserve">2022-08-08</t>
  </si>
  <si>
    <t xml:space="preserve">2022-08-09</t>
  </si>
  <si>
    <t xml:space="preserve">2022-08-10</t>
  </si>
  <si>
    <t xml:space="preserve">2022-08-11</t>
  </si>
  <si>
    <t xml:space="preserve">2022-08-12</t>
  </si>
  <si>
    <t xml:space="preserve">2022-08-16</t>
  </si>
  <si>
    <t xml:space="preserve">2022-08-17</t>
  </si>
  <si>
    <t xml:space="preserve">2022-08-18</t>
  </si>
  <si>
    <t xml:space="preserve">2022-08-19</t>
  </si>
  <si>
    <t xml:space="preserve">2022-08-22</t>
  </si>
  <si>
    <t xml:space="preserve">2022-08-23</t>
  </si>
  <si>
    <t xml:space="preserve">2022-08-24</t>
  </si>
  <si>
    <t xml:space="preserve">2022-08-25</t>
  </si>
  <si>
    <t xml:space="preserve">2022-08-26</t>
  </si>
  <si>
    <t xml:space="preserve">2022-08-30</t>
  </si>
  <si>
    <t xml:space="preserve">2022-08-31</t>
  </si>
  <si>
    <t xml:space="preserve">2022-09-01</t>
  </si>
  <si>
    <t xml:space="preserve">2022-09-02</t>
  </si>
  <si>
    <t xml:space="preserve">2022-09-05</t>
  </si>
  <si>
    <t xml:space="preserve">2022-09-06</t>
  </si>
  <si>
    <t xml:space="preserve">2022-09-07</t>
  </si>
  <si>
    <t xml:space="preserve">2022-09-08</t>
  </si>
  <si>
    <t xml:space="preserve">2022-09-09</t>
  </si>
  <si>
    <t xml:space="preserve">2022-09-13</t>
  </si>
  <si>
    <t xml:space="preserve">2022-09-14</t>
  </si>
  <si>
    <t xml:space="preserve">2022-09-15</t>
  </si>
  <si>
    <t xml:space="preserve">2022-09-16</t>
  </si>
  <si>
    <t xml:space="preserve">2022-09-19</t>
  </si>
  <si>
    <t xml:space="preserve">2022-09-20</t>
  </si>
  <si>
    <t xml:space="preserve">2022-09-21</t>
  </si>
  <si>
    <t xml:space="preserve">2022-09-22</t>
  </si>
  <si>
    <t xml:space="preserve">2022-09-23</t>
  </si>
  <si>
    <t xml:space="preserve">2022-09-27</t>
  </si>
  <si>
    <t xml:space="preserve">2022-09-28</t>
  </si>
  <si>
    <t xml:space="preserve">2022-09-29</t>
  </si>
  <si>
    <t xml:space="preserve">2022-09-30</t>
  </si>
  <si>
    <t xml:space="preserve">2022-10-03</t>
  </si>
  <si>
    <t xml:space="preserve">2022-10-04</t>
  </si>
  <si>
    <t xml:space="preserve">2022-10-05</t>
  </si>
  <si>
    <t xml:space="preserve">2022-10-06</t>
  </si>
  <si>
    <t xml:space="preserve">2022-10-07</t>
  </si>
  <si>
    <t xml:space="preserve">2022-10-11</t>
  </si>
  <si>
    <t xml:space="preserve">2022-10-12</t>
  </si>
  <si>
    <t xml:space="preserve">2022-10-13</t>
  </si>
  <si>
    <t xml:space="preserve">2022-10-14</t>
  </si>
  <si>
    <t xml:space="preserve">2022-10-17</t>
  </si>
  <si>
    <t xml:space="preserve">2022-10-18</t>
  </si>
  <si>
    <t xml:space="preserve">2022-10-19</t>
  </si>
  <si>
    <t xml:space="preserve">2022-10-20</t>
  </si>
  <si>
    <t xml:space="preserve">2022-10-21</t>
  </si>
  <si>
    <t xml:space="preserve">2022-10-25</t>
  </si>
  <si>
    <t xml:space="preserve">2022-10-26</t>
  </si>
  <si>
    <t xml:space="preserve">2022-10-27</t>
  </si>
  <si>
    <t xml:space="preserve">2022-10-28</t>
  </si>
  <si>
    <t xml:space="preserve">2022-10-31</t>
  </si>
  <si>
    <t xml:space="preserve">2022-11-01</t>
  </si>
  <si>
    <t xml:space="preserve">2022-11-02</t>
  </si>
  <si>
    <t xml:space="preserve">2022-11-03</t>
  </si>
  <si>
    <t xml:space="preserve">2022-11-04</t>
  </si>
  <si>
    <t xml:space="preserve">2022-11-08</t>
  </si>
  <si>
    <t xml:space="preserve">2022-11-09</t>
  </si>
  <si>
    <t xml:space="preserve">2022-11-10</t>
  </si>
  <si>
    <t xml:space="preserve">2022-11-11</t>
  </si>
  <si>
    <t xml:space="preserve">2022-11-14</t>
  </si>
  <si>
    <t xml:space="preserve">2022-11-15</t>
  </si>
  <si>
    <t xml:space="preserve">2022-11-16</t>
  </si>
  <si>
    <t xml:space="preserve">2022-11-17</t>
  </si>
  <si>
    <t xml:space="preserve">2022-11-18</t>
  </si>
  <si>
    <t xml:space="preserve">2022-11-22</t>
  </si>
  <si>
    <t xml:space="preserve">2022-11-23</t>
  </si>
  <si>
    <t xml:space="preserve">2022-11-24</t>
  </si>
  <si>
    <t xml:space="preserve">2022-11-25</t>
  </si>
  <si>
    <t xml:space="preserve">2022-11-28</t>
  </si>
  <si>
    <t xml:space="preserve">2022-11-29</t>
  </si>
  <si>
    <t xml:space="preserve">2022-11-30</t>
  </si>
  <si>
    <t xml:space="preserve">2022-12-01</t>
  </si>
  <si>
    <t xml:space="preserve">2022-12-02</t>
  </si>
  <si>
    <t xml:space="preserve">2022-12-06</t>
  </si>
  <si>
    <t xml:space="preserve">2022-12-07</t>
  </si>
  <si>
    <t xml:space="preserve">2022-12-08</t>
  </si>
  <si>
    <t xml:space="preserve">2022-12-09</t>
  </si>
  <si>
    <t xml:space="preserve">2022-12-12</t>
  </si>
  <si>
    <t xml:space="preserve">2022-12-13</t>
  </si>
  <si>
    <t xml:space="preserve">2022-12-14</t>
  </si>
  <si>
    <t xml:space="preserve">2022-12-15</t>
  </si>
  <si>
    <t xml:space="preserve">2022-12-16</t>
  </si>
  <si>
    <t xml:space="preserve">2022-12-20</t>
  </si>
  <si>
    <t xml:space="preserve">2022-12-21</t>
  </si>
  <si>
    <t xml:space="preserve">2022-12-22</t>
  </si>
  <si>
    <t xml:space="preserve">2022-12-23</t>
  </si>
  <si>
    <t xml:space="preserve">2022-12-26</t>
  </si>
  <si>
    <t xml:space="preserve">2022-12-27</t>
  </si>
  <si>
    <t xml:space="preserve">2022-12-28</t>
  </si>
  <si>
    <t xml:space="preserve">2022-12-29</t>
  </si>
  <si>
    <t xml:space="preserve">2022-12-30</t>
  </si>
  <si>
    <t xml:space="preserve">2023-01-03</t>
  </si>
  <si>
    <t xml:space="preserve">2023-01-04</t>
  </si>
  <si>
    <t xml:space="preserve">2023-01-05</t>
  </si>
  <si>
    <t xml:space="preserve">2023-01-06</t>
  </si>
  <si>
    <t xml:space="preserve">2023-01-09</t>
  </si>
  <si>
    <t xml:space="preserve">2023-01-10</t>
  </si>
  <si>
    <t xml:space="preserve">2023-01-11</t>
  </si>
  <si>
    <t xml:space="preserve">2023-01-12</t>
  </si>
  <si>
    <t xml:space="preserve">2023-01-13</t>
  </si>
  <si>
    <t xml:space="preserve">2023-01-17</t>
  </si>
  <si>
    <t xml:space="preserve">2023-01-18</t>
  </si>
  <si>
    <t xml:space="preserve">2023-01-19</t>
  </si>
  <si>
    <t xml:space="preserve">2023-01-20</t>
  </si>
  <si>
    <t xml:space="preserve">2023-01-23</t>
  </si>
  <si>
    <t xml:space="preserve">2023-01-24</t>
  </si>
  <si>
    <t xml:space="preserve">2023-01-25</t>
  </si>
  <si>
    <t xml:space="preserve">2023-01-26</t>
  </si>
  <si>
    <t xml:space="preserve">2023-01-27</t>
  </si>
  <si>
    <t xml:space="preserve">2023-01-31</t>
  </si>
  <si>
    <t xml:space="preserve">2023-02-01</t>
  </si>
  <si>
    <t xml:space="preserve">2023-02-02</t>
  </si>
  <si>
    <t xml:space="preserve">2023-02-03</t>
  </si>
  <si>
    <t xml:space="preserve">2023-02-06</t>
  </si>
  <si>
    <t xml:space="preserve">2023-02-07</t>
  </si>
  <si>
    <t xml:space="preserve">2023-02-08</t>
  </si>
  <si>
    <t xml:space="preserve">2023-02-09</t>
  </si>
  <si>
    <t xml:space="preserve">2023-02-10</t>
  </si>
  <si>
    <t xml:space="preserve">2023-02-14</t>
  </si>
  <si>
    <t xml:space="preserve">2023-02-15</t>
  </si>
  <si>
    <t xml:space="preserve">2023-02-16</t>
  </si>
  <si>
    <t xml:space="preserve">2023-02-17</t>
  </si>
  <si>
    <t xml:space="preserve">2023-02-20</t>
  </si>
  <si>
    <t xml:space="preserve">2023-02-21</t>
  </si>
  <si>
    <t xml:space="preserve">2023-02-22</t>
  </si>
  <si>
    <t xml:space="preserve">2023-02-23</t>
  </si>
  <si>
    <t xml:space="preserve">2023-02-24</t>
  </si>
  <si>
    <t xml:space="preserve">2023-02-28</t>
  </si>
  <si>
    <t xml:space="preserve">2023-03-01</t>
  </si>
  <si>
    <t xml:space="preserve">2023-03-02</t>
  </si>
  <si>
    <t xml:space="preserve">2023-03-03</t>
  </si>
  <si>
    <t xml:space="preserve">2023-03-06</t>
  </si>
  <si>
    <t xml:space="preserve">2023-03-07</t>
  </si>
  <si>
    <t xml:space="preserve">2023-03-08</t>
  </si>
  <si>
    <t xml:space="preserve">2023-03-09</t>
  </si>
  <si>
    <t xml:space="preserve">2023-03-10</t>
  </si>
  <si>
    <t xml:space="preserve">2023-03-14</t>
  </si>
  <si>
    <t xml:space="preserve">2023-03-15</t>
  </si>
  <si>
    <t xml:space="preserve">2023-03-16</t>
  </si>
  <si>
    <t xml:space="preserve">2023-03-17</t>
  </si>
  <si>
    <t xml:space="preserve">2023-03-20</t>
  </si>
  <si>
    <t xml:space="preserve">2023-03-21</t>
  </si>
  <si>
    <t xml:space="preserve">2023-03-22</t>
  </si>
  <si>
    <t xml:space="preserve">2023-03-23</t>
  </si>
  <si>
    <t xml:space="preserve">2023-03-24</t>
  </si>
  <si>
    <t xml:space="preserve">2023-03-28</t>
  </si>
  <si>
    <t xml:space="preserve">2023-03-29</t>
  </si>
  <si>
    <t xml:space="preserve">2023-03-30</t>
  </si>
  <si>
    <t xml:space="preserve">2023-03-31</t>
  </si>
  <si>
    <t xml:space="preserve">2023-04-03</t>
  </si>
  <si>
    <t xml:space="preserve">2023-04-04</t>
  </si>
  <si>
    <t xml:space="preserve">2023-04-05</t>
  </si>
  <si>
    <t xml:space="preserve">2023-04-06</t>
  </si>
  <si>
    <t xml:space="preserve">2023-04-07</t>
  </si>
  <si>
    <t xml:space="preserve">2023-04-11</t>
  </si>
  <si>
    <t xml:space="preserve">2023-04-12</t>
  </si>
  <si>
    <t xml:space="preserve">2023-04-13</t>
  </si>
  <si>
    <t xml:space="preserve">2023-04-14</t>
  </si>
  <si>
    <t xml:space="preserve">2023-04-17</t>
  </si>
  <si>
    <t xml:space="preserve">2023-04-18</t>
  </si>
  <si>
    <t xml:space="preserve">2023-04-19</t>
  </si>
  <si>
    <t xml:space="preserve">2023-04-20</t>
  </si>
  <si>
    <t xml:space="preserve">2023-04-21</t>
  </si>
  <si>
    <t xml:space="preserve">2023-04-25</t>
  </si>
  <si>
    <t xml:space="preserve">2023-04-26</t>
  </si>
  <si>
    <t xml:space="preserve">2023-04-27</t>
  </si>
  <si>
    <t xml:space="preserve">2023-04-28</t>
  </si>
  <si>
    <t xml:space="preserve">2023-05-01</t>
  </si>
  <si>
    <t xml:space="preserve">2023-05-02</t>
  </si>
  <si>
    <t xml:space="preserve">2023-05-03</t>
  </si>
  <si>
    <t xml:space="preserve">2023-05-04</t>
  </si>
  <si>
    <t xml:space="preserve">2023-05-05</t>
  </si>
  <si>
    <t xml:space="preserve">2023-05-09</t>
  </si>
  <si>
    <t xml:space="preserve">2023-05-10</t>
  </si>
  <si>
    <t xml:space="preserve">2023-05-11</t>
  </si>
  <si>
    <t xml:space="preserve">2023-05-12</t>
  </si>
  <si>
    <t xml:space="preserve">2023-05-15</t>
  </si>
  <si>
    <t xml:space="preserve">2023-05-16</t>
  </si>
  <si>
    <t xml:space="preserve">2023-05-17</t>
  </si>
  <si>
    <t xml:space="preserve">2023-05-18</t>
  </si>
  <si>
    <t xml:space="preserve">2023-05-19</t>
  </si>
  <si>
    <t xml:space="preserve">2023-05-23</t>
  </si>
  <si>
    <t xml:space="preserve">2023-05-24</t>
  </si>
  <si>
    <t xml:space="preserve">2023-05-25</t>
  </si>
  <si>
    <t xml:space="preserve">2023-05-26</t>
  </si>
  <si>
    <t xml:space="preserve">2023-05-29</t>
  </si>
  <si>
    <t xml:space="preserve">2023-05-30</t>
  </si>
  <si>
    <t xml:space="preserve">2023-05-31</t>
  </si>
  <si>
    <t xml:space="preserve">2023-06-01</t>
  </si>
  <si>
    <t xml:space="preserve">2023-06-02</t>
  </si>
  <si>
    <t xml:space="preserve">2023-06-06</t>
  </si>
  <si>
    <t xml:space="preserve">2023-06-07</t>
  </si>
  <si>
    <t xml:space="preserve">2023-06-08</t>
  </si>
  <si>
    <t xml:space="preserve">2023-06-09</t>
  </si>
  <si>
    <t xml:space="preserve">2023-06-12</t>
  </si>
  <si>
    <t xml:space="preserve">2023-06-13</t>
  </si>
  <si>
    <t xml:space="preserve">2023-06-14</t>
  </si>
  <si>
    <t xml:space="preserve">2023-06-15</t>
  </si>
  <si>
    <t xml:space="preserve">2023-06-16</t>
  </si>
  <si>
    <t xml:space="preserve">2023-06-20</t>
  </si>
  <si>
    <t xml:space="preserve">2023-06-21</t>
  </si>
  <si>
    <t xml:space="preserve">2023-06-22</t>
  </si>
  <si>
    <t xml:space="preserve">2023-06-23</t>
  </si>
  <si>
    <t xml:space="preserve">2023-06-26</t>
  </si>
  <si>
    <t xml:space="preserve">2023-06-27</t>
  </si>
  <si>
    <t xml:space="preserve">2023-06-28</t>
  </si>
  <si>
    <t xml:space="preserve">2023-06-29</t>
  </si>
  <si>
    <t xml:space="preserve">2023-06-30</t>
  </si>
  <si>
    <t xml:space="preserve">2023-07-04</t>
  </si>
  <si>
    <t xml:space="preserve">2023-07-05</t>
  </si>
  <si>
    <t xml:space="preserve">2023-07-06</t>
  </si>
  <si>
    <t xml:space="preserve">2023-07-07</t>
  </si>
  <si>
    <t xml:space="preserve">2023-07-10</t>
  </si>
  <si>
    <t xml:space="preserve">2023-07-11</t>
  </si>
  <si>
    <t xml:space="preserve">2023-07-12</t>
  </si>
  <si>
    <t xml:space="preserve">2023-07-13</t>
  </si>
  <si>
    <t xml:space="preserve">2023-07-14</t>
  </si>
  <si>
    <t xml:space="preserve">2023-07-18</t>
  </si>
  <si>
    <t xml:space="preserve">2023-07-19</t>
  </si>
  <si>
    <t xml:space="preserve">2023-07-20</t>
  </si>
  <si>
    <t xml:space="preserve">2023-07-21</t>
  </si>
  <si>
    <t xml:space="preserve">2023-07-24</t>
  </si>
  <si>
    <t xml:space="preserve">2023-07-25</t>
  </si>
  <si>
    <t xml:space="preserve">2023-07-26</t>
  </si>
  <si>
    <t xml:space="preserve">2023-07-27</t>
  </si>
  <si>
    <t xml:space="preserve">2023-07-28</t>
  </si>
  <si>
    <t xml:space="preserve">2023-08-01</t>
  </si>
  <si>
    <t xml:space="preserve">2023-08-02</t>
  </si>
  <si>
    <t xml:space="preserve">2023-08-03</t>
  </si>
  <si>
    <t xml:space="preserve">2023-08-04</t>
  </si>
  <si>
    <t xml:space="preserve">2023-08-07</t>
  </si>
  <si>
    <t xml:space="preserve">2023-08-08</t>
  </si>
  <si>
    <t xml:space="preserve">2023-08-09</t>
  </si>
  <si>
    <t xml:space="preserve">2023-08-10</t>
  </si>
  <si>
    <t xml:space="preserve">2023-08-11</t>
  </si>
  <si>
    <t xml:space="preserve">2023-08-15</t>
  </si>
  <si>
    <t xml:space="preserve">2023-08-16</t>
  </si>
  <si>
    <t xml:space="preserve">2023-08-17</t>
  </si>
  <si>
    <t xml:space="preserve">2023-08-18</t>
  </si>
  <si>
    <t xml:space="preserve">2023-08-21</t>
  </si>
  <si>
    <t xml:space="preserve">2023-08-22</t>
  </si>
  <si>
    <t xml:space="preserve">2023-08-23</t>
  </si>
  <si>
    <t xml:space="preserve">2023-08-24</t>
  </si>
  <si>
    <t xml:space="preserve">2023-08-25</t>
  </si>
  <si>
    <t xml:space="preserve">2023-08-29</t>
  </si>
  <si>
    <t xml:space="preserve">2023-08-30</t>
  </si>
  <si>
    <t xml:space="preserve">2023-08-31</t>
  </si>
  <si>
    <t xml:space="preserve">2023-09-01</t>
  </si>
  <si>
    <t xml:space="preserve">2023-09-04</t>
  </si>
  <si>
    <t xml:space="preserve">2023-09-05</t>
  </si>
  <si>
    <t xml:space="preserve">2023-09-06</t>
  </si>
  <si>
    <t xml:space="preserve">2023-09-07</t>
  </si>
  <si>
    <t xml:space="preserve">2023-09-08</t>
  </si>
  <si>
    <t xml:space="preserve">2023-09-12</t>
  </si>
  <si>
    <t xml:space="preserve">2023-09-13</t>
  </si>
  <si>
    <t xml:space="preserve">2023-09-14</t>
  </si>
  <si>
    <t xml:space="preserve">2023-09-15</t>
  </si>
  <si>
    <t xml:space="preserve">2023-09-18</t>
  </si>
  <si>
    <t xml:space="preserve">2023-09-19</t>
  </si>
  <si>
    <t xml:space="preserve">2023-09-20</t>
  </si>
  <si>
    <t xml:space="preserve">2023-09-21</t>
  </si>
  <si>
    <t xml:space="preserve">2023-09-22</t>
  </si>
  <si>
    <t xml:space="preserve">2023-09-26</t>
  </si>
  <si>
    <t xml:space="preserve">2023-09-27</t>
  </si>
  <si>
    <t xml:space="preserve">2023-09-28</t>
  </si>
  <si>
    <t xml:space="preserve">2023-09-29</t>
  </si>
  <si>
    <t xml:space="preserve">2023-10-02</t>
  </si>
  <si>
    <t xml:space="preserve">2023-10-03</t>
  </si>
  <si>
    <t xml:space="preserve">2023-10-04</t>
  </si>
  <si>
    <t xml:space="preserve">2023-10-05</t>
  </si>
  <si>
    <t xml:space="preserve">2023-10-06</t>
  </si>
  <si>
    <t xml:space="preserve">2023-10-10</t>
  </si>
  <si>
    <t xml:space="preserve">2023-10-11</t>
  </si>
  <si>
    <t xml:space="preserve">2023-10-12</t>
  </si>
  <si>
    <t xml:space="preserve">2023-10-13</t>
  </si>
  <si>
    <t xml:space="preserve">2023-10-16</t>
  </si>
  <si>
    <t xml:space="preserve">2023-10-17</t>
  </si>
  <si>
    <t xml:space="preserve">2023-10-18</t>
  </si>
  <si>
    <t xml:space="preserve">2023-10-19</t>
  </si>
  <si>
    <t xml:space="preserve">2023-10-20</t>
  </si>
  <si>
    <t xml:space="preserve">2023-10-24</t>
  </si>
  <si>
    <t xml:space="preserve">2023-10-25</t>
  </si>
  <si>
    <t xml:space="preserve">2023-10-26</t>
  </si>
  <si>
    <t xml:space="preserve">2023-10-27</t>
  </si>
  <si>
    <t xml:space="preserve">2023-10-30</t>
  </si>
  <si>
    <t xml:space="preserve">2023-10-31</t>
  </si>
  <si>
    <t xml:space="preserve">2023-11-01</t>
  </si>
  <si>
    <t xml:space="preserve">2023-11-02</t>
  </si>
  <si>
    <t xml:space="preserve">2023-11-03</t>
  </si>
  <si>
    <t xml:space="preserve">2023-11-07</t>
  </si>
  <si>
    <t xml:space="preserve">2023-11-08</t>
  </si>
  <si>
    <t xml:space="preserve">2023-11-09</t>
  </si>
  <si>
    <t xml:space="preserve">2023-11-10</t>
  </si>
  <si>
    <t xml:space="preserve">2023-11-13</t>
  </si>
  <si>
    <t xml:space="preserve">2023-11-14</t>
  </si>
  <si>
    <t xml:space="preserve">2023-11-15</t>
  </si>
  <si>
    <t xml:space="preserve">2023-11-16</t>
  </si>
  <si>
    <t xml:space="preserve">2023-11-17</t>
  </si>
  <si>
    <t xml:space="preserve">2023-11-21</t>
  </si>
  <si>
    <t xml:space="preserve">2023-11-22</t>
  </si>
  <si>
    <t xml:space="preserve">2023-11-23</t>
  </si>
  <si>
    <t xml:space="preserve">2023-11-24</t>
  </si>
  <si>
    <t xml:space="preserve">2023-11-27</t>
  </si>
  <si>
    <t xml:space="preserve">2023-11-28</t>
  </si>
  <si>
    <t xml:space="preserve">2023-11-29</t>
  </si>
  <si>
    <t xml:space="preserve">2023-11-30</t>
  </si>
  <si>
    <t xml:space="preserve">2023-12-01</t>
  </si>
  <si>
    <t xml:space="preserve">2023-12-05</t>
  </si>
  <si>
    <t xml:space="preserve">2023-12-06</t>
  </si>
  <si>
    <t xml:space="preserve">2023-12-07</t>
  </si>
  <si>
    <t xml:space="preserve">2023-12-08</t>
  </si>
  <si>
    <t xml:space="preserve">2023-12-11</t>
  </si>
  <si>
    <t xml:space="preserve">2023-12-12</t>
  </si>
  <si>
    <t xml:space="preserve">2023-12-13</t>
  </si>
  <si>
    <t xml:space="preserve">2023-12-14</t>
  </si>
  <si>
    <t xml:space="preserve">2023-12-15</t>
  </si>
  <si>
    <t xml:space="preserve">2023-12-19</t>
  </si>
  <si>
    <t xml:space="preserve">2023-12-20</t>
  </si>
  <si>
    <t xml:space="preserve">2023-12-21</t>
  </si>
  <si>
    <t xml:space="preserve">2023-12-22</t>
  </si>
  <si>
    <t xml:space="preserve">2023-12-25</t>
  </si>
  <si>
    <t xml:space="preserve">2023-12-26</t>
  </si>
  <si>
    <t xml:space="preserve">2023-12-27</t>
  </si>
  <si>
    <t xml:space="preserve">2023-12-28</t>
  </si>
  <si>
    <t xml:space="preserve">2023-12-29</t>
  </si>
  <si>
    <t xml:space="preserve">2024-01-02</t>
  </si>
  <si>
    <t xml:space="preserve">2024-01-03</t>
  </si>
  <si>
    <t xml:space="preserve">2024-01-04</t>
  </si>
  <si>
    <t xml:space="preserve">2024-01-05</t>
  </si>
  <si>
    <t xml:space="preserve">2024-01-08</t>
  </si>
  <si>
    <t xml:space="preserve">2024-01-09</t>
  </si>
  <si>
    <t xml:space="preserve">2024-01-10</t>
  </si>
  <si>
    <t xml:space="preserve">2024-01-11</t>
  </si>
  <si>
    <t xml:space="preserve">2024-01-12</t>
  </si>
  <si>
    <t xml:space="preserve">2024-01-16</t>
  </si>
  <si>
    <t xml:space="preserve">2024-01-17</t>
  </si>
  <si>
    <t xml:space="preserve">2024-01-18</t>
  </si>
  <si>
    <t xml:space="preserve">2024-01-19</t>
  </si>
  <si>
    <t xml:space="preserve">2024-01-22</t>
  </si>
  <si>
    <t xml:space="preserve">2024-01-23</t>
  </si>
  <si>
    <t xml:space="preserve">2024-01-24</t>
  </si>
  <si>
    <t xml:space="preserve">2024-01-25</t>
  </si>
  <si>
    <t xml:space="preserve">2024-01-26</t>
  </si>
  <si>
    <t xml:space="preserve">2024-01-30</t>
  </si>
  <si>
    <t xml:space="preserve">2024-01-31</t>
  </si>
  <si>
    <t xml:space="preserve">2024-02-01</t>
  </si>
  <si>
    <t xml:space="preserve">2024-02-02</t>
  </si>
  <si>
    <t xml:space="preserve">2024-02-05</t>
  </si>
  <si>
    <t xml:space="preserve">2024-02-06</t>
  </si>
  <si>
    <t xml:space="preserve">2024-02-07</t>
  </si>
  <si>
    <t xml:space="preserve">2024-02-08</t>
  </si>
  <si>
    <t xml:space="preserve">2024-02-09</t>
  </si>
  <si>
    <t xml:space="preserve">2024-02-13</t>
  </si>
  <si>
    <t xml:space="preserve">2024-02-14</t>
  </si>
  <si>
    <t xml:space="preserve">2024-02-15</t>
  </si>
  <si>
    <t xml:space="preserve">2024-02-16</t>
  </si>
  <si>
    <t xml:space="preserve">2024-02-19</t>
  </si>
  <si>
    <t xml:space="preserve">2024-02-20</t>
  </si>
  <si>
    <t xml:space="preserve">2024-02-21</t>
  </si>
  <si>
    <t xml:space="preserve">2024-02-22</t>
  </si>
  <si>
    <t xml:space="preserve">2024-02-23</t>
  </si>
  <si>
    <t xml:space="preserve">2024-02-27</t>
  </si>
  <si>
    <t xml:space="preserve">2024-02-28</t>
  </si>
  <si>
    <t xml:space="preserve">2024-02-29</t>
  </si>
  <si>
    <t xml:space="preserve">2024-03-01</t>
  </si>
  <si>
    <t xml:space="preserve">2024-03-04</t>
  </si>
  <si>
    <t xml:space="preserve">2024-03-05</t>
  </si>
  <si>
    <t xml:space="preserve">2024-03-06</t>
  </si>
  <si>
    <t xml:space="preserve">2024-03-07</t>
  </si>
  <si>
    <t xml:space="preserve">2024-03-08</t>
  </si>
  <si>
    <t xml:space="preserve">2024-03-12</t>
  </si>
  <si>
    <t xml:space="preserve">2024-03-13</t>
  </si>
  <si>
    <t xml:space="preserve">2024-03-14</t>
  </si>
  <si>
    <t xml:space="preserve">2024-03-15</t>
  </si>
  <si>
    <t xml:space="preserve">2024-03-18</t>
  </si>
  <si>
    <t xml:space="preserve">2024-03-19</t>
  </si>
  <si>
    <t xml:space="preserve">2024-03-20</t>
  </si>
  <si>
    <t xml:space="preserve">2024-03-21</t>
  </si>
  <si>
    <t xml:space="preserve">2024-03-22</t>
  </si>
  <si>
    <t xml:space="preserve">2024-03-26</t>
  </si>
  <si>
    <t xml:space="preserve">2024-03-27</t>
  </si>
  <si>
    <t xml:space="preserve">2024-03-28</t>
  </si>
  <si>
    <t xml:space="preserve">2024-03-29</t>
  </si>
  <si>
    <t xml:space="preserve">2024-04-01</t>
  </si>
  <si>
    <t xml:space="preserve">2024-04-02</t>
  </si>
  <si>
    <t xml:space="preserve">2024-04-03</t>
  </si>
  <si>
    <t xml:space="preserve">2024-04-04</t>
  </si>
  <si>
    <t xml:space="preserve">2024-04-05</t>
  </si>
  <si>
    <t xml:space="preserve">2024-04-09</t>
  </si>
  <si>
    <t xml:space="preserve">2024-04-10</t>
  </si>
  <si>
    <t xml:space="preserve">2024-04-11</t>
  </si>
  <si>
    <t xml:space="preserve">2024-04-12</t>
  </si>
  <si>
    <t xml:space="preserve">2024-04-15</t>
  </si>
  <si>
    <t xml:space="preserve">2024-04-16</t>
  </si>
  <si>
    <t xml:space="preserve">2024-04-17</t>
  </si>
  <si>
    <t xml:space="preserve">2024-04-18</t>
  </si>
  <si>
    <t xml:space="preserve">2024-04-19</t>
  </si>
  <si>
    <t xml:space="preserve">2024-04-23</t>
  </si>
  <si>
    <t xml:space="preserve">2024-04-24</t>
  </si>
  <si>
    <t xml:space="preserve">2024-04-25</t>
  </si>
  <si>
    <t xml:space="preserve">2024-04-26</t>
  </si>
  <si>
    <t xml:space="preserve">2024-04-29</t>
  </si>
  <si>
    <t xml:space="preserve">2024-04-30</t>
  </si>
  <si>
    <t xml:space="preserve">2024-05-01</t>
  </si>
  <si>
    <t xml:space="preserve">2024-05-02</t>
  </si>
  <si>
    <t xml:space="preserve">2024-05-03</t>
  </si>
  <si>
    <t xml:space="preserve">2024-05-07</t>
  </si>
  <si>
    <t xml:space="preserve">2024-05-08</t>
  </si>
  <si>
    <t xml:space="preserve">2024-05-09</t>
  </si>
  <si>
    <t xml:space="preserve">2024-05-10</t>
  </si>
  <si>
    <t xml:space="preserve">2024-05-13</t>
  </si>
  <si>
    <t xml:space="preserve">2024-05-14</t>
  </si>
  <si>
    <t xml:space="preserve">2024-05-15</t>
  </si>
  <si>
    <t xml:space="preserve">2024-05-16</t>
  </si>
  <si>
    <t xml:space="preserve">2024-05-17</t>
  </si>
  <si>
    <t xml:space="preserve">2024-05-21</t>
  </si>
  <si>
    <t xml:space="preserve">2024-05-22</t>
  </si>
  <si>
    <t xml:space="preserve">2024-05-23</t>
  </si>
  <si>
    <t xml:space="preserve">2024-05-24</t>
  </si>
  <si>
    <t xml:space="preserve">2024-05-27</t>
  </si>
  <si>
    <t xml:space="preserve">2024-05-28</t>
  </si>
  <si>
    <t xml:space="preserve">2024-05-29</t>
  </si>
  <si>
    <t xml:space="preserve">2024-05-30</t>
  </si>
  <si>
    <t xml:space="preserve">2024-05-31</t>
  </si>
  <si>
    <t xml:space="preserve">2024-06-04</t>
  </si>
  <si>
    <t xml:space="preserve">2024-06-05</t>
  </si>
  <si>
    <t xml:space="preserve">2024-06-06</t>
  </si>
  <si>
    <t xml:space="preserve">2024-06-07</t>
  </si>
  <si>
    <t xml:space="preserve">2024-06-10</t>
  </si>
  <si>
    <t xml:space="preserve">2024-06-11</t>
  </si>
  <si>
    <t xml:space="preserve">2024-06-12</t>
  </si>
  <si>
    <t xml:space="preserve">2024-06-13</t>
  </si>
  <si>
    <t xml:space="preserve">2024-06-14</t>
  </si>
  <si>
    <t xml:space="preserve">2024-06-18</t>
  </si>
  <si>
    <t xml:space="preserve">2024-06-19</t>
  </si>
  <si>
    <t xml:space="preserve">2024-06-20</t>
  </si>
  <si>
    <t xml:space="preserve">2024-06-21</t>
  </si>
  <si>
    <t xml:space="preserve">2024-06-24</t>
  </si>
  <si>
    <t xml:space="preserve">2024-06-25</t>
  </si>
  <si>
    <t xml:space="preserve">2024-06-26</t>
  </si>
  <si>
    <t xml:space="preserve">2024-06-27</t>
  </si>
  <si>
    <t xml:space="preserve">2024-06-28</t>
  </si>
  <si>
    <t xml:space="preserve">2024-07-02</t>
  </si>
  <si>
    <t xml:space="preserve">2024-07-03</t>
  </si>
  <si>
    <t xml:space="preserve">2024-07-04</t>
  </si>
  <si>
    <t xml:space="preserve">2024-07-05</t>
  </si>
  <si>
    <t xml:space="preserve">2024-07-08</t>
  </si>
  <si>
    <t xml:space="preserve">2024-07-09</t>
  </si>
  <si>
    <t xml:space="preserve">2024-07-10</t>
  </si>
  <si>
    <t xml:space="preserve">2024-07-11</t>
  </si>
  <si>
    <t xml:space="preserve">2024-07-12</t>
  </si>
  <si>
    <t xml:space="preserve">2024-07-16</t>
  </si>
  <si>
    <t xml:space="preserve">2024-07-17</t>
  </si>
  <si>
    <t xml:space="preserve">2024-07-18</t>
  </si>
  <si>
    <t xml:space="preserve">2024-07-19</t>
  </si>
  <si>
    <t xml:space="preserve">2024-07-22</t>
  </si>
  <si>
    <t xml:space="preserve">2024-07-23</t>
  </si>
  <si>
    <t xml:space="preserve">2024-07-24</t>
  </si>
  <si>
    <t xml:space="preserve">2024-07-25</t>
  </si>
  <si>
    <t xml:space="preserve">2024-07-26</t>
  </si>
  <si>
    <t xml:space="preserve">2024-07-30</t>
  </si>
  <si>
    <t xml:space="preserve">2024-07-31</t>
  </si>
  <si>
    <t xml:space="preserve">2024-08-01</t>
  </si>
  <si>
    <t xml:space="preserve">2024-08-02</t>
  </si>
  <si>
    <t xml:space="preserve">2024-08-05</t>
  </si>
  <si>
    <t xml:space="preserve">2024-08-06</t>
  </si>
  <si>
    <t xml:space="preserve">2024-08-07</t>
  </si>
  <si>
    <t xml:space="preserve">2024-08-08</t>
  </si>
  <si>
    <t xml:space="preserve">2024-08-09</t>
  </si>
  <si>
    <t xml:space="preserve">2024-08-13</t>
  </si>
  <si>
    <t xml:space="preserve">2024-08-14</t>
  </si>
  <si>
    <t xml:space="preserve">2024-08-15</t>
  </si>
  <si>
    <t xml:space="preserve">2024-08-16</t>
  </si>
  <si>
    <t xml:space="preserve">2024-08-19</t>
  </si>
  <si>
    <t xml:space="preserve">2024-08-20</t>
  </si>
  <si>
    <t xml:space="preserve">2024-08-21</t>
  </si>
  <si>
    <t xml:space="preserve">2024-08-22</t>
  </si>
  <si>
    <t xml:space="preserve">2024-08-23</t>
  </si>
  <si>
    <t xml:space="preserve">2024-08-27</t>
  </si>
  <si>
    <t xml:space="preserve">2024-08-28</t>
  </si>
  <si>
    <t xml:space="preserve">2024-08-29</t>
  </si>
  <si>
    <t xml:space="preserve">2024-08-30</t>
  </si>
  <si>
    <t xml:space="preserve">2024-09-02</t>
  </si>
  <si>
    <t xml:space="preserve">2024-09-03</t>
  </si>
  <si>
    <t xml:space="preserve">2024-09-04</t>
  </si>
  <si>
    <t xml:space="preserve">2024-09-05</t>
  </si>
  <si>
    <t xml:space="preserve">2024-09-06</t>
  </si>
  <si>
    <t xml:space="preserve">2024-09-10</t>
  </si>
  <si>
    <t xml:space="preserve">2024-09-11</t>
  </si>
  <si>
    <t xml:space="preserve">2024-09-12</t>
  </si>
  <si>
    <t xml:space="preserve">2024-09-13</t>
  </si>
  <si>
    <t xml:space="preserve">2024-09-16</t>
  </si>
  <si>
    <t xml:space="preserve">2024-09-17</t>
  </si>
  <si>
    <t xml:space="preserve">2024-09-18</t>
  </si>
  <si>
    <t xml:space="preserve">2024-09-19</t>
  </si>
  <si>
    <t xml:space="preserve">2024-09-20</t>
  </si>
  <si>
    <t xml:space="preserve">2024-09-24</t>
  </si>
  <si>
    <t xml:space="preserve">2024-09-25</t>
  </si>
  <si>
    <t xml:space="preserve">2024-09-26</t>
  </si>
  <si>
    <t xml:space="preserve">2024-09-27</t>
  </si>
  <si>
    <t xml:space="preserve">2024-09-30</t>
  </si>
  <si>
    <t xml:space="preserve">2024-10-01</t>
  </si>
  <si>
    <t xml:space="preserve">2024-10-02</t>
  </si>
  <si>
    <t xml:space="preserve">2024-10-03</t>
  </si>
  <si>
    <t xml:space="preserve">2024-10-04</t>
  </si>
  <si>
    <t xml:space="preserve">2024-10-08</t>
  </si>
  <si>
    <t xml:space="preserve">2024-10-09</t>
  </si>
  <si>
    <t xml:space="preserve">2024-10-10</t>
  </si>
  <si>
    <t xml:space="preserve">2024-10-11</t>
  </si>
  <si>
    <t xml:space="preserve">2024-10-14</t>
  </si>
  <si>
    <t xml:space="preserve">2024-10-15</t>
  </si>
  <si>
    <t xml:space="preserve">2024-10-16</t>
  </si>
  <si>
    <t xml:space="preserve">2024-10-17</t>
  </si>
  <si>
    <t xml:space="preserve">2024-10-18</t>
  </si>
  <si>
    <t xml:space="preserve">2024-10-22</t>
  </si>
  <si>
    <t xml:space="preserve">2024-10-23</t>
  </si>
  <si>
    <t xml:space="preserve">2024-10-24</t>
  </si>
  <si>
    <t xml:space="preserve">2024-10-25</t>
  </si>
  <si>
    <t xml:space="preserve">2024-10-28</t>
  </si>
  <si>
    <t xml:space="preserve">2024-10-29</t>
  </si>
  <si>
    <t xml:space="preserve">2024-10-30</t>
  </si>
  <si>
    <t xml:space="preserve">2024-10-31</t>
  </si>
  <si>
    <t xml:space="preserve">2024-11-01</t>
  </si>
  <si>
    <t xml:space="preserve">2024-11-05</t>
  </si>
  <si>
    <t xml:space="preserve">2024-11-06</t>
  </si>
  <si>
    <t xml:space="preserve">2024-11-07</t>
  </si>
  <si>
    <t xml:space="preserve">2024-11-08</t>
  </si>
  <si>
    <t xml:space="preserve">2024-11-11</t>
  </si>
  <si>
    <t xml:space="preserve">2024-11-12</t>
  </si>
  <si>
    <t xml:space="preserve">2024-11-13</t>
  </si>
  <si>
    <t xml:space="preserve">2024-11-14</t>
  </si>
  <si>
    <t xml:space="preserve">2024-11-15</t>
  </si>
  <si>
    <t xml:space="preserve">2024-11-19</t>
  </si>
  <si>
    <t xml:space="preserve">2024-11-20</t>
  </si>
  <si>
    <t xml:space="preserve">2024-11-21</t>
  </si>
  <si>
    <t xml:space="preserve">2024-11-22</t>
  </si>
  <si>
    <t xml:space="preserve">2024-11-25</t>
  </si>
  <si>
    <t xml:space="preserve">2024-11-26</t>
  </si>
  <si>
    <t xml:space="preserve">2024-11-27</t>
  </si>
  <si>
    <t xml:space="preserve">2024-11-28</t>
  </si>
  <si>
    <t xml:space="preserve">2024-11-29</t>
  </si>
  <si>
    <t xml:space="preserve">2024-12-03</t>
  </si>
  <si>
    <t xml:space="preserve">2024-12-04</t>
  </si>
  <si>
    <t xml:space="preserve">2024-12-05</t>
  </si>
  <si>
    <t xml:space="preserve">2024-12-06</t>
  </si>
  <si>
    <t xml:space="preserve">2024-12-09</t>
  </si>
  <si>
    <t xml:space="preserve">2024-12-10</t>
  </si>
  <si>
    <t xml:space="preserve">2024-12-11</t>
  </si>
  <si>
    <t xml:space="preserve">2024-12-12</t>
  </si>
  <si>
    <t xml:space="preserve">2024-12-13</t>
  </si>
  <si>
    <t xml:space="preserve">2024-12-17</t>
  </si>
  <si>
    <t xml:space="preserve">2024-12-18</t>
  </si>
  <si>
    <t xml:space="preserve">2024-12-19</t>
  </si>
  <si>
    <t xml:space="preserve">2024-12-20</t>
  </si>
  <si>
    <t xml:space="preserve">2024-12-23</t>
  </si>
  <si>
    <t xml:space="preserve">2024-12-24</t>
  </si>
  <si>
    <t xml:space="preserve">2024-12-25</t>
  </si>
  <si>
    <t xml:space="preserve">2024-12-26</t>
  </si>
  <si>
    <t xml:space="preserve">2024-12-27</t>
  </si>
  <si>
    <t xml:space="preserve">2024-12-31</t>
  </si>
  <si>
    <t xml:space="preserve">2025-01-01</t>
  </si>
  <si>
    <t xml:space="preserve">2025-01-02</t>
  </si>
  <si>
    <t xml:space="preserve">2025-01-03</t>
  </si>
  <si>
    <t xml:space="preserve">2025-01-06</t>
  </si>
  <si>
    <t xml:space="preserve">2025-01-07</t>
  </si>
  <si>
    <t xml:space="preserve">2025-01-08</t>
  </si>
  <si>
    <t xml:space="preserve">2025-01-09</t>
  </si>
  <si>
    <t xml:space="preserve">2025-01-10</t>
  </si>
  <si>
    <t xml:space="preserve">2025-01-14</t>
  </si>
  <si>
    <t xml:space="preserve">2025-01-15</t>
  </si>
  <si>
    <t xml:space="preserve">2025-01-16</t>
  </si>
  <si>
    <t xml:space="preserve">2025-01-17</t>
  </si>
  <si>
    <t xml:space="preserve">2025-01-20</t>
  </si>
  <si>
    <t xml:space="preserve">2025-01-21</t>
  </si>
  <si>
    <t xml:space="preserve">2025-01-22</t>
  </si>
  <si>
    <t xml:space="preserve">2025-01-23</t>
  </si>
  <si>
    <t xml:space="preserve">2025-01-24</t>
  </si>
  <si>
    <t xml:space="preserve">2025-01-28</t>
  </si>
  <si>
    <t xml:space="preserve">2025-01-29</t>
  </si>
  <si>
    <t xml:space="preserve">2025-01-30</t>
  </si>
  <si>
    <t xml:space="preserve">2025-01-31</t>
  </si>
  <si>
    <t xml:space="preserve">2025-02-03</t>
  </si>
  <si>
    <t xml:space="preserve">2025-02-04</t>
  </si>
  <si>
    <t xml:space="preserve">2025-02-05</t>
  </si>
  <si>
    <t xml:space="preserve">2025-02-06</t>
  </si>
  <si>
    <t xml:space="preserve">2025-02-07</t>
  </si>
  <si>
    <t xml:space="preserve">2025-02-11</t>
  </si>
  <si>
    <t xml:space="preserve">2025-02-12</t>
  </si>
  <si>
    <t xml:space="preserve">2025-02-13</t>
  </si>
  <si>
    <t xml:space="preserve">2025-02-14</t>
  </si>
  <si>
    <t xml:space="preserve">2025-02-17</t>
  </si>
  <si>
    <t xml:space="preserve">2025-02-18</t>
  </si>
  <si>
    <t xml:space="preserve">2025-02-19</t>
  </si>
  <si>
    <t xml:space="preserve">2025-02-20</t>
  </si>
  <si>
    <t xml:space="preserve">2025-02-21</t>
  </si>
  <si>
    <t xml:space="preserve">2025-02-25</t>
  </si>
  <si>
    <t xml:space="preserve">2025-02-26</t>
  </si>
  <si>
    <t xml:space="preserve">2025-02-27</t>
  </si>
  <si>
    <t xml:space="preserve">2025-02-28</t>
  </si>
  <si>
    <t xml:space="preserve">2025-03-03</t>
  </si>
  <si>
    <t xml:space="preserve">2025-03-04</t>
  </si>
  <si>
    <t xml:space="preserve">2025-03-05</t>
  </si>
  <si>
    <t xml:space="preserve">2025-03-06</t>
  </si>
  <si>
    <t xml:space="preserve">2025-03-07</t>
  </si>
  <si>
    <t xml:space="preserve">2025-03-11</t>
  </si>
  <si>
    <t xml:space="preserve">2025-03-12</t>
  </si>
  <si>
    <t xml:space="preserve">2025-03-13</t>
  </si>
  <si>
    <t xml:space="preserve">2025-03-14</t>
  </si>
  <si>
    <t xml:space="preserve">2025-03-17</t>
  </si>
  <si>
    <t xml:space="preserve">2025-03-18</t>
  </si>
  <si>
    <t xml:space="preserve">2025-03-19</t>
  </si>
  <si>
    <t xml:space="preserve">2025-03-20</t>
  </si>
  <si>
    <t xml:space="preserve">2025-03-21</t>
  </si>
  <si>
    <t xml:space="preserve">2025-03-25</t>
  </si>
  <si>
    <t xml:space="preserve">2025-03-26</t>
  </si>
  <si>
    <t xml:space="preserve">2025-03-27</t>
  </si>
  <si>
    <t xml:space="preserve">2025-03-28</t>
  </si>
  <si>
    <t xml:space="preserve">2025-03-31</t>
  </si>
  <si>
    <t xml:space="preserve">2025-04-01</t>
  </si>
  <si>
    <t xml:space="preserve">2025-04-02</t>
  </si>
  <si>
    <t xml:space="preserve">2025-04-03</t>
  </si>
  <si>
    <t xml:space="preserve">2025-04-04</t>
  </si>
  <si>
    <t xml:space="preserve">2025-04-08</t>
  </si>
  <si>
    <t xml:space="preserve">2025-04-09</t>
  </si>
  <si>
    <t xml:space="preserve">2025-04-10</t>
  </si>
  <si>
    <t xml:space="preserve">2025-04-11</t>
  </si>
  <si>
    <t xml:space="preserve">2025-04-14</t>
  </si>
  <si>
    <t xml:space="preserve">2025-04-15</t>
  </si>
  <si>
    <t xml:space="preserve">2025-04-16</t>
  </si>
  <si>
    <t xml:space="preserve">2025-04-17</t>
  </si>
  <si>
    <t xml:space="preserve">2025-04-18</t>
  </si>
  <si>
    <t xml:space="preserve">2025-04-22</t>
  </si>
  <si>
    <t xml:space="preserve">2025-04-23</t>
  </si>
  <si>
    <t xml:space="preserve">2025-04-24</t>
  </si>
  <si>
    <t xml:space="preserve">2025-04-25</t>
  </si>
  <si>
    <t xml:space="preserve">2025-04-28</t>
  </si>
  <si>
    <t xml:space="preserve">2025-04-29</t>
  </si>
  <si>
    <t xml:space="preserve">2025-04-30</t>
  </si>
  <si>
    <t xml:space="preserve">2025-05-01</t>
  </si>
  <si>
    <t xml:space="preserve">2025-05-02</t>
  </si>
  <si>
    <t xml:space="preserve">2025-05-06</t>
  </si>
  <si>
    <t xml:space="preserve">2025-05-07</t>
  </si>
  <si>
    <t xml:space="preserve">2025-05-08</t>
  </si>
  <si>
    <t xml:space="preserve">2025-05-09</t>
  </si>
  <si>
    <t xml:space="preserve">2025-05-12</t>
  </si>
  <si>
    <t xml:space="preserve">2025-05-13</t>
  </si>
  <si>
    <t xml:space="preserve">2025-05-14</t>
  </si>
  <si>
    <t xml:space="preserve">2025-05-15</t>
  </si>
  <si>
    <t xml:space="preserve">2025-05-16</t>
  </si>
  <si>
    <t xml:space="preserve">2025-05-20</t>
  </si>
  <si>
    <t xml:space="preserve">2025-05-21</t>
  </si>
  <si>
    <t xml:space="preserve">2025-05-22</t>
  </si>
  <si>
    <t xml:space="preserve">2025-05-23</t>
  </si>
  <si>
    <t xml:space="preserve">2025-05-26</t>
  </si>
  <si>
    <t xml:space="preserve">2025-05-27</t>
  </si>
  <si>
    <t xml:space="preserve">2025-05-28</t>
  </si>
  <si>
    <t xml:space="preserve">2025-05-29</t>
  </si>
  <si>
    <t xml:space="preserve">2025-05-30</t>
  </si>
  <si>
    <t xml:space="preserve">2025-06-03</t>
  </si>
  <si>
    <t xml:space="preserve">2025-06-04</t>
  </si>
  <si>
    <t xml:space="preserve">2025-06-05</t>
  </si>
  <si>
    <t xml:space="preserve">2025-06-06</t>
  </si>
  <si>
    <t xml:space="preserve">2025-06-09</t>
  </si>
  <si>
    <t xml:space="preserve">2025-06-10</t>
  </si>
  <si>
    <t xml:space="preserve">2025-06-11</t>
  </si>
  <si>
    <t xml:space="preserve">2025-06-12</t>
  </si>
  <si>
    <t xml:space="preserve">2025-06-13</t>
  </si>
  <si>
    <t xml:space="preserve">2025-06-17</t>
  </si>
  <si>
    <t xml:space="preserve">2025-06-18</t>
  </si>
  <si>
    <t xml:space="preserve">2025-06-19</t>
  </si>
  <si>
    <t xml:space="preserve">2025-06-20</t>
  </si>
  <si>
    <t xml:space="preserve">2025-06-23</t>
  </si>
  <si>
    <t xml:space="preserve">2025-06-24</t>
  </si>
  <si>
    <t xml:space="preserve">2025-06-25</t>
  </si>
  <si>
    <t xml:space="preserve">2025-06-26</t>
  </si>
  <si>
    <t xml:space="preserve">2025-06-27</t>
  </si>
  <si>
    <t xml:space="preserve">2025-07-01</t>
  </si>
  <si>
    <t xml:space="preserve">2025-07-02</t>
  </si>
  <si>
    <t xml:space="preserve">2025-07-03</t>
  </si>
  <si>
    <t xml:space="preserve">2025-07-04</t>
  </si>
  <si>
    <t xml:space="preserve">2025-07-07</t>
  </si>
  <si>
    <t xml:space="preserve">2025-07-08</t>
  </si>
  <si>
    <t xml:space="preserve">2025-07-09</t>
  </si>
  <si>
    <t xml:space="preserve">2025-07-10</t>
  </si>
  <si>
    <t xml:space="preserve">2025-07-11</t>
  </si>
  <si>
    <t xml:space="preserve">2025-07-15</t>
  </si>
  <si>
    <t xml:space="preserve">2025-07-16</t>
  </si>
  <si>
    <t xml:space="preserve">2025-07-17</t>
  </si>
  <si>
    <t xml:space="preserve">2025-07-18</t>
  </si>
  <si>
    <t xml:space="preserve">2025-07-21</t>
  </si>
  <si>
    <t xml:space="preserve">2025-07-22</t>
  </si>
  <si>
    <t xml:space="preserve">2025-07-23</t>
  </si>
  <si>
    <t xml:space="preserve">2025-07-24</t>
  </si>
  <si>
    <t xml:space="preserve">2025-07-25</t>
  </si>
  <si>
    <t xml:space="preserve">2025-07-29</t>
  </si>
  <si>
    <t xml:space="preserve">2025-07-30</t>
  </si>
  <si>
    <t xml:space="preserve">2025-07-31</t>
  </si>
  <si>
    <t xml:space="preserve">2025-08-01</t>
  </si>
  <si>
    <t xml:space="preserve">2025-08-04</t>
  </si>
  <si>
    <t xml:space="preserve">2025-08-05</t>
  </si>
  <si>
    <t xml:space="preserve">2025-08-06</t>
  </si>
  <si>
    <t xml:space="preserve">2025-08-07</t>
  </si>
  <si>
    <t xml:space="preserve">2025-08-08</t>
  </si>
  <si>
    <t xml:space="preserve">2025-08-12</t>
  </si>
  <si>
    <t xml:space="preserve">2025-08-13</t>
  </si>
  <si>
    <t xml:space="preserve">2025-08-14</t>
  </si>
  <si>
    <t xml:space="preserve">2025-08-15</t>
  </si>
  <si>
    <t xml:space="preserve">2025-08-18</t>
  </si>
  <si>
    <t xml:space="preserve">2025-08-19</t>
  </si>
  <si>
    <t xml:space="preserve">2025-08-20</t>
  </si>
  <si>
    <t xml:space="preserve">2025-08-21</t>
  </si>
  <si>
    <t xml:space="preserve">2025-08-22</t>
  </si>
  <si>
    <t xml:space="preserve">2025-08-26</t>
  </si>
  <si>
    <t xml:space="preserve">2025-08-27</t>
  </si>
  <si>
    <t xml:space="preserve">2025-08-28</t>
  </si>
  <si>
    <t xml:space="preserve">2025-08-29</t>
  </si>
  <si>
    <t xml:space="preserve">2025-09-01</t>
  </si>
  <si>
    <t xml:space="preserve">2025-09-02</t>
  </si>
  <si>
    <t xml:space="preserve">2025-09-03</t>
  </si>
  <si>
    <t xml:space="preserve">2025-09-04</t>
  </si>
  <si>
    <t xml:space="preserve">2025-09-05</t>
  </si>
  <si>
    <t xml:space="preserve">2025-09-09</t>
  </si>
  <si>
    <t xml:space="preserve">2025-09-10</t>
  </si>
  <si>
    <t xml:space="preserve">2025-09-11</t>
  </si>
  <si>
    <t xml:space="preserve">2025-09-12</t>
  </si>
  <si>
    <t xml:space="preserve">2025-09-15</t>
  </si>
  <si>
    <t xml:space="preserve">2025-09-16</t>
  </si>
  <si>
    <t xml:space="preserve">2025-09-17</t>
  </si>
  <si>
    <t xml:space="preserve">2025-09-18</t>
  </si>
  <si>
    <t xml:space="preserve">2025-09-19</t>
  </si>
  <si>
    <t xml:space="preserve">2025-09-23</t>
  </si>
  <si>
    <t xml:space="preserve">2025-09-24</t>
  </si>
  <si>
    <t xml:space="preserve">2025-09-25</t>
  </si>
  <si>
    <t xml:space="preserve">2025-09-26</t>
  </si>
  <si>
    <t xml:space="preserve">2025-09-29</t>
  </si>
  <si>
    <t xml:space="preserve">2025-09-30</t>
  </si>
  <si>
    <t xml:space="preserve">2025-10-01</t>
  </si>
  <si>
    <t xml:space="preserve">2025-10-02</t>
  </si>
  <si>
    <t xml:space="preserve">2025-10-03</t>
  </si>
  <si>
    <t xml:space="preserve">2025-10-07</t>
  </si>
  <si>
    <t xml:space="preserve">2025-10-08</t>
  </si>
  <si>
    <t xml:space="preserve">2025-10-09</t>
  </si>
  <si>
    <t xml:space="preserve">2025-10-10</t>
  </si>
  <si>
    <t xml:space="preserve">2025-10-13</t>
  </si>
  <si>
    <t xml:space="preserve">2025-10-14</t>
  </si>
  <si>
    <t xml:space="preserve">2025-10-15</t>
  </si>
  <si>
    <t xml:space="preserve">2025-10-16</t>
  </si>
  <si>
    <t xml:space="preserve">2025-10-17</t>
  </si>
  <si>
    <t xml:space="preserve">2025-10-21</t>
  </si>
  <si>
    <t xml:space="preserve">2025-10-22</t>
  </si>
  <si>
    <t xml:space="preserve">2025-10-23</t>
  </si>
  <si>
    <t xml:space="preserve">2025-10-24</t>
  </si>
  <si>
    <t xml:space="preserve">2025-10-27</t>
  </si>
  <si>
    <t xml:space="preserve">2025-10-28</t>
  </si>
  <si>
    <t xml:space="preserve">2025-10-29</t>
  </si>
  <si>
    <t xml:space="preserve">2025-10-30</t>
  </si>
  <si>
    <t xml:space="preserve">2025-10-31</t>
  </si>
  <si>
    <t xml:space="preserve">2025-11-04</t>
  </si>
  <si>
    <t xml:space="preserve">2025-11-05</t>
  </si>
  <si>
    <t xml:space="preserve">2025-11-06</t>
  </si>
  <si>
    <t xml:space="preserve">2025-11-07</t>
  </si>
  <si>
    <t xml:space="preserve">2025-11-10</t>
  </si>
  <si>
    <t xml:space="preserve">2025-11-11</t>
  </si>
  <si>
    <t xml:space="preserve">2025-11-12</t>
  </si>
  <si>
    <t xml:space="preserve">2025-11-13</t>
  </si>
  <si>
    <t xml:space="preserve">2025-11-14</t>
  </si>
  <si>
    <t xml:space="preserve">2025-11-18</t>
  </si>
  <si>
    <t xml:space="preserve">2025-11-19</t>
  </si>
  <si>
    <t xml:space="preserve">2025-11-20</t>
  </si>
  <si>
    <t xml:space="preserve">2025-11-21</t>
  </si>
  <si>
    <t xml:space="preserve">2025-11-24</t>
  </si>
  <si>
    <t xml:space="preserve">2025-11-25</t>
  </si>
  <si>
    <t xml:space="preserve">2025-11-26</t>
  </si>
  <si>
    <t xml:space="preserve">2025-11-27</t>
  </si>
  <si>
    <t xml:space="preserve">2025-11-28</t>
  </si>
  <si>
    <t xml:space="preserve">2025-12-02</t>
  </si>
  <si>
    <t xml:space="preserve">2025-12-03</t>
  </si>
  <si>
    <t xml:space="preserve">2025-12-04</t>
  </si>
  <si>
    <t xml:space="preserve">2025-12-05</t>
  </si>
  <si>
    <t xml:space="preserve">2025-12-08</t>
  </si>
  <si>
    <t xml:space="preserve">2025-12-09</t>
  </si>
  <si>
    <t xml:space="preserve">2025-12-10</t>
  </si>
  <si>
    <t xml:space="preserve">2025-12-11</t>
  </si>
  <si>
    <t xml:space="preserve">2025-12-12</t>
  </si>
  <si>
    <t xml:space="preserve">2025-12-16</t>
  </si>
  <si>
    <t xml:space="preserve">2025-12-17</t>
  </si>
  <si>
    <t xml:space="preserve">2025-12-18</t>
  </si>
  <si>
    <t xml:space="preserve">2025-12-19</t>
  </si>
  <si>
    <t xml:space="preserve">2025-12-22</t>
  </si>
  <si>
    <t xml:space="preserve">2025-12-23</t>
  </si>
  <si>
    <t xml:space="preserve">2025-12-24</t>
  </si>
  <si>
    <t xml:space="preserve">2025-12-25</t>
  </si>
  <si>
    <t xml:space="preserve">2025-12-26</t>
  </si>
  <si>
    <t xml:space="preserve">2025-12-30</t>
  </si>
  <si>
    <t xml:space="preserve">2025-12-31</t>
  </si>
  <si>
    <t xml:space="preserve">2026-01-01</t>
  </si>
  <si>
    <t xml:space="preserve">2026-01-02</t>
  </si>
  <si>
    <t xml:space="preserve">2026-01-05</t>
  </si>
  <si>
    <t xml:space="preserve">2026-01-06</t>
  </si>
  <si>
    <t xml:space="preserve">2026-01-07</t>
  </si>
  <si>
    <t xml:space="preserve">2026-01-08</t>
  </si>
  <si>
    <t xml:space="preserve">2026-01-09</t>
  </si>
  <si>
    <t xml:space="preserve">2026-01-13</t>
  </si>
  <si>
    <t xml:space="preserve">2026-01-14</t>
  </si>
  <si>
    <t xml:space="preserve">2026-01-15</t>
  </si>
  <si>
    <t xml:space="preserve">2026-01-16</t>
  </si>
  <si>
    <t xml:space="preserve">2026-01-19</t>
  </si>
  <si>
    <t xml:space="preserve">2026-01-20</t>
  </si>
  <si>
    <t xml:space="preserve">2026-01-21</t>
  </si>
  <si>
    <t xml:space="preserve">2026-01-22</t>
  </si>
  <si>
    <t xml:space="preserve">2026-01-23</t>
  </si>
  <si>
    <t xml:space="preserve">2026-01-27</t>
  </si>
  <si>
    <t xml:space="preserve">2026-01-28</t>
  </si>
  <si>
    <t xml:space="preserve">2026-01-29</t>
  </si>
  <si>
    <t xml:space="preserve">2026-01-30</t>
  </si>
  <si>
    <t xml:space="preserve">2026-02-02</t>
  </si>
  <si>
    <t xml:space="preserve">2026-02-03</t>
  </si>
  <si>
    <t xml:space="preserve">2026-02-04</t>
  </si>
  <si>
    <t xml:space="preserve">2026-02-05</t>
  </si>
  <si>
    <t xml:space="preserve">2026-02-06</t>
  </si>
  <si>
    <t xml:space="preserve">2026-02-10</t>
  </si>
  <si>
    <t xml:space="preserve">2026-02-11</t>
  </si>
  <si>
    <t xml:space="preserve">2026-02-12</t>
  </si>
  <si>
    <t xml:space="preserve">2026-02-13</t>
  </si>
  <si>
    <t xml:space="preserve">2026-02-16</t>
  </si>
  <si>
    <t xml:space="preserve">2026-02-17</t>
  </si>
  <si>
    <t xml:space="preserve">2026-02-18</t>
  </si>
  <si>
    <t xml:space="preserve">2026-02-19</t>
  </si>
  <si>
    <t xml:space="preserve">2026-02-20</t>
  </si>
  <si>
    <t xml:space="preserve">2026-02-24</t>
  </si>
  <si>
    <t xml:space="preserve">2026-02-25</t>
  </si>
  <si>
    <t xml:space="preserve">2026-02-26</t>
  </si>
  <si>
    <t xml:space="preserve">2026-02-27</t>
  </si>
  <si>
    <t xml:space="preserve">2026-03-02</t>
  </si>
  <si>
    <t xml:space="preserve">2026-03-03</t>
  </si>
  <si>
    <t xml:space="preserve">2026-03-04</t>
  </si>
  <si>
    <t xml:space="preserve">2026-03-05</t>
  </si>
  <si>
    <t xml:space="preserve">2026-03-06</t>
  </si>
  <si>
    <t xml:space="preserve">2026-03-10</t>
  </si>
  <si>
    <t xml:space="preserve">2026-03-11</t>
  </si>
  <si>
    <t xml:space="preserve">2026-03-12</t>
  </si>
  <si>
    <t xml:space="preserve">2026-03-13</t>
  </si>
  <si>
    <t xml:space="preserve">2026-03-16</t>
  </si>
  <si>
    <t xml:space="preserve">2026-03-17</t>
  </si>
  <si>
    <t xml:space="preserve">2026-03-18</t>
  </si>
  <si>
    <t xml:space="preserve">2026-03-19</t>
  </si>
  <si>
    <t xml:space="preserve">2026-03-20</t>
  </si>
  <si>
    <t xml:space="preserve">2026-03-24</t>
  </si>
  <si>
    <t xml:space="preserve">2026-03-25</t>
  </si>
  <si>
    <t xml:space="preserve">2026-03-26</t>
  </si>
  <si>
    <t xml:space="preserve">2026-03-27</t>
  </si>
  <si>
    <t xml:space="preserve">2026-03-30</t>
  </si>
  <si>
    <t xml:space="preserve">2026-03-31</t>
  </si>
  <si>
    <t xml:space="preserve">2026-04-01</t>
  </si>
  <si>
    <t xml:space="preserve">2026-04-02</t>
  </si>
  <si>
    <t xml:space="preserve">2026-04-03</t>
  </si>
  <si>
    <t xml:space="preserve">2026-04-07</t>
  </si>
  <si>
    <t xml:space="preserve">2026-04-08</t>
  </si>
  <si>
    <t xml:space="preserve">2026-04-09</t>
  </si>
  <si>
    <t xml:space="preserve">2026-04-10</t>
  </si>
  <si>
    <t xml:space="preserve">2026-04-13</t>
  </si>
  <si>
    <t xml:space="preserve">2026-04-14</t>
  </si>
  <si>
    <t xml:space="preserve">2026-04-15</t>
  </si>
  <si>
    <t xml:space="preserve">2026-04-16</t>
  </si>
  <si>
    <t xml:space="preserve">2026-04-17</t>
  </si>
  <si>
    <t xml:space="preserve">2026-04-21</t>
  </si>
  <si>
    <t xml:space="preserve">2026-04-22</t>
  </si>
  <si>
    <t xml:space="preserve">2026-04-23</t>
  </si>
  <si>
    <t xml:space="preserve">2026-04-24</t>
  </si>
  <si>
    <t xml:space="preserve">2026-04-27</t>
  </si>
  <si>
    <t xml:space="preserve">2026-04-28</t>
  </si>
  <si>
    <t xml:space="preserve">2026-04-29</t>
  </si>
  <si>
    <t xml:space="preserve">2026-04-30</t>
  </si>
  <si>
    <t xml:space="preserve">2026-05-01</t>
  </si>
  <si>
    <t xml:space="preserve">2026-05-05</t>
  </si>
  <si>
    <t xml:space="preserve">2026-05-06</t>
  </si>
  <si>
    <t xml:space="preserve">2026-05-07</t>
  </si>
  <si>
    <t xml:space="preserve">2026-05-08</t>
  </si>
  <si>
    <t xml:space="preserve">2026-05-11</t>
  </si>
  <si>
    <t xml:space="preserve">2026-05-12</t>
  </si>
  <si>
    <t xml:space="preserve">2026-05-13</t>
  </si>
  <si>
    <t xml:space="preserve">2026-05-14</t>
  </si>
  <si>
    <t xml:space="preserve">2026-05-15</t>
  </si>
  <si>
    <t xml:space="preserve">2026-05-19</t>
  </si>
  <si>
    <t xml:space="preserve">2026-05-20</t>
  </si>
  <si>
    <t xml:space="preserve">2026-05-21</t>
  </si>
  <si>
    <t xml:space="preserve">2026-05-22</t>
  </si>
  <si>
    <t xml:space="preserve">2026-05-25</t>
  </si>
  <si>
    <t xml:space="preserve">2026-05-26</t>
  </si>
  <si>
    <t xml:space="preserve">2026-05-27</t>
  </si>
  <si>
    <t xml:space="preserve">2026-05-28</t>
  </si>
  <si>
    <t xml:space="preserve">2026-05-29</t>
  </si>
  <si>
    <t xml:space="preserve">2026-06-02</t>
  </si>
  <si>
    <t xml:space="preserve">2026-06-03</t>
  </si>
  <si>
    <t xml:space="preserve">2026-06-04</t>
  </si>
  <si>
    <t xml:space="preserve">2026-06-05</t>
  </si>
  <si>
    <t xml:space="preserve">2026-06-08</t>
  </si>
  <si>
    <t xml:space="preserve">2026-06-09</t>
  </si>
  <si>
    <t xml:space="preserve">2026-06-10</t>
  </si>
  <si>
    <t xml:space="preserve">2026-06-11</t>
  </si>
  <si>
    <t xml:space="preserve">2026-06-12</t>
  </si>
  <si>
    <t xml:space="preserve">2026-06-16</t>
  </si>
  <si>
    <t xml:space="preserve">2026-06-17</t>
  </si>
  <si>
    <t xml:space="preserve">2026-06-18</t>
  </si>
  <si>
    <t xml:space="preserve">2026-06-19</t>
  </si>
  <si>
    <t xml:space="preserve">2026-06-22</t>
  </si>
  <si>
    <t xml:space="preserve">2026-06-23</t>
  </si>
  <si>
    <t xml:space="preserve">2026-06-24</t>
  </si>
  <si>
    <t xml:space="preserve">2026-06-25</t>
  </si>
  <si>
    <t xml:space="preserve">2026-06-26</t>
  </si>
  <si>
    <t xml:space="preserve">2026-06-30</t>
  </si>
  <si>
    <t xml:space="preserve">2026-07-01</t>
  </si>
  <si>
    <t xml:space="preserve">2026-07-02</t>
  </si>
  <si>
    <t xml:space="preserve">2026-07-03</t>
  </si>
  <si>
    <t xml:space="preserve">2026-07-06</t>
  </si>
  <si>
    <t xml:space="preserve">2026-07-07</t>
  </si>
  <si>
    <t xml:space="preserve">2026-07-08</t>
  </si>
  <si>
    <t xml:space="preserve">2026-07-09</t>
  </si>
  <si>
    <t xml:space="preserve">2026-07-10</t>
  </si>
  <si>
    <t xml:space="preserve">2026-07-14</t>
  </si>
  <si>
    <t xml:space="preserve">2026-07-15</t>
  </si>
  <si>
    <t xml:space="preserve">2026-07-16</t>
  </si>
  <si>
    <t xml:space="preserve">2026-07-17</t>
  </si>
  <si>
    <t xml:space="preserve">2026-07-20</t>
  </si>
  <si>
    <t xml:space="preserve">2026-07-21</t>
  </si>
  <si>
    <t xml:space="preserve">2026-07-22</t>
  </si>
  <si>
    <t xml:space="preserve">2026-07-23</t>
  </si>
  <si>
    <t xml:space="preserve">2026-07-24</t>
  </si>
  <si>
    <t xml:space="preserve">2026-07-28</t>
  </si>
  <si>
    <t xml:space="preserve">2026-07-29</t>
  </si>
  <si>
    <t xml:space="preserve">2026-07-30</t>
  </si>
  <si>
    <t xml:space="preserve">2026-07-31</t>
  </si>
  <si>
    <t xml:space="preserve">2026-08-03</t>
  </si>
  <si>
    <t xml:space="preserve">2026-08-04</t>
  </si>
  <si>
    <t xml:space="preserve">2026-08-05</t>
  </si>
  <si>
    <t xml:space="preserve">2026-08-06</t>
  </si>
  <si>
    <t xml:space="preserve">2026-08-07</t>
  </si>
  <si>
    <t xml:space="preserve">2026-08-11</t>
  </si>
  <si>
    <t xml:space="preserve">2026-08-12</t>
  </si>
  <si>
    <t xml:space="preserve">2026-08-13</t>
  </si>
  <si>
    <t xml:space="preserve">2026-08-14</t>
  </si>
  <si>
    <t xml:space="preserve">2026-08-17</t>
  </si>
  <si>
    <t xml:space="preserve">2026-08-18</t>
  </si>
  <si>
    <t xml:space="preserve">2026-08-19</t>
  </si>
  <si>
    <t xml:space="preserve">2026-08-20</t>
  </si>
  <si>
    <t xml:space="preserve">2026-08-21</t>
  </si>
  <si>
    <t xml:space="preserve">2026-08-25</t>
  </si>
  <si>
    <t xml:space="preserve">2026-08-26</t>
  </si>
  <si>
    <t xml:space="preserve">2026-08-27</t>
  </si>
  <si>
    <t xml:space="preserve">2026-08-28</t>
  </si>
  <si>
    <t xml:space="preserve">2026-08-31</t>
  </si>
  <si>
    <t xml:space="preserve">2026-09-01</t>
  </si>
  <si>
    <t xml:space="preserve">2026-09-02</t>
  </si>
  <si>
    <t xml:space="preserve">2026-09-03</t>
  </si>
  <si>
    <t xml:space="preserve">2026-09-04</t>
  </si>
  <si>
    <t xml:space="preserve">2026-09-08</t>
  </si>
  <si>
    <t xml:space="preserve">2026-09-09</t>
  </si>
  <si>
    <t xml:space="preserve">2026-09-10</t>
  </si>
  <si>
    <t xml:space="preserve">2026-09-11</t>
  </si>
  <si>
    <t xml:space="preserve">2026-09-14</t>
  </si>
  <si>
    <t xml:space="preserve">2026-09-15</t>
  </si>
  <si>
    <t xml:space="preserve">2026-09-16</t>
  </si>
  <si>
    <t xml:space="preserve">2026-09-17</t>
  </si>
  <si>
    <t xml:space="preserve">2026-09-18</t>
  </si>
  <si>
    <t xml:space="preserve">2026-09-21</t>
  </si>
  <si>
    <t xml:space="preserve">2026-09-22</t>
  </si>
  <si>
    <t xml:space="preserve">2026-09-23</t>
  </si>
  <si>
    <t xml:space="preserve">2026-09-24</t>
  </si>
  <si>
    <t xml:space="preserve">2026-09-25</t>
  </si>
  <si>
    <t xml:space="preserve">2026-09-28</t>
  </si>
  <si>
    <t xml:space="preserve">2026-09-29</t>
  </si>
  <si>
    <t xml:space="preserve">IM change attribution. Columns A to E are the 16 subset IMs typed from Python; Shapley weights and contributions are live.</t>
  </si>
  <si>
    <t xml:space="preserve">matured_trades</t>
  </si>
  <si>
    <t xml:space="preserve">new_trades</t>
  </si>
  <si>
    <t xml:space="preserve">market_move</t>
  </si>
  <si>
    <t xml:space="preserve">parameter_version</t>
  </si>
  <si>
    <t xml:space="preserve">im</t>
  </si>
  <si>
    <t xml:space="preserve">code</t>
  </si>
  <si>
    <t xml:space="preserve">subset size</t>
  </si>
  <si>
    <t xml:space="preserve">Shapley weight</t>
  </si>
  <si>
    <t xml:space="preserve">Driver</t>
  </si>
  <si>
    <t xml:space="preserve">Shapley</t>
  </si>
  <si>
    <t xml:space="preserve">Share of dIM</t>
  </si>
  <si>
    <t xml:space="preserve">One at a time</t>
  </si>
  <si>
    <t xml:space="preserve">Sequential bridge</t>
  </si>
  <si>
    <t xml:space="preserve">Sum of drivers</t>
  </si>
  <si>
    <t xml:space="preserve">Total change in IM</t>
  </si>
  <si>
    <t xml:space="preserve">Residual</t>
  </si>
  <si>
    <t xml:space="preserve">Market step split (typed from Python: needs sub-market SIMM runs)</t>
  </si>
  <si>
    <t xml:space="preserve">market_rates</t>
  </si>
  <si>
    <t xml:space="preserve">market_fx</t>
  </si>
  <si>
    <t xml:space="preserve">market_vol</t>
  </si>
  <si>
    <t xml:space="preserve">Sum of sub-steps (equals the market step of the bridge)</t>
  </si>
  <si>
    <t xml:space="preserve">Checks: live cell versus Python_Ref. Pass is 1 when the difference is within tolerance.</t>
  </si>
  <si>
    <t xml:space="preserve">All checks pass (1 = yes)</t>
  </si>
  <si>
    <t xml:space="preserve">check</t>
  </si>
  <si>
    <t xml:space="preserve">workbook value</t>
  </si>
  <si>
    <t xml:space="preserve">python value</t>
  </si>
  <si>
    <t xml:space="preserve">difference</t>
  </si>
  <si>
    <t xml:space="preserve">tolerance</t>
  </si>
  <si>
    <t xml:space="preserve">pass</t>
  </si>
  <si>
    <t xml:space="preserve">Conclusions are static text written by the build script from the Python results for the shipped inputs. They do not change when inputs are edited.</t>
  </si>
  <si>
    <t xml:space="preserve">The SIMM-style RatesFX total IM on the synthetic sample portfolio under parameter set 2.8+2512 is USD 5,465,781, made of IR risk class IM USD 2,368,655 and FX risk class IM USD 4,583,373, aggregated with the IR to FX correlation psi.</t>
  </si>
  <si>
    <t xml:space="preserve">By margin type: IR delta 1,718,578, IR vega 440,143, IR curvature 209,934, FX delta 3,678,282, FX vega 442,605, FX curvature 462,486 (USD).</t>
  </si>
  <si>
    <t xml:space="preserve">Schedule IM: gross USD 22,577,637, net to gross ratio 0.7432, net USD 19,099,501. The SIMM-style total is 28.6% of the schedule net amount, so the model based margin is below the standardised floor for this portfolio.</t>
  </si>
  <si>
    <t xml:space="preserve">Backtest, 1 day champion model: 18 exceptions in 1327 days, Kupiec LR 1.5322 (p 0.2158), Christoffersen independence LR 5.2596 (p 0.0218), conditional coverage p 0.0335; Basel zone Green over the series and Green over the last 250 days (0 exceptions).</t>
  </si>
  <si>
    <t xml:space="preserve">Backtest, 10 day non overlapping SIMM-style IM: 1 exceptions in 132 windows, Kupiec p 0.7700, zone Green. With so few windows the test has low power.</t>
  </si>
  <si>
    <t xml:space="preserve">Attribution of the scenario day IM change of USD 4,040,470: Shapley matured trades -691,528, new trades 4,674,898, market move -146,711, parameter version 203,811 (USD). The Shapley values add up to the total change exactly; the one at a time method leaves an interaction residual of USD 274,134.</t>
  </si>
  <si>
    <t xml:space="preserve">Reconciliation: python/simm_margin/reconcile_excel.py recalculates this workbook in LibreOffice and compares every live cell listed on Checks with the Python engine under three input cases (base, a changed swap with the other parameter set and exception probability, and a concentration stress that activates CR above 1); see python/outputs/excel_reconciliation.json.</t>
  </si>
  <si>
    <t xml:space="preserve">Python reference values (typed). Each row is recomputed through the project modules and compared with the live cell.</t>
  </si>
  <si>
    <t xml:space="preserve">description</t>
  </si>
  <si>
    <t xml:space="preserve">comparison</t>
  </si>
  <si>
    <t xml:space="preserve">opt|bachelier_vega_amount</t>
  </si>
  <si>
    <t xml:space="preserve">opt bachelier_vega_amount</t>
  </si>
  <si>
    <t xml:space="preserve">rel</t>
  </si>
  <si>
    <t xml:space="preserve">opt|bachelier_price</t>
  </si>
  <si>
    <t xml:space="preserve">opt bachelier_price</t>
  </si>
  <si>
    <t xml:space="preserve">opt|gk_price</t>
  </si>
  <si>
    <t xml:space="preserve">opt gk_price</t>
  </si>
  <si>
    <t xml:space="preserve">opt|gk_vega_amount</t>
  </si>
  <si>
    <t xml:space="preserve">opt gk_vega_amount</t>
  </si>
  <si>
    <t xml:space="preserve">opt|gk_delta_amount</t>
  </si>
  <si>
    <t xml:space="preserve">opt gk_delta_amount</t>
  </si>
  <si>
    <t xml:space="preserve">ws|IR|USD|2w</t>
  </si>
  <si>
    <t xml:space="preserve">ws IR USD 2w</t>
  </si>
  <si>
    <t xml:space="preserve">ws|IR|USD|1m</t>
  </si>
  <si>
    <t xml:space="preserve">ws IR USD 1m</t>
  </si>
  <si>
    <t xml:space="preserve">ws|IR|USD|3m</t>
  </si>
  <si>
    <t xml:space="preserve">ws IR USD 3m</t>
  </si>
  <si>
    <t xml:space="preserve">ws|IR|USD|6m</t>
  </si>
  <si>
    <t xml:space="preserve">ws IR USD 6m</t>
  </si>
  <si>
    <t xml:space="preserve">ws|IR|USD|1y</t>
  </si>
  <si>
    <t xml:space="preserve">ws IR USD 1y</t>
  </si>
  <si>
    <t xml:space="preserve">ws|IR|USD|2y</t>
  </si>
  <si>
    <t xml:space="preserve">ws IR USD 2y</t>
  </si>
  <si>
    <t xml:space="preserve">ws|IR|USD|3y</t>
  </si>
  <si>
    <t xml:space="preserve">ws IR USD 3y</t>
  </si>
  <si>
    <t xml:space="preserve">ws|IR|USD|5y</t>
  </si>
  <si>
    <t xml:space="preserve">ws IR USD 5y</t>
  </si>
  <si>
    <t xml:space="preserve">ws|IR|USD|10y</t>
  </si>
  <si>
    <t xml:space="preserve">ws IR USD 10y</t>
  </si>
  <si>
    <t xml:space="preserve">ws|IR|USD|15y</t>
  </si>
  <si>
    <t xml:space="preserve">ws IR USD 15y</t>
  </si>
  <si>
    <t xml:space="preserve">ws|IR|USD|20y</t>
  </si>
  <si>
    <t xml:space="preserve">ws IR USD 20y</t>
  </si>
  <si>
    <t xml:space="preserve">ws|IR|USD|30y</t>
  </si>
  <si>
    <t xml:space="preserve">ws IR USD 30y</t>
  </si>
  <si>
    <t xml:space="preserve">cr|IR|Delta|USD</t>
  </si>
  <si>
    <t xml:space="preserve">cr IR Delta USD</t>
  </si>
  <si>
    <t xml:space="preserve">k|IR|Delta|USD</t>
  </si>
  <si>
    <t xml:space="preserve">k IR Delta USD</t>
  </si>
  <si>
    <t xml:space="preserve">s|IR|Delta|USD</t>
  </si>
  <si>
    <t xml:space="preserve">s IR Delta USD</t>
  </si>
  <si>
    <t xml:space="preserve">ws|IR|EUR|2w</t>
  </si>
  <si>
    <t xml:space="preserve">ws IR EUR 2w</t>
  </si>
  <si>
    <t xml:space="preserve">ws|IR|EUR|1m</t>
  </si>
  <si>
    <t xml:space="preserve">ws IR EUR 1m</t>
  </si>
  <si>
    <t xml:space="preserve">ws|IR|EUR|3m</t>
  </si>
  <si>
    <t xml:space="preserve">ws IR EUR 3m</t>
  </si>
  <si>
    <t xml:space="preserve">ws|IR|EUR|6m</t>
  </si>
  <si>
    <t xml:space="preserve">ws IR EUR 6m</t>
  </si>
  <si>
    <t xml:space="preserve">ws|IR|EUR|1y</t>
  </si>
  <si>
    <t xml:space="preserve">ws IR EUR 1y</t>
  </si>
  <si>
    <t xml:space="preserve">ws|IR|EUR|2y</t>
  </si>
  <si>
    <t xml:space="preserve">ws IR EUR 2y</t>
  </si>
  <si>
    <t xml:space="preserve">ws|IR|EUR|3y</t>
  </si>
  <si>
    <t xml:space="preserve">ws IR EUR 3y</t>
  </si>
  <si>
    <t xml:space="preserve">ws|IR|EUR|5y</t>
  </si>
  <si>
    <t xml:space="preserve">ws IR EUR 5y</t>
  </si>
  <si>
    <t xml:space="preserve">ws|IR|EUR|10y</t>
  </si>
  <si>
    <t xml:space="preserve">ws IR EUR 10y</t>
  </si>
  <si>
    <t xml:space="preserve">ws|IR|EUR|15y</t>
  </si>
  <si>
    <t xml:space="preserve">ws IR EUR 15y</t>
  </si>
  <si>
    <t xml:space="preserve">ws|IR|EUR|20y</t>
  </si>
  <si>
    <t xml:space="preserve">ws IR EUR 20y</t>
  </si>
  <si>
    <t xml:space="preserve">ws|IR|EUR|30y</t>
  </si>
  <si>
    <t xml:space="preserve">ws IR EUR 30y</t>
  </si>
  <si>
    <t xml:space="preserve">cr|IR|Delta|EUR</t>
  </si>
  <si>
    <t xml:space="preserve">cr IR Delta EUR</t>
  </si>
  <si>
    <t xml:space="preserve">k|IR|Delta|EUR</t>
  </si>
  <si>
    <t xml:space="preserve">k IR Delta EUR</t>
  </si>
  <si>
    <t xml:space="preserve">s|IR|Delta|EUR</t>
  </si>
  <si>
    <t xml:space="preserve">s IR Delta EUR</t>
  </si>
  <si>
    <t xml:space="preserve">ws|IR|GBP|2w</t>
  </si>
  <si>
    <t xml:space="preserve">ws IR GBP 2w</t>
  </si>
  <si>
    <t xml:space="preserve">ws|IR|GBP|1m</t>
  </si>
  <si>
    <t xml:space="preserve">ws IR GBP 1m</t>
  </si>
  <si>
    <t xml:space="preserve">ws|IR|GBP|3m</t>
  </si>
  <si>
    <t xml:space="preserve">ws IR GBP 3m</t>
  </si>
  <si>
    <t xml:space="preserve">ws|IR|GBP|6m</t>
  </si>
  <si>
    <t xml:space="preserve">ws IR GBP 6m</t>
  </si>
  <si>
    <t xml:space="preserve">ws|IR|GBP|1y</t>
  </si>
  <si>
    <t xml:space="preserve">ws IR GBP 1y</t>
  </si>
  <si>
    <t xml:space="preserve">ws|IR|GBP|2y</t>
  </si>
  <si>
    <t xml:space="preserve">ws IR GBP 2y</t>
  </si>
  <si>
    <t xml:space="preserve">ws|IR|GBP|3y</t>
  </si>
  <si>
    <t xml:space="preserve">ws IR GBP 3y</t>
  </si>
  <si>
    <t xml:space="preserve">ws|IR|GBP|5y</t>
  </si>
  <si>
    <t xml:space="preserve">ws IR GBP 5y</t>
  </si>
  <si>
    <t xml:space="preserve">ws|IR|GBP|10y</t>
  </si>
  <si>
    <t xml:space="preserve">ws IR GBP 10y</t>
  </si>
  <si>
    <t xml:space="preserve">ws|IR|GBP|15y</t>
  </si>
  <si>
    <t xml:space="preserve">ws IR GBP 15y</t>
  </si>
  <si>
    <t xml:space="preserve">ws|IR|GBP|20y</t>
  </si>
  <si>
    <t xml:space="preserve">ws IR GBP 20y</t>
  </si>
  <si>
    <t xml:space="preserve">ws|IR|GBP|30y</t>
  </si>
  <si>
    <t xml:space="preserve">ws IR GBP 30y</t>
  </si>
  <si>
    <t xml:space="preserve">cr|IR|Delta|GBP</t>
  </si>
  <si>
    <t xml:space="preserve">cr IR Delta GBP</t>
  </si>
  <si>
    <t xml:space="preserve">k|IR|Delta|GBP</t>
  </si>
  <si>
    <t xml:space="preserve">k IR Delta GBP</t>
  </si>
  <si>
    <t xml:space="preserve">s|IR|Delta|GBP</t>
  </si>
  <si>
    <t xml:space="preserve">s IR Delta GBP</t>
  </si>
  <si>
    <t xml:space="preserve">ws|IR|JPY|2w</t>
  </si>
  <si>
    <t xml:space="preserve">ws IR JPY 2w</t>
  </si>
  <si>
    <t xml:space="preserve">ws|IR|JPY|1m</t>
  </si>
  <si>
    <t xml:space="preserve">ws IR JPY 1m</t>
  </si>
  <si>
    <t xml:space="preserve">ws|IR|JPY|3m</t>
  </si>
  <si>
    <t xml:space="preserve">ws IR JPY 3m</t>
  </si>
  <si>
    <t xml:space="preserve">ws|IR|JPY|6m</t>
  </si>
  <si>
    <t xml:space="preserve">ws IR JPY 6m</t>
  </si>
  <si>
    <t xml:space="preserve">ws|IR|JPY|1y</t>
  </si>
  <si>
    <t xml:space="preserve">ws IR JPY 1y</t>
  </si>
  <si>
    <t xml:space="preserve">ws|IR|JPY|2y</t>
  </si>
  <si>
    <t xml:space="preserve">ws IR JPY 2y</t>
  </si>
  <si>
    <t xml:space="preserve">ws|IR|JPY|3y</t>
  </si>
  <si>
    <t xml:space="preserve">ws IR JPY 3y</t>
  </si>
  <si>
    <t xml:space="preserve">ws|IR|JPY|5y</t>
  </si>
  <si>
    <t xml:space="preserve">ws IR JPY 5y</t>
  </si>
  <si>
    <t xml:space="preserve">ws|IR|JPY|10y</t>
  </si>
  <si>
    <t xml:space="preserve">ws IR JPY 10y</t>
  </si>
  <si>
    <t xml:space="preserve">ws|IR|JPY|15y</t>
  </si>
  <si>
    <t xml:space="preserve">ws IR JPY 15y</t>
  </si>
  <si>
    <t xml:space="preserve">ws|IR|JPY|20y</t>
  </si>
  <si>
    <t xml:space="preserve">ws IR JPY 20y</t>
  </si>
  <si>
    <t xml:space="preserve">ws|IR|JPY|30y</t>
  </si>
  <si>
    <t xml:space="preserve">ws IR JPY 30y</t>
  </si>
  <si>
    <t xml:space="preserve">cr|IR|Delta|JPY</t>
  </si>
  <si>
    <t xml:space="preserve">cr IR Delta JPY</t>
  </si>
  <si>
    <t xml:space="preserve">k|IR|Delta|JPY</t>
  </si>
  <si>
    <t xml:space="preserve">k IR Delta JPY</t>
  </si>
  <si>
    <t xml:space="preserve">s|IR|Delta|JPY</t>
  </si>
  <si>
    <t xml:space="preserve">s IR Delta JPY</t>
  </si>
  <si>
    <t xml:space="preserve">ws|IR|MXN|2w</t>
  </si>
  <si>
    <t xml:space="preserve">ws IR MXN 2w</t>
  </si>
  <si>
    <t xml:space="preserve">ws|IR|MXN|1m</t>
  </si>
  <si>
    <t xml:space="preserve">ws IR MXN 1m</t>
  </si>
  <si>
    <t xml:space="preserve">ws|IR|MXN|3m</t>
  </si>
  <si>
    <t xml:space="preserve">ws IR MXN 3m</t>
  </si>
  <si>
    <t xml:space="preserve">ws|IR|MXN|6m</t>
  </si>
  <si>
    <t xml:space="preserve">ws IR MXN 6m</t>
  </si>
  <si>
    <t xml:space="preserve">ws|IR|MXN|1y</t>
  </si>
  <si>
    <t xml:space="preserve">ws IR MXN 1y</t>
  </si>
  <si>
    <t xml:space="preserve">ws|IR|MXN|2y</t>
  </si>
  <si>
    <t xml:space="preserve">ws IR MXN 2y</t>
  </si>
  <si>
    <t xml:space="preserve">ws|IR|MXN|3y</t>
  </si>
  <si>
    <t xml:space="preserve">ws IR MXN 3y</t>
  </si>
  <si>
    <t xml:space="preserve">ws|IR|MXN|5y</t>
  </si>
  <si>
    <t xml:space="preserve">ws IR MXN 5y</t>
  </si>
  <si>
    <t xml:space="preserve">ws|IR|MXN|10y</t>
  </si>
  <si>
    <t xml:space="preserve">ws IR MXN 10y</t>
  </si>
  <si>
    <t xml:space="preserve">ws|IR|MXN|15y</t>
  </si>
  <si>
    <t xml:space="preserve">ws IR MXN 15y</t>
  </si>
  <si>
    <t xml:space="preserve">ws|IR|MXN|20y</t>
  </si>
  <si>
    <t xml:space="preserve">ws IR MXN 20y</t>
  </si>
  <si>
    <t xml:space="preserve">ws|IR|MXN|30y</t>
  </si>
  <si>
    <t xml:space="preserve">ws IR MXN 30y</t>
  </si>
  <si>
    <t xml:space="preserve">cr|IR|Delta|MXN</t>
  </si>
  <si>
    <t xml:space="preserve">cr IR Delta MXN</t>
  </si>
  <si>
    <t xml:space="preserve">k|IR|Delta|MXN</t>
  </si>
  <si>
    <t xml:space="preserve">k IR Delta MXN</t>
  </si>
  <si>
    <t xml:space="preserve">s|IR|Delta|MXN</t>
  </si>
  <si>
    <t xml:space="preserve">s IR Delta MXN</t>
  </si>
  <si>
    <t xml:space="preserve">margin|IR|Delta</t>
  </si>
  <si>
    <t xml:space="preserve">margin IR Delta</t>
  </si>
  <si>
    <t xml:space="preserve">ws|FX|EUR</t>
  </si>
  <si>
    <t xml:space="preserve">ws FX EUR</t>
  </si>
  <si>
    <t xml:space="preserve">cr|FX|Delta|EUR</t>
  </si>
  <si>
    <t xml:space="preserve">cr FX Delta EUR</t>
  </si>
  <si>
    <t xml:space="preserve">ws|FX|GBP</t>
  </si>
  <si>
    <t xml:space="preserve">ws FX GBP</t>
  </si>
  <si>
    <t xml:space="preserve">cr|FX|Delta|GBP</t>
  </si>
  <si>
    <t xml:space="preserve">cr FX Delta GBP</t>
  </si>
  <si>
    <t xml:space="preserve">ws|FX|JPY</t>
  </si>
  <si>
    <t xml:space="preserve">ws FX JPY</t>
  </si>
  <si>
    <t xml:space="preserve">cr|FX|Delta|JPY</t>
  </si>
  <si>
    <t xml:space="preserve">cr FX Delta JPY</t>
  </si>
  <si>
    <t xml:space="preserve">ws|FX|MXN</t>
  </si>
  <si>
    <t xml:space="preserve">ws FX MXN</t>
  </si>
  <si>
    <t xml:space="preserve">cr|FX|Delta|MXN</t>
  </si>
  <si>
    <t xml:space="preserve">cr FX Delta MXN</t>
  </si>
  <si>
    <t xml:space="preserve">k|FX|Delta</t>
  </si>
  <si>
    <t xml:space="preserve">k FX Delta</t>
  </si>
  <si>
    <t xml:space="preserve">margin|FX|Delta</t>
  </si>
  <si>
    <t xml:space="preserve">margin FX Delta</t>
  </si>
  <si>
    <t xml:space="preserve">vr|IR|USD|2w</t>
  </si>
  <si>
    <t xml:space="preserve">vr IR USD 2w</t>
  </si>
  <si>
    <t xml:space="preserve">vr|IR|USD|1m</t>
  </si>
  <si>
    <t xml:space="preserve">vr IR USD 1m</t>
  </si>
  <si>
    <t xml:space="preserve">vr|IR|USD|3m</t>
  </si>
  <si>
    <t xml:space="preserve">vr IR USD 3m</t>
  </si>
  <si>
    <t xml:space="preserve">vr|IR|USD|6m</t>
  </si>
  <si>
    <t xml:space="preserve">vr IR USD 6m</t>
  </si>
  <si>
    <t xml:space="preserve">vr|IR|USD|1y</t>
  </si>
  <si>
    <t xml:space="preserve">vr IR USD 1y</t>
  </si>
  <si>
    <t xml:space="preserve">vr|IR|USD|2y</t>
  </si>
  <si>
    <t xml:space="preserve">vr IR USD 2y</t>
  </si>
  <si>
    <t xml:space="preserve">vr|IR|USD|3y</t>
  </si>
  <si>
    <t xml:space="preserve">vr IR USD 3y</t>
  </si>
  <si>
    <t xml:space="preserve">vr|IR|USD|5y</t>
  </si>
  <si>
    <t xml:space="preserve">vr IR USD 5y</t>
  </si>
  <si>
    <t xml:space="preserve">vr|IR|USD|10y</t>
  </si>
  <si>
    <t xml:space="preserve">vr IR USD 10y</t>
  </si>
  <si>
    <t xml:space="preserve">vr|IR|USD|15y</t>
  </si>
  <si>
    <t xml:space="preserve">vr IR USD 15y</t>
  </si>
  <si>
    <t xml:space="preserve">vr|IR|USD|20y</t>
  </si>
  <si>
    <t xml:space="preserve">vr IR USD 20y</t>
  </si>
  <si>
    <t xml:space="preserve">vr|IR|USD|30y</t>
  </si>
  <si>
    <t xml:space="preserve">vr IR USD 30y</t>
  </si>
  <si>
    <t xml:space="preserve">cr|IR|Vega|USD</t>
  </si>
  <si>
    <t xml:space="preserve">cr IR Vega USD</t>
  </si>
  <si>
    <t xml:space="preserve">k|IR|Vega|USD</t>
  </si>
  <si>
    <t xml:space="preserve">k IR Vega USD</t>
  </si>
  <si>
    <t xml:space="preserve">s|IR|Vega|USD</t>
  </si>
  <si>
    <t xml:space="preserve">s IR Vega USD</t>
  </si>
  <si>
    <t xml:space="preserve">vr|IR|EUR|2w</t>
  </si>
  <si>
    <t xml:space="preserve">vr IR EUR 2w</t>
  </si>
  <si>
    <t xml:space="preserve">vr|IR|EUR|1m</t>
  </si>
  <si>
    <t xml:space="preserve">vr IR EUR 1m</t>
  </si>
  <si>
    <t xml:space="preserve">vr|IR|EUR|3m</t>
  </si>
  <si>
    <t xml:space="preserve">vr IR EUR 3m</t>
  </si>
  <si>
    <t xml:space="preserve">vr|IR|EUR|6m</t>
  </si>
  <si>
    <t xml:space="preserve">vr IR EUR 6m</t>
  </si>
  <si>
    <t xml:space="preserve">vr|IR|EUR|1y</t>
  </si>
  <si>
    <t xml:space="preserve">vr IR EUR 1y</t>
  </si>
  <si>
    <t xml:space="preserve">vr|IR|EUR|2y</t>
  </si>
  <si>
    <t xml:space="preserve">vr IR EUR 2y</t>
  </si>
  <si>
    <t xml:space="preserve">vr|IR|EUR|3y</t>
  </si>
  <si>
    <t xml:space="preserve">vr IR EUR 3y</t>
  </si>
  <si>
    <t xml:space="preserve">vr|IR|EUR|5y</t>
  </si>
  <si>
    <t xml:space="preserve">vr IR EUR 5y</t>
  </si>
  <si>
    <t xml:space="preserve">vr|IR|EUR|10y</t>
  </si>
  <si>
    <t xml:space="preserve">vr IR EUR 10y</t>
  </si>
  <si>
    <t xml:space="preserve">vr|IR|EUR|15y</t>
  </si>
  <si>
    <t xml:space="preserve">vr IR EUR 15y</t>
  </si>
  <si>
    <t xml:space="preserve">vr|IR|EUR|20y</t>
  </si>
  <si>
    <t xml:space="preserve">vr IR EUR 20y</t>
  </si>
  <si>
    <t xml:space="preserve">vr|IR|EUR|30y</t>
  </si>
  <si>
    <t xml:space="preserve">vr IR EUR 30y</t>
  </si>
  <si>
    <t xml:space="preserve">cr|IR|Vega|EUR</t>
  </si>
  <si>
    <t xml:space="preserve">cr IR Vega EUR</t>
  </si>
  <si>
    <t xml:space="preserve">k|IR|Vega|EUR</t>
  </si>
  <si>
    <t xml:space="preserve">k IR Vega EUR</t>
  </si>
  <si>
    <t xml:space="preserve">s|IR|Vega|EUR</t>
  </si>
  <si>
    <t xml:space="preserve">s IR Vega EUR</t>
  </si>
  <si>
    <t xml:space="preserve">vr|IR|GBP|2w</t>
  </si>
  <si>
    <t xml:space="preserve">vr IR GBP 2w</t>
  </si>
  <si>
    <t xml:space="preserve">vr|IR|GBP|1m</t>
  </si>
  <si>
    <t xml:space="preserve">vr IR GBP 1m</t>
  </si>
  <si>
    <t xml:space="preserve">vr|IR|GBP|3m</t>
  </si>
  <si>
    <t xml:space="preserve">vr IR GBP 3m</t>
  </si>
  <si>
    <t xml:space="preserve">vr|IR|GBP|6m</t>
  </si>
  <si>
    <t xml:space="preserve">vr IR GBP 6m</t>
  </si>
  <si>
    <t xml:space="preserve">vr|IR|GBP|1y</t>
  </si>
  <si>
    <t xml:space="preserve">vr IR GBP 1y</t>
  </si>
  <si>
    <t xml:space="preserve">vr|IR|GBP|2y</t>
  </si>
  <si>
    <t xml:space="preserve">vr IR GBP 2y</t>
  </si>
  <si>
    <t xml:space="preserve">vr|IR|GBP|3y</t>
  </si>
  <si>
    <t xml:space="preserve">vr IR GBP 3y</t>
  </si>
  <si>
    <t xml:space="preserve">vr|IR|GBP|5y</t>
  </si>
  <si>
    <t xml:space="preserve">vr IR GBP 5y</t>
  </si>
  <si>
    <t xml:space="preserve">vr|IR|GBP|10y</t>
  </si>
  <si>
    <t xml:space="preserve">vr IR GBP 10y</t>
  </si>
  <si>
    <t xml:space="preserve">vr|IR|GBP|15y</t>
  </si>
  <si>
    <t xml:space="preserve">vr IR GBP 15y</t>
  </si>
  <si>
    <t xml:space="preserve">vr|IR|GBP|20y</t>
  </si>
  <si>
    <t xml:space="preserve">vr IR GBP 20y</t>
  </si>
  <si>
    <t xml:space="preserve">vr|IR|GBP|30y</t>
  </si>
  <si>
    <t xml:space="preserve">vr IR GBP 30y</t>
  </si>
  <si>
    <t xml:space="preserve">cr|IR|Vega|GBP</t>
  </si>
  <si>
    <t xml:space="preserve">cr IR Vega GBP</t>
  </si>
  <si>
    <t xml:space="preserve">k|IR|Vega|GBP</t>
  </si>
  <si>
    <t xml:space="preserve">k IR Vega GBP</t>
  </si>
  <si>
    <t xml:space="preserve">s|IR|Vega|GBP</t>
  </si>
  <si>
    <t xml:space="preserve">s IR Vega GBP</t>
  </si>
  <si>
    <t xml:space="preserve">vr|IR|JPY|2w</t>
  </si>
  <si>
    <t xml:space="preserve">vr IR JPY 2w</t>
  </si>
  <si>
    <t xml:space="preserve">vr|IR|JPY|1m</t>
  </si>
  <si>
    <t xml:space="preserve">vr IR JPY 1m</t>
  </si>
  <si>
    <t xml:space="preserve">vr|IR|JPY|3m</t>
  </si>
  <si>
    <t xml:space="preserve">vr IR JPY 3m</t>
  </si>
  <si>
    <t xml:space="preserve">vr|IR|JPY|6m</t>
  </si>
  <si>
    <t xml:space="preserve">vr IR JPY 6m</t>
  </si>
  <si>
    <t xml:space="preserve">vr|IR|JPY|1y</t>
  </si>
  <si>
    <t xml:space="preserve">vr IR JPY 1y</t>
  </si>
  <si>
    <t xml:space="preserve">vr|IR|JPY|2y</t>
  </si>
  <si>
    <t xml:space="preserve">vr IR JPY 2y</t>
  </si>
  <si>
    <t xml:space="preserve">vr|IR|JPY|3y</t>
  </si>
  <si>
    <t xml:space="preserve">vr IR JPY 3y</t>
  </si>
  <si>
    <t xml:space="preserve">vr|IR|JPY|5y</t>
  </si>
  <si>
    <t xml:space="preserve">vr IR JPY 5y</t>
  </si>
  <si>
    <t xml:space="preserve">vr|IR|JPY|10y</t>
  </si>
  <si>
    <t xml:space="preserve">vr IR JPY 10y</t>
  </si>
  <si>
    <t xml:space="preserve">vr|IR|JPY|15y</t>
  </si>
  <si>
    <t xml:space="preserve">vr IR JPY 15y</t>
  </si>
  <si>
    <t xml:space="preserve">vr|IR|JPY|20y</t>
  </si>
  <si>
    <t xml:space="preserve">vr IR JPY 20y</t>
  </si>
  <si>
    <t xml:space="preserve">vr|IR|JPY|30y</t>
  </si>
  <si>
    <t xml:space="preserve">vr IR JPY 30y</t>
  </si>
  <si>
    <t xml:space="preserve">cr|IR|Vega|JPY</t>
  </si>
  <si>
    <t xml:space="preserve">cr IR Vega JPY</t>
  </si>
  <si>
    <t xml:space="preserve">k|IR|Vega|JPY</t>
  </si>
  <si>
    <t xml:space="preserve">k IR Vega JPY</t>
  </si>
  <si>
    <t xml:space="preserve">s|IR|Vega|JPY</t>
  </si>
  <si>
    <t xml:space="preserve">s IR Vega JPY</t>
  </si>
  <si>
    <t xml:space="preserve">vr|IR|MXN|2w</t>
  </si>
  <si>
    <t xml:space="preserve">vr IR MXN 2w</t>
  </si>
  <si>
    <t xml:space="preserve">vr|IR|MXN|1m</t>
  </si>
  <si>
    <t xml:space="preserve">vr IR MXN 1m</t>
  </si>
  <si>
    <t xml:space="preserve">vr|IR|MXN|3m</t>
  </si>
  <si>
    <t xml:space="preserve">vr IR MXN 3m</t>
  </si>
  <si>
    <t xml:space="preserve">vr|IR|MXN|6m</t>
  </si>
  <si>
    <t xml:space="preserve">vr IR MXN 6m</t>
  </si>
  <si>
    <t xml:space="preserve">vr|IR|MXN|1y</t>
  </si>
  <si>
    <t xml:space="preserve">vr IR MXN 1y</t>
  </si>
  <si>
    <t xml:space="preserve">vr|IR|MXN|2y</t>
  </si>
  <si>
    <t xml:space="preserve">vr IR MXN 2y</t>
  </si>
  <si>
    <t xml:space="preserve">vr|IR|MXN|3y</t>
  </si>
  <si>
    <t xml:space="preserve">vr IR MXN 3y</t>
  </si>
  <si>
    <t xml:space="preserve">vr|IR|MXN|5y</t>
  </si>
  <si>
    <t xml:space="preserve">vr IR MXN 5y</t>
  </si>
  <si>
    <t xml:space="preserve">vr|IR|MXN|10y</t>
  </si>
  <si>
    <t xml:space="preserve">vr IR MXN 10y</t>
  </si>
  <si>
    <t xml:space="preserve">vr|IR|MXN|15y</t>
  </si>
  <si>
    <t xml:space="preserve">vr IR MXN 15y</t>
  </si>
  <si>
    <t xml:space="preserve">vr|IR|MXN|20y</t>
  </si>
  <si>
    <t xml:space="preserve">vr IR MXN 20y</t>
  </si>
  <si>
    <t xml:space="preserve">vr|IR|MXN|30y</t>
  </si>
  <si>
    <t xml:space="preserve">vr IR MXN 30y</t>
  </si>
  <si>
    <t xml:space="preserve">cr|IR|Vega|MXN</t>
  </si>
  <si>
    <t xml:space="preserve">cr IR Vega MXN</t>
  </si>
  <si>
    <t xml:space="preserve">k|IR|Vega|MXN</t>
  </si>
  <si>
    <t xml:space="preserve">k IR Vega MXN</t>
  </si>
  <si>
    <t xml:space="preserve">s|IR|Vega|MXN</t>
  </si>
  <si>
    <t xml:space="preserve">s IR Vega MXN</t>
  </si>
  <si>
    <t xml:space="preserve">margin|IR|Vega</t>
  </si>
  <si>
    <t xml:space="preserve">margin IR Vega</t>
  </si>
  <si>
    <t xml:space="preserve">sigma|EURUSD</t>
  </si>
  <si>
    <t xml:space="preserve">sigma EURUSD</t>
  </si>
  <si>
    <t xml:space="preserve">vr|FX|EURUSD</t>
  </si>
  <si>
    <t xml:space="preserve">vr FX EURUSD</t>
  </si>
  <si>
    <t xml:space="preserve">sigma|GBPUSD</t>
  </si>
  <si>
    <t xml:space="preserve">sigma GBPUSD</t>
  </si>
  <si>
    <t xml:space="preserve">vr|FX|GBPUSD</t>
  </si>
  <si>
    <t xml:space="preserve">vr FX GBPUSD</t>
  </si>
  <si>
    <t xml:space="preserve">sigma|USDJPY</t>
  </si>
  <si>
    <t xml:space="preserve">sigma USDJPY</t>
  </si>
  <si>
    <t xml:space="preserve">vr|FX|USDJPY</t>
  </si>
  <si>
    <t xml:space="preserve">vr FX USDJPY</t>
  </si>
  <si>
    <t xml:space="preserve">sigma|USDMXN</t>
  </si>
  <si>
    <t xml:space="preserve">sigma USDMXN</t>
  </si>
  <si>
    <t xml:space="preserve">vr|FX|USDMXN</t>
  </si>
  <si>
    <t xml:space="preserve">vr FX USDMXN</t>
  </si>
  <si>
    <t xml:space="preserve">k|FX|Vega</t>
  </si>
  <si>
    <t xml:space="preserve">k FX Vega</t>
  </si>
  <si>
    <t xml:space="preserve">margin|FX|Vega</t>
  </si>
  <si>
    <t xml:space="preserve">margin FX Vega</t>
  </si>
  <si>
    <t xml:space="preserve">sf|2w</t>
  </si>
  <si>
    <t xml:space="preserve">sf 2w</t>
  </si>
  <si>
    <t xml:space="preserve">sf|1m</t>
  </si>
  <si>
    <t xml:space="preserve">sf 1m</t>
  </si>
  <si>
    <t xml:space="preserve">sf|3m</t>
  </si>
  <si>
    <t xml:space="preserve">sf 3m</t>
  </si>
  <si>
    <t xml:space="preserve">sf|6m</t>
  </si>
  <si>
    <t xml:space="preserve">sf 6m</t>
  </si>
  <si>
    <t xml:space="preserve">sf|1y</t>
  </si>
  <si>
    <t xml:space="preserve">sf 1y</t>
  </si>
  <si>
    <t xml:space="preserve">sf|2y</t>
  </si>
  <si>
    <t xml:space="preserve">sf 2y</t>
  </si>
  <si>
    <t xml:space="preserve">sf|3y</t>
  </si>
  <si>
    <t xml:space="preserve">sf 3y</t>
  </si>
  <si>
    <t xml:space="preserve">sf|5y</t>
  </si>
  <si>
    <t xml:space="preserve">sf 5y</t>
  </si>
  <si>
    <t xml:space="preserve">sf|10y</t>
  </si>
  <si>
    <t xml:space="preserve">sf 10y</t>
  </si>
  <si>
    <t xml:space="preserve">sf|15y</t>
  </si>
  <si>
    <t xml:space="preserve">sf 15y</t>
  </si>
  <si>
    <t xml:space="preserve">sf|20y</t>
  </si>
  <si>
    <t xml:space="preserve">sf 20y</t>
  </si>
  <si>
    <t xml:space="preserve">sf|30y</t>
  </si>
  <si>
    <t xml:space="preserve">sf 30y</t>
  </si>
  <si>
    <t xml:space="preserve">c|IR|USD|2w</t>
  </si>
  <si>
    <t xml:space="preserve">c IR USD 2w</t>
  </si>
  <si>
    <t xml:space="preserve">c|IR|EUR|2w</t>
  </si>
  <si>
    <t xml:space="preserve">c IR EUR 2w</t>
  </si>
  <si>
    <t xml:space="preserve">c|IR|GBP|2w</t>
  </si>
  <si>
    <t xml:space="preserve">c IR GBP 2w</t>
  </si>
  <si>
    <t xml:space="preserve">c|IR|JPY|2w</t>
  </si>
  <si>
    <t xml:space="preserve">c IR JPY 2w</t>
  </si>
  <si>
    <t xml:space="preserve">c|IR|MXN|2w</t>
  </si>
  <si>
    <t xml:space="preserve">c IR MXN 2w</t>
  </si>
  <si>
    <t xml:space="preserve">c|IR|USD|1m</t>
  </si>
  <si>
    <t xml:space="preserve">c IR USD 1m</t>
  </si>
  <si>
    <t xml:space="preserve">c|IR|EUR|1m</t>
  </si>
  <si>
    <t xml:space="preserve">c IR EUR 1m</t>
  </si>
  <si>
    <t xml:space="preserve">c|IR|GBP|1m</t>
  </si>
  <si>
    <t xml:space="preserve">c IR GBP 1m</t>
  </si>
  <si>
    <t xml:space="preserve">c|IR|JPY|1m</t>
  </si>
  <si>
    <t xml:space="preserve">c IR JPY 1m</t>
  </si>
  <si>
    <t xml:space="preserve">c|IR|MXN|1m</t>
  </si>
  <si>
    <t xml:space="preserve">c IR MXN 1m</t>
  </si>
  <si>
    <t xml:space="preserve">c|IR|USD|3m</t>
  </si>
  <si>
    <t xml:space="preserve">c IR USD 3m</t>
  </si>
  <si>
    <t xml:space="preserve">c|IR|EUR|3m</t>
  </si>
  <si>
    <t xml:space="preserve">c IR EUR 3m</t>
  </si>
  <si>
    <t xml:space="preserve">c|IR|GBP|3m</t>
  </si>
  <si>
    <t xml:space="preserve">c IR GBP 3m</t>
  </si>
  <si>
    <t xml:space="preserve">c|IR|JPY|3m</t>
  </si>
  <si>
    <t xml:space="preserve">c IR JPY 3m</t>
  </si>
  <si>
    <t xml:space="preserve">c|IR|MXN|3m</t>
  </si>
  <si>
    <t xml:space="preserve">c IR MXN 3m</t>
  </si>
  <si>
    <t xml:space="preserve">c|IR|USD|6m</t>
  </si>
  <si>
    <t xml:space="preserve">c IR USD 6m</t>
  </si>
  <si>
    <t xml:space="preserve">c|IR|EUR|6m</t>
  </si>
  <si>
    <t xml:space="preserve">c IR EUR 6m</t>
  </si>
  <si>
    <t xml:space="preserve">c|IR|GBP|6m</t>
  </si>
  <si>
    <t xml:space="preserve">c IR GBP 6m</t>
  </si>
  <si>
    <t xml:space="preserve">c|IR|JPY|6m</t>
  </si>
  <si>
    <t xml:space="preserve">c IR JPY 6m</t>
  </si>
  <si>
    <t xml:space="preserve">c|IR|MXN|6m</t>
  </si>
  <si>
    <t xml:space="preserve">c IR MXN 6m</t>
  </si>
  <si>
    <t xml:space="preserve">c|IR|USD|1y</t>
  </si>
  <si>
    <t xml:space="preserve">c IR USD 1y</t>
  </si>
  <si>
    <t xml:space="preserve">c|IR|EUR|1y</t>
  </si>
  <si>
    <t xml:space="preserve">c IR EUR 1y</t>
  </si>
  <si>
    <t xml:space="preserve">c|IR|GBP|1y</t>
  </si>
  <si>
    <t xml:space="preserve">c IR GBP 1y</t>
  </si>
  <si>
    <t xml:space="preserve">c|IR|JPY|1y</t>
  </si>
  <si>
    <t xml:space="preserve">c IR JPY 1y</t>
  </si>
  <si>
    <t xml:space="preserve">c|IR|MXN|1y</t>
  </si>
  <si>
    <t xml:space="preserve">c IR MXN 1y</t>
  </si>
  <si>
    <t xml:space="preserve">c|IR|USD|2y</t>
  </si>
  <si>
    <t xml:space="preserve">c IR USD 2y</t>
  </si>
  <si>
    <t xml:space="preserve">c|IR|EUR|2y</t>
  </si>
  <si>
    <t xml:space="preserve">c IR EUR 2y</t>
  </si>
  <si>
    <t xml:space="preserve">c|IR|GBP|2y</t>
  </si>
  <si>
    <t xml:space="preserve">c IR GBP 2y</t>
  </si>
  <si>
    <t xml:space="preserve">c|IR|JPY|2y</t>
  </si>
  <si>
    <t xml:space="preserve">c IR JPY 2y</t>
  </si>
  <si>
    <t xml:space="preserve">c|IR|MXN|2y</t>
  </si>
  <si>
    <t xml:space="preserve">c IR MXN 2y</t>
  </si>
  <si>
    <t xml:space="preserve">c|IR|USD|3y</t>
  </si>
  <si>
    <t xml:space="preserve">c IR USD 3y</t>
  </si>
  <si>
    <t xml:space="preserve">c|IR|EUR|3y</t>
  </si>
  <si>
    <t xml:space="preserve">c IR EUR 3y</t>
  </si>
  <si>
    <t xml:space="preserve">c|IR|GBP|3y</t>
  </si>
  <si>
    <t xml:space="preserve">c IR GBP 3y</t>
  </si>
  <si>
    <t xml:space="preserve">c|IR|JPY|3y</t>
  </si>
  <si>
    <t xml:space="preserve">c IR JPY 3y</t>
  </si>
  <si>
    <t xml:space="preserve">c|IR|MXN|3y</t>
  </si>
  <si>
    <t xml:space="preserve">c IR MXN 3y</t>
  </si>
  <si>
    <t xml:space="preserve">c|IR|USD|5y</t>
  </si>
  <si>
    <t xml:space="preserve">c IR USD 5y</t>
  </si>
  <si>
    <t xml:space="preserve">c|IR|EUR|5y</t>
  </si>
  <si>
    <t xml:space="preserve">c IR EUR 5y</t>
  </si>
  <si>
    <t xml:space="preserve">c|IR|GBP|5y</t>
  </si>
  <si>
    <t xml:space="preserve">c IR GBP 5y</t>
  </si>
  <si>
    <t xml:space="preserve">c|IR|JPY|5y</t>
  </si>
  <si>
    <t xml:space="preserve">c IR JPY 5y</t>
  </si>
  <si>
    <t xml:space="preserve">c|IR|MXN|5y</t>
  </si>
  <si>
    <t xml:space="preserve">c IR MXN 5y</t>
  </si>
  <si>
    <t xml:space="preserve">c|IR|USD|10y</t>
  </si>
  <si>
    <t xml:space="preserve">c IR USD 10y</t>
  </si>
  <si>
    <t xml:space="preserve">c|IR|EUR|10y</t>
  </si>
  <si>
    <t xml:space="preserve">c IR EUR 10y</t>
  </si>
  <si>
    <t xml:space="preserve">c|IR|GBP|10y</t>
  </si>
  <si>
    <t xml:space="preserve">c IR GBP 10y</t>
  </si>
  <si>
    <t xml:space="preserve">c|IR|JPY|10y</t>
  </si>
  <si>
    <t xml:space="preserve">c IR JPY 10y</t>
  </si>
  <si>
    <t xml:space="preserve">c|IR|MXN|10y</t>
  </si>
  <si>
    <t xml:space="preserve">c IR MXN 10y</t>
  </si>
  <si>
    <t xml:space="preserve">c|IR|USD|15y</t>
  </si>
  <si>
    <t xml:space="preserve">c IR USD 15y</t>
  </si>
  <si>
    <t xml:space="preserve">c|IR|EUR|15y</t>
  </si>
  <si>
    <t xml:space="preserve">c IR EUR 15y</t>
  </si>
  <si>
    <t xml:space="preserve">c|IR|GBP|15y</t>
  </si>
  <si>
    <t xml:space="preserve">c IR GBP 15y</t>
  </si>
  <si>
    <t xml:space="preserve">c|IR|JPY|15y</t>
  </si>
  <si>
    <t xml:space="preserve">c IR JPY 15y</t>
  </si>
  <si>
    <t xml:space="preserve">c|IR|MXN|15y</t>
  </si>
  <si>
    <t xml:space="preserve">c IR MXN 15y</t>
  </si>
  <si>
    <t xml:space="preserve">c|IR|USD|20y</t>
  </si>
  <si>
    <t xml:space="preserve">c IR USD 20y</t>
  </si>
  <si>
    <t xml:space="preserve">c|IR|EUR|20y</t>
  </si>
  <si>
    <t xml:space="preserve">c IR EUR 20y</t>
  </si>
  <si>
    <t xml:space="preserve">c|IR|GBP|20y</t>
  </si>
  <si>
    <t xml:space="preserve">c IR GBP 20y</t>
  </si>
  <si>
    <t xml:space="preserve">c|IR|JPY|20y</t>
  </si>
  <si>
    <t xml:space="preserve">c IR JPY 20y</t>
  </si>
  <si>
    <t xml:space="preserve">c|IR|MXN|20y</t>
  </si>
  <si>
    <t xml:space="preserve">c IR MXN 20y</t>
  </si>
  <si>
    <t xml:space="preserve">c|IR|USD|30y</t>
  </si>
  <si>
    <t xml:space="preserve">c IR USD 30y</t>
  </si>
  <si>
    <t xml:space="preserve">c|IR|EUR|30y</t>
  </si>
  <si>
    <t xml:space="preserve">c IR EUR 30y</t>
  </si>
  <si>
    <t xml:space="preserve">c|IR|GBP|30y</t>
  </si>
  <si>
    <t xml:space="preserve">c IR GBP 30y</t>
  </si>
  <si>
    <t xml:space="preserve">c|IR|JPY|30y</t>
  </si>
  <si>
    <t xml:space="preserve">c IR JPY 30y</t>
  </si>
  <si>
    <t xml:space="preserve">c|IR|MXN|30y</t>
  </si>
  <si>
    <t xml:space="preserve">c IR MXN 30y</t>
  </si>
  <si>
    <t xml:space="preserve">theta|IR</t>
  </si>
  <si>
    <t xml:space="preserve">theta IR</t>
  </si>
  <si>
    <t xml:space="preserve">lambda|IR</t>
  </si>
  <si>
    <t xml:space="preserve">lambda IR</t>
  </si>
  <si>
    <t xml:space="preserve">k|IR|Curvature|USD</t>
  </si>
  <si>
    <t xml:space="preserve">k IR Curvature USD</t>
  </si>
  <si>
    <t xml:space="preserve">s|IR|Curvature|USD</t>
  </si>
  <si>
    <t xml:space="preserve">s IR Curvature USD</t>
  </si>
  <si>
    <t xml:space="preserve">k|IR|Curvature|EUR</t>
  </si>
  <si>
    <t xml:space="preserve">k IR Curvature EUR</t>
  </si>
  <si>
    <t xml:space="preserve">s|IR|Curvature|EUR</t>
  </si>
  <si>
    <t xml:space="preserve">s IR Curvature EUR</t>
  </si>
  <si>
    <t xml:space="preserve">k|IR|Curvature|GBP</t>
  </si>
  <si>
    <t xml:space="preserve">k IR Curvature GBP</t>
  </si>
  <si>
    <t xml:space="preserve">s|IR|Curvature|GBP</t>
  </si>
  <si>
    <t xml:space="preserve">s IR Curvature GBP</t>
  </si>
  <si>
    <t xml:space="preserve">k|IR|Curvature|JPY</t>
  </si>
  <si>
    <t xml:space="preserve">k IR Curvature JPY</t>
  </si>
  <si>
    <t xml:space="preserve">s|IR|Curvature|JPY</t>
  </si>
  <si>
    <t xml:space="preserve">s IR Curvature JPY</t>
  </si>
  <si>
    <t xml:space="preserve">k|IR|Curvature|MXN</t>
  </si>
  <si>
    <t xml:space="preserve">k IR Curvature MXN</t>
  </si>
  <si>
    <t xml:space="preserve">s|IR|Curvature|MXN</t>
  </si>
  <si>
    <t xml:space="preserve">s IR Curvature MXN</t>
  </si>
  <si>
    <t xml:space="preserve">margin|IR|Curvature</t>
  </si>
  <si>
    <t xml:space="preserve">margin IR Curvature</t>
  </si>
  <si>
    <t xml:space="preserve">c|FX|EURUSD</t>
  </si>
  <si>
    <t xml:space="preserve">c FX EURUSD</t>
  </si>
  <si>
    <t xml:space="preserve">c|FX|GBPUSD</t>
  </si>
  <si>
    <t xml:space="preserve">c FX GBPUSD</t>
  </si>
  <si>
    <t xml:space="preserve">c|FX|USDJPY</t>
  </si>
  <si>
    <t xml:space="preserve">c FX USDJPY</t>
  </si>
  <si>
    <t xml:space="preserve">c|FX|USDMXN</t>
  </si>
  <si>
    <t xml:space="preserve">c FX USDMXN</t>
  </si>
  <si>
    <t xml:space="preserve">theta|FX</t>
  </si>
  <si>
    <t xml:space="preserve">theta FX</t>
  </si>
  <si>
    <t xml:space="preserve">lambda|FX</t>
  </si>
  <si>
    <t xml:space="preserve">lambda FX</t>
  </si>
  <si>
    <t xml:space="preserve">k|FX|Curvature</t>
  </si>
  <si>
    <t xml:space="preserve">k FX Curvature</t>
  </si>
  <si>
    <t xml:space="preserve">margin|FX|Curvature</t>
  </si>
  <si>
    <t xml:space="preserve">margin FX Curvature</t>
  </si>
  <si>
    <t xml:space="preserve">im|IR</t>
  </si>
  <si>
    <t xml:space="preserve">im IR</t>
  </si>
  <si>
    <t xml:space="preserve">abs</t>
  </si>
  <si>
    <t xml:space="preserve">im|FX</t>
  </si>
  <si>
    <t xml:space="preserve">im FX</t>
  </si>
  <si>
    <t xml:space="preserve">total</t>
  </si>
  <si>
    <t xml:space="preserve">sched|rate|IRS_USD_2Y</t>
  </si>
  <si>
    <t xml:space="preserve">sched rate IRS_USD_2Y</t>
  </si>
  <si>
    <t xml:space="preserve">sched|gross_im|IRS_USD_2Y</t>
  </si>
  <si>
    <t xml:space="preserve">sched gross_im IRS_USD_2Y</t>
  </si>
  <si>
    <t xml:space="preserve">sched|rate|IRS_USD_5Y</t>
  </si>
  <si>
    <t xml:space="preserve">sched rate IRS_USD_5Y</t>
  </si>
  <si>
    <t xml:space="preserve">sched|gross_im|IRS_USD_5Y</t>
  </si>
  <si>
    <t xml:space="preserve">sched gross_im IRS_USD_5Y</t>
  </si>
  <si>
    <t xml:space="preserve">sched|rate|IRS_USD_10Y</t>
  </si>
  <si>
    <t xml:space="preserve">sched rate IRS_USD_10Y</t>
  </si>
  <si>
    <t xml:space="preserve">sched|gross_im|IRS_USD_10Y</t>
  </si>
  <si>
    <t xml:space="preserve">sched gross_im IRS_USD_10Y</t>
  </si>
  <si>
    <t xml:space="preserve">sched|rate|IRS_USD_30Y</t>
  </si>
  <si>
    <t xml:space="preserve">sched rate IRS_USD_30Y</t>
  </si>
  <si>
    <t xml:space="preserve">sched|gross_im|IRS_USD_30Y</t>
  </si>
  <si>
    <t xml:space="preserve">sched gross_im IRS_USD_30Y</t>
  </si>
  <si>
    <t xml:space="preserve">sched|rate|IRS_EUR_5Y</t>
  </si>
  <si>
    <t xml:space="preserve">sched rate IRS_EUR_5Y</t>
  </si>
  <si>
    <t xml:space="preserve">sched|gross_im|IRS_EUR_5Y</t>
  </si>
  <si>
    <t xml:space="preserve">sched gross_im IRS_EUR_5Y</t>
  </si>
  <si>
    <t xml:space="preserve">sched|rate|IRS_EUR_10Y</t>
  </si>
  <si>
    <t xml:space="preserve">sched rate IRS_EUR_10Y</t>
  </si>
  <si>
    <t xml:space="preserve">sched|gross_im|IRS_EUR_10Y</t>
  </si>
  <si>
    <t xml:space="preserve">sched gross_im IRS_EUR_10Y</t>
  </si>
  <si>
    <t xml:space="preserve">sched|rate|IRS_GBP_7Y</t>
  </si>
  <si>
    <t xml:space="preserve">sched rate IRS_GBP_7Y</t>
  </si>
  <si>
    <t xml:space="preserve">sched|gross_im|IRS_GBP_7Y</t>
  </si>
  <si>
    <t xml:space="preserve">sched gross_im IRS_GBP_7Y</t>
  </si>
  <si>
    <t xml:space="preserve">sched|rate|IRS_JPY_10Y</t>
  </si>
  <si>
    <t xml:space="preserve">sched rate IRS_JPY_10Y</t>
  </si>
  <si>
    <t xml:space="preserve">sched|gross_im|IRS_JPY_10Y</t>
  </si>
  <si>
    <t xml:space="preserve">sched gross_im IRS_JPY_10Y</t>
  </si>
  <si>
    <t xml:space="preserve">sched|rate|IRS_MXN_3Y</t>
  </si>
  <si>
    <t xml:space="preserve">sched rate IRS_MXN_3Y</t>
  </si>
  <si>
    <t xml:space="preserve">sched|gross_im|IRS_MXN_3Y</t>
  </si>
  <si>
    <t xml:space="preserve">sched gross_im IRS_MXN_3Y</t>
  </si>
  <si>
    <t xml:space="preserve">sched|rate|SWPT_USD_1Yx5Y</t>
  </si>
  <si>
    <t xml:space="preserve">sched rate SWPT_USD_1Yx5Y</t>
  </si>
  <si>
    <t xml:space="preserve">sched|gross_im|SWPT_USD_1Yx5Y</t>
  </si>
  <si>
    <t xml:space="preserve">sched gross_im SWPT_USD_1Yx5Y</t>
  </si>
  <si>
    <t xml:space="preserve">sched|rate|SWPT_EUR_4Yx10Y</t>
  </si>
  <si>
    <t xml:space="preserve">sched rate SWPT_EUR_4Yx10Y</t>
  </si>
  <si>
    <t xml:space="preserve">sched|gross_im|SWPT_EUR_4Yx10Y</t>
  </si>
  <si>
    <t xml:space="preserve">sched gross_im SWPT_EUR_4Yx10Y</t>
  </si>
  <si>
    <t xml:space="preserve">sched|rate|SWPT_GBP_5Yx5Y</t>
  </si>
  <si>
    <t xml:space="preserve">sched rate SWPT_GBP_5Yx5Y</t>
  </si>
  <si>
    <t xml:space="preserve">sched|gross_im|SWPT_GBP_5Yx5Y</t>
  </si>
  <si>
    <t xml:space="preserve">sched gross_im SWPT_GBP_5Yx5Y</t>
  </si>
  <si>
    <t xml:space="preserve">sched|rate|FXF_EURUSD_6M</t>
  </si>
  <si>
    <t xml:space="preserve">sched rate FXF_EURUSD_6M</t>
  </si>
  <si>
    <t xml:space="preserve">sched|gross_im|FXF_EURUSD_6M</t>
  </si>
  <si>
    <t xml:space="preserve">sched gross_im FXF_EURUSD_6M</t>
  </si>
  <si>
    <t xml:space="preserve">sched|rate|FXF_GBPUSD_1Y</t>
  </si>
  <si>
    <t xml:space="preserve">sched rate FXF_GBPUSD_1Y</t>
  </si>
  <si>
    <t xml:space="preserve">sched|gross_im|FXF_GBPUSD_1Y</t>
  </si>
  <si>
    <t xml:space="preserve">sched gross_im FXF_GBPUSD_1Y</t>
  </si>
  <si>
    <t xml:space="preserve">sched|rate|FXF_USDJPY_3M</t>
  </si>
  <si>
    <t xml:space="preserve">sched rate FXF_USDJPY_3M</t>
  </si>
  <si>
    <t xml:space="preserve">sched|gross_im|FXF_USDJPY_3M</t>
  </si>
  <si>
    <t xml:space="preserve">sched gross_im FXF_USDJPY_3M</t>
  </si>
  <si>
    <t xml:space="preserve">sched|rate|FXF_USDMXN_6M</t>
  </si>
  <si>
    <t xml:space="preserve">sched rate FXF_USDMXN_6M</t>
  </si>
  <si>
    <t xml:space="preserve">sched|gross_im|FXF_USDMXN_6M</t>
  </si>
  <si>
    <t xml:space="preserve">sched gross_im FXF_USDMXN_6M</t>
  </si>
  <si>
    <t xml:space="preserve">sched|rate|FXO_EURUSD_C3M</t>
  </si>
  <si>
    <t xml:space="preserve">sched rate FXO_EURUSD_C3M</t>
  </si>
  <si>
    <t xml:space="preserve">sched|gross_im|FXO_EURUSD_C3M</t>
  </si>
  <si>
    <t xml:space="preserve">sched gross_im FXO_EURUSD_C3M</t>
  </si>
  <si>
    <t xml:space="preserve">sched|rate|FXO_USDMXN_C1Y</t>
  </si>
  <si>
    <t xml:space="preserve">sched rate FXO_USDMXN_C1Y</t>
  </si>
  <si>
    <t xml:space="preserve">sched|gross_im|FXO_USDMXN_C1Y</t>
  </si>
  <si>
    <t xml:space="preserve">sched gross_im FXO_USDMXN_C1Y</t>
  </si>
  <si>
    <t xml:space="preserve">sched|rate|FXO_GBPUSD_STRADDLE_C</t>
  </si>
  <si>
    <t xml:space="preserve">sched rate FXO_GBPUSD_STRADDLE_C</t>
  </si>
  <si>
    <t xml:space="preserve">sched|gross_im|FXO_GBPUSD_STRADDLE_C</t>
  </si>
  <si>
    <t xml:space="preserve">sched gross_im FXO_GBPUSD_STRADDLE_C</t>
  </si>
  <si>
    <t xml:space="preserve">sched|rate|FXO_GBPUSD_STRADDLE_P</t>
  </si>
  <si>
    <t xml:space="preserve">sched rate FXO_GBPUSD_STRADDLE_P</t>
  </si>
  <si>
    <t xml:space="preserve">sched|gross_im|FXO_GBPUSD_STRADDLE_P</t>
  </si>
  <si>
    <t xml:space="preserve">sched gross_im FXO_GBPUSD_STRADDLE_P</t>
  </si>
  <si>
    <t xml:space="preserve">sched|gross</t>
  </si>
  <si>
    <t xml:space="preserve">sched gross</t>
  </si>
  <si>
    <t xml:space="preserve">sched|ngr</t>
  </si>
  <si>
    <t xml:space="preserve">sched ngr</t>
  </si>
  <si>
    <t xml:space="preserve">sched|net</t>
  </si>
  <si>
    <t xml:space="preserve">sched net</t>
  </si>
  <si>
    <t xml:space="preserve">bt|1d|n</t>
  </si>
  <si>
    <t xml:space="preserve">bt 1d n</t>
  </si>
  <si>
    <t xml:space="preserve">bt|1d|x</t>
  </si>
  <si>
    <t xml:space="preserve">bt 1d x</t>
  </si>
  <si>
    <t xml:space="preserve">bt|1d|LR_uc</t>
  </si>
  <si>
    <t xml:space="preserve">bt 1d LR_uc</t>
  </si>
  <si>
    <t xml:space="preserve">bt|1d|p_uc</t>
  </si>
  <si>
    <t xml:space="preserve">bt 1d p_uc</t>
  </si>
  <si>
    <t xml:space="preserve">bt|1d|n00</t>
  </si>
  <si>
    <t xml:space="preserve">bt 1d n00</t>
  </si>
  <si>
    <t xml:space="preserve">bt|1d|n01</t>
  </si>
  <si>
    <t xml:space="preserve">bt 1d n01</t>
  </si>
  <si>
    <t xml:space="preserve">bt|1d|n10</t>
  </si>
  <si>
    <t xml:space="preserve">bt 1d n10</t>
  </si>
  <si>
    <t xml:space="preserve">bt|1d|n11</t>
  </si>
  <si>
    <t xml:space="preserve">bt 1d n11</t>
  </si>
  <si>
    <t xml:space="preserve">bt|1d|LR_ind</t>
  </si>
  <si>
    <t xml:space="preserve">bt 1d LR_ind</t>
  </si>
  <si>
    <t xml:space="preserve">bt|1d|p_ind</t>
  </si>
  <si>
    <t xml:space="preserve">bt 1d p_ind</t>
  </si>
  <si>
    <t xml:space="preserve">bt|1d|LR_cc</t>
  </si>
  <si>
    <t xml:space="preserve">bt 1d LR_cc</t>
  </si>
  <si>
    <t xml:space="preserve">bt|1d|p_cc</t>
  </si>
  <si>
    <t xml:space="preserve">bt 1d p_cc</t>
  </si>
  <si>
    <t xml:space="preserve">bt|1d|zone</t>
  </si>
  <si>
    <t xml:space="preserve">bt 1d zone</t>
  </si>
  <si>
    <t xml:space="preserve">text</t>
  </si>
  <si>
    <t xml:space="preserve">bt|10d|n</t>
  </si>
  <si>
    <t xml:space="preserve">bt 10d n</t>
  </si>
  <si>
    <t xml:space="preserve">bt|10d|x</t>
  </si>
  <si>
    <t xml:space="preserve">bt 10d x</t>
  </si>
  <si>
    <t xml:space="preserve">bt|10d|LR_uc</t>
  </si>
  <si>
    <t xml:space="preserve">bt 10d LR_uc</t>
  </si>
  <si>
    <t xml:space="preserve">bt|10d|p_uc</t>
  </si>
  <si>
    <t xml:space="preserve">bt 10d p_uc</t>
  </si>
  <si>
    <t xml:space="preserve">bt|10d|n00</t>
  </si>
  <si>
    <t xml:space="preserve">bt 10d n00</t>
  </si>
  <si>
    <t xml:space="preserve">bt|10d|n01</t>
  </si>
  <si>
    <t xml:space="preserve">bt 10d n01</t>
  </si>
  <si>
    <t xml:space="preserve">bt|10d|n10</t>
  </si>
  <si>
    <t xml:space="preserve">bt 10d n10</t>
  </si>
  <si>
    <t xml:space="preserve">bt|10d|n11</t>
  </si>
  <si>
    <t xml:space="preserve">bt 10d n11</t>
  </si>
  <si>
    <t xml:space="preserve">bt|10d|LR_ind</t>
  </si>
  <si>
    <t xml:space="preserve">bt 10d LR_ind</t>
  </si>
  <si>
    <t xml:space="preserve">bt|10d|p_ind</t>
  </si>
  <si>
    <t xml:space="preserve">bt 10d p_ind</t>
  </si>
  <si>
    <t xml:space="preserve">bt|10d|LR_cc</t>
  </si>
  <si>
    <t xml:space="preserve">bt 10d LR_cc</t>
  </si>
  <si>
    <t xml:space="preserve">bt|10d|p_cc</t>
  </si>
  <si>
    <t xml:space="preserve">bt 10d p_cc</t>
  </si>
  <si>
    <t xml:space="preserve">bt|10d|zone</t>
  </si>
  <si>
    <t xml:space="preserve">bt 10d zone</t>
  </si>
  <si>
    <t xml:space="preserve">bt|1d|x250</t>
  </si>
  <si>
    <t xml:space="preserve">bt 1d x250</t>
  </si>
  <si>
    <t xml:space="preserve">bt|1d|zone250</t>
  </si>
  <si>
    <t xml:space="preserve">bt 1d zone250</t>
  </si>
  <si>
    <t xml:space="preserve">attr|shapley|matured_trades</t>
  </si>
  <si>
    <t xml:space="preserve">attr shapley matured_trades</t>
  </si>
  <si>
    <t xml:space="preserve">attr|oaat|matured_trades</t>
  </si>
  <si>
    <t xml:space="preserve">attr oaat matured_trades</t>
  </si>
  <si>
    <t xml:space="preserve">attr|bridge|matured_trades</t>
  </si>
  <si>
    <t xml:space="preserve">attr bridge matured_trades</t>
  </si>
  <si>
    <t xml:space="preserve">attr|shapley|new_trades</t>
  </si>
  <si>
    <t xml:space="preserve">attr shapley new_trades</t>
  </si>
  <si>
    <t xml:space="preserve">attr|oaat|new_trades</t>
  </si>
  <si>
    <t xml:space="preserve">attr oaat new_trades</t>
  </si>
  <si>
    <t xml:space="preserve">attr|bridge|new_trades</t>
  </si>
  <si>
    <t xml:space="preserve">attr bridge new_trades</t>
  </si>
  <si>
    <t xml:space="preserve">attr|shapley|market_move</t>
  </si>
  <si>
    <t xml:space="preserve">attr shapley market_move</t>
  </si>
  <si>
    <t xml:space="preserve">attr|oaat|market_move</t>
  </si>
  <si>
    <t xml:space="preserve">attr oaat market_move</t>
  </si>
  <si>
    <t xml:space="preserve">attr|bridge|market_move</t>
  </si>
  <si>
    <t xml:space="preserve">attr bridge market_move</t>
  </si>
  <si>
    <t xml:space="preserve">attr|shapley|parameter_version</t>
  </si>
  <si>
    <t xml:space="preserve">attr shapley parameter_version</t>
  </si>
  <si>
    <t xml:space="preserve">attr|oaat|parameter_version</t>
  </si>
  <si>
    <t xml:space="preserve">attr oaat parameter_version</t>
  </si>
  <si>
    <t xml:space="preserve">attr|bridge|parameter_version</t>
  </si>
  <si>
    <t xml:space="preserve">attr bridge parameter_version</t>
  </si>
  <si>
    <t xml:space="preserve">attr|dim</t>
  </si>
  <si>
    <t xml:space="preserve">attr dim</t>
  </si>
  <si>
    <t xml:space="preserve">attr|shapley_sum</t>
  </si>
  <si>
    <t xml:space="preserve">attr shapley_sum</t>
  </si>
  <si>
    <t xml:space="preserve">attr|oaat_residual</t>
  </si>
  <si>
    <t xml:space="preserve">attr oaat_residual</t>
  </si>
  <si>
    <t xml:space="preserve">attr|substeps_sum</t>
  </si>
  <si>
    <t xml:space="preserve">attr substeps_sum</t>
  </si>
</sst>
</file>

<file path=xl/styles.xml><?xml version="1.0" encoding="utf-8"?>
<styleSheet xmlns="http://schemas.openxmlformats.org/spreadsheetml/2006/main">
  <numFmts count="1">
    <numFmt numFmtId="164" formatCode="General"/>
  </numFmts>
  <fonts count="5">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pitchFamily="0" charset="1"/>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2734375" defaultRowHeight="15" customHeight="false" zeroHeight="false" outlineLevelRow="0" outlineLevelCol="0"/>
  <cols>
    <col collapsed="false" customWidth="true" hidden="false" outlineLevel="0" max="1" min="1" style="0" width="46"/>
  </cols>
  <sheetData>
    <row r="1" customFormat="false" ht="15" hidden="false" customHeight="false" outlineLevel="0" collapsed="false">
      <c r="A1" s="1" t="s">
        <v>0</v>
      </c>
    </row>
    <row r="3" customFormat="false" ht="15" hidden="false" customHeight="false" outlineLevel="0" collapsed="false">
      <c r="A3" s="0" t="s">
        <v>1</v>
      </c>
    </row>
    <row r="5" customFormat="false" ht="15" hidden="false" customHeight="false" outlineLevel="0" collapsed="false">
      <c r="A5" s="0" t="s">
        <v>2</v>
      </c>
    </row>
    <row r="7" customFormat="false" ht="15" hidden="false" customHeight="false" outlineLevel="0" collapsed="false">
      <c r="A7" s="0" t="s">
        <v>3</v>
      </c>
    </row>
    <row r="9" customFormat="false" ht="15" hidden="false" customHeight="false" outlineLevel="0" collapsed="false">
      <c r="A9" s="0" t="s">
        <v>4</v>
      </c>
    </row>
    <row r="11" customFormat="false" ht="15" hidden="false" customHeight="false" outlineLevel="0" collapsed="false">
      <c r="A11" s="0" t="s">
        <v>5</v>
      </c>
    </row>
    <row r="13" customFormat="false" ht="15" hidden="false" customHeight="false" outlineLevel="0" collapsed="false">
      <c r="A13" s="0" t="s">
        <v>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2734375" defaultRowHeight="15" customHeight="false" zeroHeight="false" outlineLevelRow="0" outlineLevelCol="0"/>
  <cols>
    <col collapsed="false" customWidth="true" hidden="false" outlineLevel="0" max="1" min="1" style="0" width="46"/>
  </cols>
  <sheetData>
    <row r="1" customFormat="false" ht="15" hidden="false" customHeight="false" outlineLevel="0" collapsed="false">
      <c r="A1" s="1" t="s">
        <v>7</v>
      </c>
    </row>
    <row r="4" customFormat="false" ht="15" hidden="false" customHeight="false" outlineLevel="0" collapsed="false">
      <c r="A4" s="1" t="s">
        <v>8</v>
      </c>
      <c r="B4" s="0" t="s">
        <v>9</v>
      </c>
    </row>
    <row r="5" customFormat="false" ht="15" hidden="false" customHeight="false" outlineLevel="0" collapsed="false">
      <c r="A5" s="1" t="s">
        <v>10</v>
      </c>
      <c r="B5" s="0" t="s">
        <v>11</v>
      </c>
    </row>
    <row r="6" customFormat="false" ht="15" hidden="false" customHeight="false" outlineLevel="0" collapsed="false">
      <c r="A6" s="1" t="s">
        <v>12</v>
      </c>
      <c r="B6" s="0" t="n">
        <v>0.01</v>
      </c>
    </row>
    <row r="7" customFormat="false" ht="15" hidden="false" customHeight="false" outlineLevel="0" collapsed="false">
      <c r="A7" s="1" t="s">
        <v>13</v>
      </c>
      <c r="B7" s="0" t="n">
        <v>0.95</v>
      </c>
    </row>
    <row r="8" customFormat="false" ht="15" hidden="false" customHeight="false" outlineLevel="0" collapsed="false">
      <c r="A8" s="1" t="s">
        <v>14</v>
      </c>
      <c r="B8" s="0" t="n">
        <v>0.9999</v>
      </c>
    </row>
    <row r="9" customFormat="false" ht="15" hidden="false" customHeight="false" outlineLevel="0" collapsed="false">
      <c r="A9" s="1" t="s">
        <v>15</v>
      </c>
      <c r="B9" s="0" t="n">
        <v>1000000</v>
      </c>
    </row>
    <row r="10" customFormat="false" ht="15" hidden="false" customHeight="false" outlineLevel="0" collapsed="false">
      <c r="A10" s="1" t="s">
        <v>16</v>
      </c>
      <c r="B10" s="0" t="n">
        <v>250</v>
      </c>
    </row>
    <row r="12" customFormat="false" ht="15" hidden="false" customHeight="false" outlineLevel="0" collapsed="false">
      <c r="A12" s="1" t="s">
        <v>17</v>
      </c>
    </row>
    <row r="13" customFormat="false" ht="15" hidden="false" customHeight="false" outlineLevel="0" collapsed="false">
      <c r="A13" s="1" t="s">
        <v>18</v>
      </c>
      <c r="B13" s="0" t="s">
        <v>11</v>
      </c>
      <c r="C13" s="0" t="s">
        <v>19</v>
      </c>
      <c r="D13" s="0" t="s">
        <v>20</v>
      </c>
      <c r="E13" s="0" t="s">
        <v>21</v>
      </c>
      <c r="F13" s="0" t="s">
        <v>22</v>
      </c>
    </row>
    <row r="14" customFormat="false" ht="15" hidden="false" customHeight="false" outlineLevel="0" collapsed="false">
      <c r="A14" s="1" t="s">
        <v>23</v>
      </c>
      <c r="B14" s="0" t="s">
        <v>24</v>
      </c>
      <c r="C14" s="0" t="s">
        <v>25</v>
      </c>
      <c r="D14" s="0" t="s">
        <v>26</v>
      </c>
      <c r="E14" s="0" t="s">
        <v>27</v>
      </c>
      <c r="F14" s="0" t="s">
        <v>28</v>
      </c>
      <c r="G14" s="0" t="s">
        <v>29</v>
      </c>
      <c r="H14" s="0" t="s">
        <v>30</v>
      </c>
      <c r="I14" s="0" t="s">
        <v>31</v>
      </c>
      <c r="J14" s="0" t="s">
        <v>32</v>
      </c>
      <c r="K14" s="0" t="s">
        <v>33</v>
      </c>
      <c r="L14" s="0" t="s">
        <v>34</v>
      </c>
      <c r="M14" s="0" t="s">
        <v>35</v>
      </c>
    </row>
    <row r="15" customFormat="false" ht="15" hidden="false" customHeight="false" outlineLevel="0" collapsed="false">
      <c r="A15" s="1" t="s">
        <v>36</v>
      </c>
      <c r="B15" s="0" t="n">
        <v>0.0383561643835617</v>
      </c>
      <c r="C15" s="0" t="n">
        <v>0.0833333333333333</v>
      </c>
      <c r="D15" s="0" t="n">
        <v>0.25</v>
      </c>
      <c r="E15" s="0" t="n">
        <v>0.5</v>
      </c>
      <c r="F15" s="0" t="n">
        <v>1</v>
      </c>
      <c r="G15" s="0" t="n">
        <v>2</v>
      </c>
      <c r="H15" s="0" t="n">
        <v>3</v>
      </c>
      <c r="I15" s="0" t="n">
        <v>5</v>
      </c>
      <c r="J15" s="0" t="n">
        <v>10</v>
      </c>
      <c r="K15" s="0" t="n">
        <v>15</v>
      </c>
      <c r="L15" s="0" t="n">
        <v>20</v>
      </c>
      <c r="M15" s="0" t="n">
        <v>30</v>
      </c>
    </row>
    <row r="16" customFormat="false" ht="15" hidden="false" customHeight="false" outlineLevel="0" collapsed="false">
      <c r="A16" s="1" t="s">
        <v>37</v>
      </c>
      <c r="B16" s="0" t="s">
        <v>19</v>
      </c>
      <c r="C16" s="0" t="s">
        <v>20</v>
      </c>
      <c r="D16" s="0" t="s">
        <v>21</v>
      </c>
      <c r="E16" s="0" t="s">
        <v>22</v>
      </c>
    </row>
    <row r="17" customFormat="false" ht="15" hidden="false" customHeight="false" outlineLevel="0" collapsed="false">
      <c r="A17" s="1" t="s">
        <v>38</v>
      </c>
      <c r="B17" s="0" t="s">
        <v>39</v>
      </c>
      <c r="C17" s="0" t="s">
        <v>40</v>
      </c>
      <c r="D17" s="0" t="s">
        <v>41</v>
      </c>
      <c r="E17" s="0" t="s">
        <v>42</v>
      </c>
    </row>
    <row r="19" customFormat="false" ht="15" hidden="false" customHeight="false" outlineLevel="0" collapsed="false">
      <c r="A19" s="1" t="s">
        <v>43</v>
      </c>
      <c r="B19" s="1" t="s">
        <v>44</v>
      </c>
    </row>
    <row r="20" customFormat="false" ht="15" hidden="false" customHeight="false" outlineLevel="0" collapsed="false">
      <c r="A20" s="0" t="s">
        <v>11</v>
      </c>
      <c r="B20" s="0" t="n">
        <v>1</v>
      </c>
    </row>
    <row r="21" customFormat="false" ht="15" hidden="false" customHeight="false" outlineLevel="0" collapsed="false">
      <c r="A21" s="0" t="s">
        <v>19</v>
      </c>
      <c r="B21" s="0" t="n">
        <v>1.08</v>
      </c>
    </row>
    <row r="22" customFormat="false" ht="15" hidden="false" customHeight="false" outlineLevel="0" collapsed="false">
      <c r="A22" s="0" t="s">
        <v>20</v>
      </c>
      <c r="B22" s="0" t="n">
        <v>1.27</v>
      </c>
    </row>
    <row r="23" customFormat="false" ht="15" hidden="false" customHeight="false" outlineLevel="0" collapsed="false">
      <c r="A23" s="0" t="s">
        <v>21</v>
      </c>
      <c r="B23" s="0" t="n">
        <v>0.00675675675675676</v>
      </c>
    </row>
    <row r="24" customFormat="false" ht="15" hidden="false" customHeight="false" outlineLevel="0" collapsed="false">
      <c r="A24" s="0" t="s">
        <v>22</v>
      </c>
      <c r="B24" s="0" t="n">
        <v>0.0555555555555556</v>
      </c>
    </row>
    <row r="27" customFormat="false" ht="15" hidden="false" customHeight="false" outlineLevel="0" collapsed="false">
      <c r="A27" s="1" t="s">
        <v>45</v>
      </c>
      <c r="B27" s="0" t="s">
        <v>46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68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2734375" defaultRowHeight="15" customHeight="false" zeroHeight="false" outlineLevelRow="0" outlineLevelCol="0"/>
  <cols>
    <col collapsed="false" customWidth="true" hidden="false" outlineLevel="0" max="1" min="1" style="0" width="46"/>
  </cols>
  <sheetData>
    <row r="1" customFormat="false" ht="15" hidden="false" customHeight="false" outlineLevel="0" collapsed="false">
      <c r="A1" s="1" t="s">
        <v>47</v>
      </c>
    </row>
    <row r="4" customFormat="false" ht="15" hidden="false" customHeight="false" outlineLevel="0" collapsed="false">
      <c r="A4" s="1" t="s">
        <v>48</v>
      </c>
      <c r="B4" s="1" t="s">
        <v>49</v>
      </c>
      <c r="C4" s="1" t="s">
        <v>50</v>
      </c>
      <c r="D4" s="1" t="s">
        <v>51</v>
      </c>
      <c r="E4" s="1" t="s">
        <v>52</v>
      </c>
      <c r="F4" s="1" t="s">
        <v>53</v>
      </c>
      <c r="G4" s="1" t="s">
        <v>54</v>
      </c>
      <c r="H4" s="1" t="s">
        <v>55</v>
      </c>
      <c r="I4" s="1" t="s">
        <v>56</v>
      </c>
      <c r="J4" s="1" t="s">
        <v>57</v>
      </c>
      <c r="K4" s="1" t="s">
        <v>58</v>
      </c>
      <c r="L4" s="1" t="s">
        <v>59</v>
      </c>
      <c r="M4" s="1" t="s">
        <v>60</v>
      </c>
      <c r="N4" s="1" t="s">
        <v>61</v>
      </c>
      <c r="O4" s="1" t="s">
        <v>62</v>
      </c>
      <c r="P4" s="1" t="s">
        <v>63</v>
      </c>
      <c r="Q4" s="1" t="s">
        <v>64</v>
      </c>
      <c r="R4" s="1" t="s">
        <v>65</v>
      </c>
      <c r="S4" s="1" t="s">
        <v>66</v>
      </c>
      <c r="T4" s="1" t="s">
        <v>67</v>
      </c>
    </row>
    <row r="5" customFormat="false" ht="15" hidden="false" customHeight="false" outlineLevel="0" collapsed="false">
      <c r="A5" s="0" t="str">
        <f aca="false">B5&amp;"|"&amp;C5&amp;"|"&amp;D5&amp;"|"&amp;E5&amp;"|"&amp;F5</f>
        <v>2.8+2512|IR|delta_rw|regular|2w</v>
      </c>
      <c r="B5" s="0" t="s">
        <v>9</v>
      </c>
      <c r="C5" s="0" t="s">
        <v>68</v>
      </c>
      <c r="D5" s="0" t="s">
        <v>69</v>
      </c>
      <c r="E5" s="0" t="s">
        <v>70</v>
      </c>
      <c r="F5" s="0" t="s">
        <v>24</v>
      </c>
      <c r="G5" s="0" t="n">
        <v>107</v>
      </c>
      <c r="H5" s="0" t="s">
        <v>71</v>
      </c>
      <c r="I5" s="0" t="s">
        <v>72</v>
      </c>
      <c r="J5" s="0" t="s">
        <v>9</v>
      </c>
      <c r="K5" s="0" t="s">
        <v>73</v>
      </c>
      <c r="L5" s="0" t="s">
        <v>74</v>
      </c>
      <c r="M5" s="0" t="s">
        <v>75</v>
      </c>
      <c r="N5" s="0" t="s">
        <v>76</v>
      </c>
      <c r="O5" s="0" t="s">
        <v>77</v>
      </c>
      <c r="P5" s="0" t="s">
        <v>78</v>
      </c>
      <c r="Q5" s="0" t="s">
        <v>79</v>
      </c>
      <c r="R5" s="0" t="s">
        <v>80</v>
      </c>
      <c r="S5" s="0" t="s">
        <v>81</v>
      </c>
      <c r="T5" s="0" t="s">
        <v>82</v>
      </c>
    </row>
    <row r="6" customFormat="false" ht="15" hidden="false" customHeight="false" outlineLevel="0" collapsed="false">
      <c r="A6" s="0" t="str">
        <f aca="false">B6&amp;"|"&amp;C6&amp;"|"&amp;D6&amp;"|"&amp;E6&amp;"|"&amp;F6</f>
        <v>2.8+2512|IR|delta_rw|regular|1m</v>
      </c>
      <c r="B6" s="0" t="s">
        <v>9</v>
      </c>
      <c r="C6" s="0" t="s">
        <v>68</v>
      </c>
      <c r="D6" s="0" t="s">
        <v>69</v>
      </c>
      <c r="E6" s="0" t="s">
        <v>70</v>
      </c>
      <c r="F6" s="0" t="s">
        <v>25</v>
      </c>
      <c r="G6" s="0" t="n">
        <v>101</v>
      </c>
      <c r="H6" s="0" t="s">
        <v>71</v>
      </c>
      <c r="I6" s="0" t="s">
        <v>72</v>
      </c>
      <c r="J6" s="0" t="s">
        <v>9</v>
      </c>
      <c r="K6" s="0" t="s">
        <v>73</v>
      </c>
      <c r="L6" s="0" t="s">
        <v>74</v>
      </c>
      <c r="M6" s="0" t="s">
        <v>75</v>
      </c>
      <c r="N6" s="0" t="s">
        <v>76</v>
      </c>
      <c r="O6" s="0" t="s">
        <v>77</v>
      </c>
      <c r="P6" s="0" t="s">
        <v>78</v>
      </c>
      <c r="Q6" s="0" t="s">
        <v>79</v>
      </c>
      <c r="R6" s="0" t="s">
        <v>80</v>
      </c>
      <c r="S6" s="0" t="s">
        <v>81</v>
      </c>
      <c r="T6" s="0" t="s">
        <v>82</v>
      </c>
    </row>
    <row r="7" customFormat="false" ht="15" hidden="false" customHeight="false" outlineLevel="0" collapsed="false">
      <c r="A7" s="0" t="str">
        <f aca="false">B7&amp;"|"&amp;C7&amp;"|"&amp;D7&amp;"|"&amp;E7&amp;"|"&amp;F7</f>
        <v>2.8+2512|IR|delta_rw|regular|3m</v>
      </c>
      <c r="B7" s="0" t="s">
        <v>9</v>
      </c>
      <c r="C7" s="0" t="s">
        <v>68</v>
      </c>
      <c r="D7" s="0" t="s">
        <v>69</v>
      </c>
      <c r="E7" s="0" t="s">
        <v>70</v>
      </c>
      <c r="F7" s="0" t="s">
        <v>26</v>
      </c>
      <c r="G7" s="0" t="n">
        <v>90</v>
      </c>
      <c r="H7" s="0" t="s">
        <v>71</v>
      </c>
      <c r="I7" s="0" t="s">
        <v>72</v>
      </c>
      <c r="J7" s="0" t="s">
        <v>9</v>
      </c>
      <c r="K7" s="0" t="s">
        <v>73</v>
      </c>
      <c r="L7" s="0" t="s">
        <v>74</v>
      </c>
      <c r="M7" s="0" t="s">
        <v>75</v>
      </c>
      <c r="N7" s="0" t="s">
        <v>76</v>
      </c>
      <c r="O7" s="0" t="s">
        <v>77</v>
      </c>
      <c r="P7" s="0" t="s">
        <v>78</v>
      </c>
      <c r="Q7" s="0" t="s">
        <v>79</v>
      </c>
      <c r="R7" s="0" t="s">
        <v>80</v>
      </c>
      <c r="S7" s="0" t="s">
        <v>81</v>
      </c>
      <c r="T7" s="0" t="s">
        <v>82</v>
      </c>
    </row>
    <row r="8" customFormat="false" ht="15" hidden="false" customHeight="false" outlineLevel="0" collapsed="false">
      <c r="A8" s="0" t="str">
        <f aca="false">B8&amp;"|"&amp;C8&amp;"|"&amp;D8&amp;"|"&amp;E8&amp;"|"&amp;F8</f>
        <v>2.8+2512|IR|delta_rw|regular|6m</v>
      </c>
      <c r="B8" s="0" t="s">
        <v>9</v>
      </c>
      <c r="C8" s="0" t="s">
        <v>68</v>
      </c>
      <c r="D8" s="0" t="s">
        <v>69</v>
      </c>
      <c r="E8" s="0" t="s">
        <v>70</v>
      </c>
      <c r="F8" s="0" t="s">
        <v>27</v>
      </c>
      <c r="G8" s="0" t="n">
        <v>69</v>
      </c>
      <c r="H8" s="0" t="s">
        <v>71</v>
      </c>
      <c r="I8" s="0" t="s">
        <v>72</v>
      </c>
      <c r="J8" s="0" t="s">
        <v>9</v>
      </c>
      <c r="K8" s="0" t="s">
        <v>73</v>
      </c>
      <c r="L8" s="0" t="s">
        <v>74</v>
      </c>
      <c r="M8" s="0" t="s">
        <v>75</v>
      </c>
      <c r="N8" s="0" t="s">
        <v>76</v>
      </c>
      <c r="O8" s="0" t="s">
        <v>77</v>
      </c>
      <c r="P8" s="0" t="s">
        <v>78</v>
      </c>
      <c r="Q8" s="0" t="s">
        <v>79</v>
      </c>
      <c r="R8" s="0" t="s">
        <v>80</v>
      </c>
      <c r="S8" s="0" t="s">
        <v>81</v>
      </c>
      <c r="T8" s="0" t="s">
        <v>82</v>
      </c>
    </row>
    <row r="9" customFormat="false" ht="15" hidden="false" customHeight="false" outlineLevel="0" collapsed="false">
      <c r="A9" s="0" t="str">
        <f aca="false">B9&amp;"|"&amp;C9&amp;"|"&amp;D9&amp;"|"&amp;E9&amp;"|"&amp;F9</f>
        <v>2.8+2512|IR|delta_rw|regular|1y</v>
      </c>
      <c r="B9" s="0" t="s">
        <v>9</v>
      </c>
      <c r="C9" s="0" t="s">
        <v>68</v>
      </c>
      <c r="D9" s="0" t="s">
        <v>69</v>
      </c>
      <c r="E9" s="0" t="s">
        <v>70</v>
      </c>
      <c r="F9" s="0" t="s">
        <v>28</v>
      </c>
      <c r="G9" s="0" t="n">
        <v>68</v>
      </c>
      <c r="H9" s="0" t="s">
        <v>71</v>
      </c>
      <c r="I9" s="0" t="s">
        <v>72</v>
      </c>
      <c r="J9" s="0" t="s">
        <v>9</v>
      </c>
      <c r="K9" s="0" t="s">
        <v>73</v>
      </c>
      <c r="L9" s="0" t="s">
        <v>74</v>
      </c>
      <c r="M9" s="0" t="s">
        <v>75</v>
      </c>
      <c r="N9" s="0" t="s">
        <v>76</v>
      </c>
      <c r="O9" s="0" t="s">
        <v>77</v>
      </c>
      <c r="P9" s="0" t="s">
        <v>78</v>
      </c>
      <c r="Q9" s="0" t="s">
        <v>79</v>
      </c>
      <c r="R9" s="0" t="s">
        <v>80</v>
      </c>
      <c r="S9" s="0" t="s">
        <v>81</v>
      </c>
      <c r="T9" s="0" t="s">
        <v>82</v>
      </c>
    </row>
    <row r="10" customFormat="false" ht="15" hidden="false" customHeight="false" outlineLevel="0" collapsed="false">
      <c r="A10" s="0" t="str">
        <f aca="false">B10&amp;"|"&amp;C10&amp;"|"&amp;D10&amp;"|"&amp;E10&amp;"|"&amp;F10</f>
        <v>2.8+2512|IR|delta_rw|regular|2y</v>
      </c>
      <c r="B10" s="0" t="s">
        <v>9</v>
      </c>
      <c r="C10" s="0" t="s">
        <v>68</v>
      </c>
      <c r="D10" s="0" t="s">
        <v>69</v>
      </c>
      <c r="E10" s="0" t="s">
        <v>70</v>
      </c>
      <c r="F10" s="0" t="s">
        <v>29</v>
      </c>
      <c r="G10" s="0" t="n">
        <v>69</v>
      </c>
      <c r="H10" s="0" t="s">
        <v>71</v>
      </c>
      <c r="I10" s="0" t="s">
        <v>72</v>
      </c>
      <c r="J10" s="0" t="s">
        <v>9</v>
      </c>
      <c r="K10" s="0" t="s">
        <v>73</v>
      </c>
      <c r="L10" s="0" t="s">
        <v>74</v>
      </c>
      <c r="M10" s="0" t="s">
        <v>75</v>
      </c>
      <c r="N10" s="0" t="s">
        <v>76</v>
      </c>
      <c r="O10" s="0" t="s">
        <v>77</v>
      </c>
      <c r="P10" s="0" t="s">
        <v>78</v>
      </c>
      <c r="Q10" s="0" t="s">
        <v>79</v>
      </c>
      <c r="R10" s="0" t="s">
        <v>80</v>
      </c>
      <c r="S10" s="0" t="s">
        <v>81</v>
      </c>
      <c r="T10" s="0" t="s">
        <v>82</v>
      </c>
    </row>
    <row r="11" customFormat="false" ht="15" hidden="false" customHeight="false" outlineLevel="0" collapsed="false">
      <c r="A11" s="0" t="str">
        <f aca="false">B11&amp;"|"&amp;C11&amp;"|"&amp;D11&amp;"|"&amp;E11&amp;"|"&amp;F11</f>
        <v>2.8+2512|IR|delta_rw|regular|3y</v>
      </c>
      <c r="B11" s="0" t="s">
        <v>9</v>
      </c>
      <c r="C11" s="0" t="s">
        <v>68</v>
      </c>
      <c r="D11" s="0" t="s">
        <v>69</v>
      </c>
      <c r="E11" s="0" t="s">
        <v>70</v>
      </c>
      <c r="F11" s="0" t="s">
        <v>30</v>
      </c>
      <c r="G11" s="0" t="n">
        <v>66</v>
      </c>
      <c r="H11" s="0" t="s">
        <v>71</v>
      </c>
      <c r="I11" s="0" t="s">
        <v>72</v>
      </c>
      <c r="J11" s="0" t="s">
        <v>9</v>
      </c>
      <c r="K11" s="0" t="s">
        <v>73</v>
      </c>
      <c r="L11" s="0" t="s">
        <v>74</v>
      </c>
      <c r="M11" s="0" t="s">
        <v>75</v>
      </c>
      <c r="N11" s="0" t="s">
        <v>76</v>
      </c>
      <c r="O11" s="0" t="s">
        <v>77</v>
      </c>
      <c r="P11" s="0" t="s">
        <v>78</v>
      </c>
      <c r="Q11" s="0" t="s">
        <v>79</v>
      </c>
      <c r="R11" s="0" t="s">
        <v>80</v>
      </c>
      <c r="S11" s="0" t="s">
        <v>81</v>
      </c>
      <c r="T11" s="0" t="s">
        <v>82</v>
      </c>
    </row>
    <row r="12" customFormat="false" ht="15" hidden="false" customHeight="false" outlineLevel="0" collapsed="false">
      <c r="A12" s="0" t="str">
        <f aca="false">B12&amp;"|"&amp;C12&amp;"|"&amp;D12&amp;"|"&amp;E12&amp;"|"&amp;F12</f>
        <v>2.8+2512|IR|delta_rw|regular|5y</v>
      </c>
      <c r="B12" s="0" t="s">
        <v>9</v>
      </c>
      <c r="C12" s="0" t="s">
        <v>68</v>
      </c>
      <c r="D12" s="0" t="s">
        <v>69</v>
      </c>
      <c r="E12" s="0" t="s">
        <v>70</v>
      </c>
      <c r="F12" s="0" t="s">
        <v>31</v>
      </c>
      <c r="G12" s="0" t="n">
        <v>61</v>
      </c>
      <c r="H12" s="0" t="s">
        <v>71</v>
      </c>
      <c r="I12" s="0" t="s">
        <v>72</v>
      </c>
      <c r="J12" s="0" t="s">
        <v>9</v>
      </c>
      <c r="K12" s="0" t="s">
        <v>73</v>
      </c>
      <c r="L12" s="0" t="s">
        <v>74</v>
      </c>
      <c r="M12" s="0" t="s">
        <v>75</v>
      </c>
      <c r="N12" s="0" t="s">
        <v>76</v>
      </c>
      <c r="O12" s="0" t="s">
        <v>77</v>
      </c>
      <c r="P12" s="0" t="s">
        <v>78</v>
      </c>
      <c r="Q12" s="0" t="s">
        <v>79</v>
      </c>
      <c r="R12" s="0" t="s">
        <v>80</v>
      </c>
      <c r="S12" s="0" t="s">
        <v>81</v>
      </c>
      <c r="T12" s="0" t="s">
        <v>82</v>
      </c>
    </row>
    <row r="13" customFormat="false" ht="15" hidden="false" customHeight="false" outlineLevel="0" collapsed="false">
      <c r="A13" s="0" t="str">
        <f aca="false">B13&amp;"|"&amp;C13&amp;"|"&amp;D13&amp;"|"&amp;E13&amp;"|"&amp;F13</f>
        <v>2.8+2512|IR|delta_rw|regular|10y</v>
      </c>
      <c r="B13" s="0" t="s">
        <v>9</v>
      </c>
      <c r="C13" s="0" t="s">
        <v>68</v>
      </c>
      <c r="D13" s="0" t="s">
        <v>69</v>
      </c>
      <c r="E13" s="0" t="s">
        <v>70</v>
      </c>
      <c r="F13" s="0" t="s">
        <v>32</v>
      </c>
      <c r="G13" s="0" t="n">
        <v>60</v>
      </c>
      <c r="H13" s="0" t="s">
        <v>71</v>
      </c>
      <c r="I13" s="0" t="s">
        <v>72</v>
      </c>
      <c r="J13" s="0" t="s">
        <v>9</v>
      </c>
      <c r="K13" s="0" t="s">
        <v>73</v>
      </c>
      <c r="L13" s="0" t="s">
        <v>74</v>
      </c>
      <c r="M13" s="0" t="s">
        <v>75</v>
      </c>
      <c r="N13" s="0" t="s">
        <v>76</v>
      </c>
      <c r="O13" s="0" t="s">
        <v>77</v>
      </c>
      <c r="P13" s="0" t="s">
        <v>78</v>
      </c>
      <c r="Q13" s="0" t="s">
        <v>79</v>
      </c>
      <c r="R13" s="0" t="s">
        <v>80</v>
      </c>
      <c r="S13" s="0" t="s">
        <v>81</v>
      </c>
      <c r="T13" s="0" t="s">
        <v>82</v>
      </c>
    </row>
    <row r="14" customFormat="false" ht="15" hidden="false" customHeight="false" outlineLevel="0" collapsed="false">
      <c r="A14" s="0" t="str">
        <f aca="false">B14&amp;"|"&amp;C14&amp;"|"&amp;D14&amp;"|"&amp;E14&amp;"|"&amp;F14</f>
        <v>2.8+2512|IR|delta_rw|regular|15y</v>
      </c>
      <c r="B14" s="0" t="s">
        <v>9</v>
      </c>
      <c r="C14" s="0" t="s">
        <v>68</v>
      </c>
      <c r="D14" s="0" t="s">
        <v>69</v>
      </c>
      <c r="E14" s="0" t="s">
        <v>70</v>
      </c>
      <c r="F14" s="0" t="s">
        <v>33</v>
      </c>
      <c r="G14" s="0" t="n">
        <v>58</v>
      </c>
      <c r="H14" s="0" t="s">
        <v>71</v>
      </c>
      <c r="I14" s="0" t="s">
        <v>72</v>
      </c>
      <c r="J14" s="0" t="s">
        <v>9</v>
      </c>
      <c r="K14" s="0" t="s">
        <v>73</v>
      </c>
      <c r="L14" s="0" t="s">
        <v>74</v>
      </c>
      <c r="M14" s="0" t="s">
        <v>75</v>
      </c>
      <c r="N14" s="0" t="s">
        <v>76</v>
      </c>
      <c r="O14" s="0" t="s">
        <v>77</v>
      </c>
      <c r="P14" s="0" t="s">
        <v>78</v>
      </c>
      <c r="Q14" s="0" t="s">
        <v>79</v>
      </c>
      <c r="R14" s="0" t="s">
        <v>80</v>
      </c>
      <c r="S14" s="0" t="s">
        <v>81</v>
      </c>
      <c r="T14" s="0" t="s">
        <v>82</v>
      </c>
    </row>
    <row r="15" customFormat="false" ht="15" hidden="false" customHeight="false" outlineLevel="0" collapsed="false">
      <c r="A15" s="0" t="str">
        <f aca="false">B15&amp;"|"&amp;C15&amp;"|"&amp;D15&amp;"|"&amp;E15&amp;"|"&amp;F15</f>
        <v>2.8+2512|IR|delta_rw|regular|20y</v>
      </c>
      <c r="B15" s="0" t="s">
        <v>9</v>
      </c>
      <c r="C15" s="0" t="s">
        <v>68</v>
      </c>
      <c r="D15" s="0" t="s">
        <v>69</v>
      </c>
      <c r="E15" s="0" t="s">
        <v>70</v>
      </c>
      <c r="F15" s="0" t="s">
        <v>34</v>
      </c>
      <c r="G15" s="0" t="n">
        <v>58</v>
      </c>
      <c r="H15" s="0" t="s">
        <v>71</v>
      </c>
      <c r="I15" s="0" t="s">
        <v>72</v>
      </c>
      <c r="J15" s="0" t="s">
        <v>9</v>
      </c>
      <c r="K15" s="0" t="s">
        <v>73</v>
      </c>
      <c r="L15" s="0" t="s">
        <v>74</v>
      </c>
      <c r="M15" s="0" t="s">
        <v>75</v>
      </c>
      <c r="N15" s="0" t="s">
        <v>76</v>
      </c>
      <c r="O15" s="0" t="s">
        <v>77</v>
      </c>
      <c r="P15" s="0" t="s">
        <v>78</v>
      </c>
      <c r="Q15" s="0" t="s">
        <v>79</v>
      </c>
      <c r="R15" s="0" t="s">
        <v>80</v>
      </c>
      <c r="S15" s="0" t="s">
        <v>81</v>
      </c>
      <c r="T15" s="0" t="s">
        <v>82</v>
      </c>
    </row>
    <row r="16" customFormat="false" ht="15" hidden="false" customHeight="false" outlineLevel="0" collapsed="false">
      <c r="A16" s="0" t="str">
        <f aca="false">B16&amp;"|"&amp;C16&amp;"|"&amp;D16&amp;"|"&amp;E16&amp;"|"&amp;F16</f>
        <v>2.8+2512|IR|delta_rw|regular|30y</v>
      </c>
      <c r="B16" s="0" t="s">
        <v>9</v>
      </c>
      <c r="C16" s="0" t="s">
        <v>68</v>
      </c>
      <c r="D16" s="0" t="s">
        <v>69</v>
      </c>
      <c r="E16" s="0" t="s">
        <v>70</v>
      </c>
      <c r="F16" s="0" t="s">
        <v>35</v>
      </c>
      <c r="G16" s="0" t="n">
        <v>66</v>
      </c>
      <c r="H16" s="0" t="s">
        <v>71</v>
      </c>
      <c r="I16" s="0" t="s">
        <v>72</v>
      </c>
      <c r="J16" s="0" t="s">
        <v>9</v>
      </c>
      <c r="K16" s="0" t="s">
        <v>73</v>
      </c>
      <c r="L16" s="0" t="s">
        <v>74</v>
      </c>
      <c r="M16" s="0" t="s">
        <v>75</v>
      </c>
      <c r="N16" s="0" t="s">
        <v>76</v>
      </c>
      <c r="O16" s="0" t="s">
        <v>77</v>
      </c>
      <c r="P16" s="0" t="s">
        <v>78</v>
      </c>
      <c r="Q16" s="0" t="s">
        <v>79</v>
      </c>
      <c r="R16" s="0" t="s">
        <v>80</v>
      </c>
      <c r="S16" s="0" t="s">
        <v>81</v>
      </c>
      <c r="T16" s="0" t="s">
        <v>82</v>
      </c>
    </row>
    <row r="17" customFormat="false" ht="15" hidden="false" customHeight="false" outlineLevel="0" collapsed="false">
      <c r="A17" s="0" t="str">
        <f aca="false">B17&amp;"|"&amp;C17&amp;"|"&amp;D17&amp;"|"&amp;E17&amp;"|"&amp;F17</f>
        <v>2.8+2512|IR|delta_rw|low|2w</v>
      </c>
      <c r="B17" s="0" t="s">
        <v>9</v>
      </c>
      <c r="C17" s="0" t="s">
        <v>68</v>
      </c>
      <c r="D17" s="0" t="s">
        <v>69</v>
      </c>
      <c r="E17" s="0" t="s">
        <v>83</v>
      </c>
      <c r="F17" s="0" t="s">
        <v>24</v>
      </c>
      <c r="G17" s="0" t="n">
        <v>15</v>
      </c>
      <c r="H17" s="0" t="s">
        <v>71</v>
      </c>
      <c r="I17" s="0" t="s">
        <v>72</v>
      </c>
      <c r="J17" s="0" t="s">
        <v>9</v>
      </c>
      <c r="K17" s="0" t="s">
        <v>73</v>
      </c>
      <c r="L17" s="0" t="s">
        <v>74</v>
      </c>
      <c r="M17" s="0" t="s">
        <v>75</v>
      </c>
      <c r="N17" s="0" t="s">
        <v>84</v>
      </c>
      <c r="O17" s="0" t="s">
        <v>77</v>
      </c>
      <c r="P17" s="0" t="s">
        <v>78</v>
      </c>
      <c r="Q17" s="0" t="s">
        <v>79</v>
      </c>
      <c r="R17" s="0" t="s">
        <v>80</v>
      </c>
      <c r="S17" s="0" t="s">
        <v>81</v>
      </c>
      <c r="T17" s="0" t="s">
        <v>82</v>
      </c>
    </row>
    <row r="18" customFormat="false" ht="15" hidden="false" customHeight="false" outlineLevel="0" collapsed="false">
      <c r="A18" s="0" t="str">
        <f aca="false">B18&amp;"|"&amp;C18&amp;"|"&amp;D18&amp;"|"&amp;E18&amp;"|"&amp;F18</f>
        <v>2.8+2512|IR|delta_rw|low|1m</v>
      </c>
      <c r="B18" s="0" t="s">
        <v>9</v>
      </c>
      <c r="C18" s="0" t="s">
        <v>68</v>
      </c>
      <c r="D18" s="0" t="s">
        <v>69</v>
      </c>
      <c r="E18" s="0" t="s">
        <v>83</v>
      </c>
      <c r="F18" s="0" t="s">
        <v>25</v>
      </c>
      <c r="G18" s="0" t="n">
        <v>18</v>
      </c>
      <c r="H18" s="0" t="s">
        <v>71</v>
      </c>
      <c r="I18" s="0" t="s">
        <v>72</v>
      </c>
      <c r="J18" s="0" t="s">
        <v>9</v>
      </c>
      <c r="K18" s="0" t="s">
        <v>73</v>
      </c>
      <c r="L18" s="0" t="s">
        <v>74</v>
      </c>
      <c r="M18" s="0" t="s">
        <v>75</v>
      </c>
      <c r="N18" s="0" t="s">
        <v>84</v>
      </c>
      <c r="O18" s="0" t="s">
        <v>77</v>
      </c>
      <c r="P18" s="0" t="s">
        <v>78</v>
      </c>
      <c r="Q18" s="0" t="s">
        <v>79</v>
      </c>
      <c r="R18" s="0" t="s">
        <v>80</v>
      </c>
      <c r="S18" s="0" t="s">
        <v>81</v>
      </c>
      <c r="T18" s="0" t="s">
        <v>82</v>
      </c>
    </row>
    <row r="19" customFormat="false" ht="15" hidden="false" customHeight="false" outlineLevel="0" collapsed="false">
      <c r="A19" s="0" t="str">
        <f aca="false">B19&amp;"|"&amp;C19&amp;"|"&amp;D19&amp;"|"&amp;E19&amp;"|"&amp;F19</f>
        <v>2.8+2512|IR|delta_rw|low|3m</v>
      </c>
      <c r="B19" s="0" t="s">
        <v>9</v>
      </c>
      <c r="C19" s="0" t="s">
        <v>68</v>
      </c>
      <c r="D19" s="0" t="s">
        <v>69</v>
      </c>
      <c r="E19" s="0" t="s">
        <v>83</v>
      </c>
      <c r="F19" s="0" t="s">
        <v>26</v>
      </c>
      <c r="G19" s="0" t="n">
        <v>12</v>
      </c>
      <c r="H19" s="0" t="s">
        <v>71</v>
      </c>
      <c r="I19" s="0" t="s">
        <v>72</v>
      </c>
      <c r="J19" s="0" t="s">
        <v>9</v>
      </c>
      <c r="K19" s="0" t="s">
        <v>73</v>
      </c>
      <c r="L19" s="0" t="s">
        <v>74</v>
      </c>
      <c r="M19" s="0" t="s">
        <v>75</v>
      </c>
      <c r="N19" s="0" t="s">
        <v>84</v>
      </c>
      <c r="O19" s="0" t="s">
        <v>77</v>
      </c>
      <c r="P19" s="0" t="s">
        <v>78</v>
      </c>
      <c r="Q19" s="0" t="s">
        <v>79</v>
      </c>
      <c r="R19" s="0" t="s">
        <v>80</v>
      </c>
      <c r="S19" s="0" t="s">
        <v>81</v>
      </c>
      <c r="T19" s="0" t="s">
        <v>82</v>
      </c>
    </row>
    <row r="20" customFormat="false" ht="15" hidden="false" customHeight="false" outlineLevel="0" collapsed="false">
      <c r="A20" s="0" t="str">
        <f aca="false">B20&amp;"|"&amp;C20&amp;"|"&amp;D20&amp;"|"&amp;E20&amp;"|"&amp;F20</f>
        <v>2.8+2512|IR|delta_rw|low|6m</v>
      </c>
      <c r="B20" s="0" t="s">
        <v>9</v>
      </c>
      <c r="C20" s="0" t="s">
        <v>68</v>
      </c>
      <c r="D20" s="0" t="s">
        <v>69</v>
      </c>
      <c r="E20" s="0" t="s">
        <v>83</v>
      </c>
      <c r="F20" s="0" t="s">
        <v>27</v>
      </c>
      <c r="G20" s="0" t="n">
        <v>11</v>
      </c>
      <c r="H20" s="0" t="s">
        <v>71</v>
      </c>
      <c r="I20" s="0" t="s">
        <v>72</v>
      </c>
      <c r="J20" s="0" t="s">
        <v>9</v>
      </c>
      <c r="K20" s="0" t="s">
        <v>73</v>
      </c>
      <c r="L20" s="0" t="s">
        <v>74</v>
      </c>
      <c r="M20" s="0" t="s">
        <v>75</v>
      </c>
      <c r="N20" s="0" t="s">
        <v>84</v>
      </c>
      <c r="O20" s="0" t="s">
        <v>77</v>
      </c>
      <c r="P20" s="0" t="s">
        <v>78</v>
      </c>
      <c r="Q20" s="0" t="s">
        <v>79</v>
      </c>
      <c r="R20" s="0" t="s">
        <v>80</v>
      </c>
      <c r="S20" s="0" t="s">
        <v>81</v>
      </c>
      <c r="T20" s="0" t="s">
        <v>82</v>
      </c>
    </row>
    <row r="21" customFormat="false" ht="15" hidden="false" customHeight="false" outlineLevel="0" collapsed="false">
      <c r="A21" s="0" t="str">
        <f aca="false">B21&amp;"|"&amp;C21&amp;"|"&amp;D21&amp;"|"&amp;E21&amp;"|"&amp;F21</f>
        <v>2.8+2512|IR|delta_rw|low|1y</v>
      </c>
      <c r="B21" s="0" t="s">
        <v>9</v>
      </c>
      <c r="C21" s="0" t="s">
        <v>68</v>
      </c>
      <c r="D21" s="0" t="s">
        <v>69</v>
      </c>
      <c r="E21" s="0" t="s">
        <v>83</v>
      </c>
      <c r="F21" s="0" t="s">
        <v>28</v>
      </c>
      <c r="G21" s="0" t="n">
        <v>15</v>
      </c>
      <c r="H21" s="0" t="s">
        <v>71</v>
      </c>
      <c r="I21" s="0" t="s">
        <v>72</v>
      </c>
      <c r="J21" s="0" t="s">
        <v>9</v>
      </c>
      <c r="K21" s="0" t="s">
        <v>73</v>
      </c>
      <c r="L21" s="0" t="s">
        <v>74</v>
      </c>
      <c r="M21" s="0" t="s">
        <v>75</v>
      </c>
      <c r="N21" s="0" t="s">
        <v>84</v>
      </c>
      <c r="O21" s="0" t="s">
        <v>77</v>
      </c>
      <c r="P21" s="0" t="s">
        <v>78</v>
      </c>
      <c r="Q21" s="0" t="s">
        <v>79</v>
      </c>
      <c r="R21" s="0" t="s">
        <v>80</v>
      </c>
      <c r="S21" s="0" t="s">
        <v>81</v>
      </c>
      <c r="T21" s="0" t="s">
        <v>82</v>
      </c>
    </row>
    <row r="22" customFormat="false" ht="15" hidden="false" customHeight="false" outlineLevel="0" collapsed="false">
      <c r="A22" s="0" t="str">
        <f aca="false">B22&amp;"|"&amp;C22&amp;"|"&amp;D22&amp;"|"&amp;E22&amp;"|"&amp;F22</f>
        <v>2.8+2512|IR|delta_rw|low|2y</v>
      </c>
      <c r="B22" s="0" t="s">
        <v>9</v>
      </c>
      <c r="C22" s="0" t="s">
        <v>68</v>
      </c>
      <c r="D22" s="0" t="s">
        <v>69</v>
      </c>
      <c r="E22" s="0" t="s">
        <v>83</v>
      </c>
      <c r="F22" s="0" t="s">
        <v>29</v>
      </c>
      <c r="G22" s="0" t="n">
        <v>21</v>
      </c>
      <c r="H22" s="0" t="s">
        <v>71</v>
      </c>
      <c r="I22" s="0" t="s">
        <v>72</v>
      </c>
      <c r="J22" s="0" t="s">
        <v>9</v>
      </c>
      <c r="K22" s="0" t="s">
        <v>73</v>
      </c>
      <c r="L22" s="0" t="s">
        <v>74</v>
      </c>
      <c r="M22" s="0" t="s">
        <v>75</v>
      </c>
      <c r="N22" s="0" t="s">
        <v>84</v>
      </c>
      <c r="O22" s="0" t="s">
        <v>77</v>
      </c>
      <c r="P22" s="0" t="s">
        <v>78</v>
      </c>
      <c r="Q22" s="0" t="s">
        <v>79</v>
      </c>
      <c r="R22" s="0" t="s">
        <v>80</v>
      </c>
      <c r="S22" s="0" t="s">
        <v>81</v>
      </c>
      <c r="T22" s="0" t="s">
        <v>82</v>
      </c>
    </row>
    <row r="23" customFormat="false" ht="15" hidden="false" customHeight="false" outlineLevel="0" collapsed="false">
      <c r="A23" s="0" t="str">
        <f aca="false">B23&amp;"|"&amp;C23&amp;"|"&amp;D23&amp;"|"&amp;E23&amp;"|"&amp;F23</f>
        <v>2.8+2512|IR|delta_rw|low|3y</v>
      </c>
      <c r="B23" s="0" t="s">
        <v>9</v>
      </c>
      <c r="C23" s="0" t="s">
        <v>68</v>
      </c>
      <c r="D23" s="0" t="s">
        <v>69</v>
      </c>
      <c r="E23" s="0" t="s">
        <v>83</v>
      </c>
      <c r="F23" s="0" t="s">
        <v>30</v>
      </c>
      <c r="G23" s="0" t="n">
        <v>23</v>
      </c>
      <c r="H23" s="0" t="s">
        <v>71</v>
      </c>
      <c r="I23" s="0" t="s">
        <v>72</v>
      </c>
      <c r="J23" s="0" t="s">
        <v>9</v>
      </c>
      <c r="K23" s="0" t="s">
        <v>73</v>
      </c>
      <c r="L23" s="0" t="s">
        <v>74</v>
      </c>
      <c r="M23" s="0" t="s">
        <v>75</v>
      </c>
      <c r="N23" s="0" t="s">
        <v>84</v>
      </c>
      <c r="O23" s="0" t="s">
        <v>77</v>
      </c>
      <c r="P23" s="0" t="s">
        <v>78</v>
      </c>
      <c r="Q23" s="0" t="s">
        <v>79</v>
      </c>
      <c r="R23" s="0" t="s">
        <v>80</v>
      </c>
      <c r="S23" s="0" t="s">
        <v>81</v>
      </c>
      <c r="T23" s="0" t="s">
        <v>82</v>
      </c>
    </row>
    <row r="24" customFormat="false" ht="15" hidden="false" customHeight="false" outlineLevel="0" collapsed="false">
      <c r="A24" s="0" t="str">
        <f aca="false">B24&amp;"|"&amp;C24&amp;"|"&amp;D24&amp;"|"&amp;E24&amp;"|"&amp;F24</f>
        <v>2.8+2512|IR|delta_rw|low|5y</v>
      </c>
      <c r="B24" s="0" t="s">
        <v>9</v>
      </c>
      <c r="C24" s="0" t="s">
        <v>68</v>
      </c>
      <c r="D24" s="0" t="s">
        <v>69</v>
      </c>
      <c r="E24" s="0" t="s">
        <v>83</v>
      </c>
      <c r="F24" s="0" t="s">
        <v>31</v>
      </c>
      <c r="G24" s="0" t="n">
        <v>25</v>
      </c>
      <c r="H24" s="0" t="s">
        <v>71</v>
      </c>
      <c r="I24" s="0" t="s">
        <v>72</v>
      </c>
      <c r="J24" s="0" t="s">
        <v>9</v>
      </c>
      <c r="K24" s="0" t="s">
        <v>73</v>
      </c>
      <c r="L24" s="0" t="s">
        <v>74</v>
      </c>
      <c r="M24" s="0" t="s">
        <v>75</v>
      </c>
      <c r="N24" s="0" t="s">
        <v>84</v>
      </c>
      <c r="O24" s="0" t="s">
        <v>77</v>
      </c>
      <c r="P24" s="0" t="s">
        <v>78</v>
      </c>
      <c r="Q24" s="0" t="s">
        <v>79</v>
      </c>
      <c r="R24" s="0" t="s">
        <v>80</v>
      </c>
      <c r="S24" s="0" t="s">
        <v>81</v>
      </c>
      <c r="T24" s="0" t="s">
        <v>82</v>
      </c>
    </row>
    <row r="25" customFormat="false" ht="15" hidden="false" customHeight="false" outlineLevel="0" collapsed="false">
      <c r="A25" s="0" t="str">
        <f aca="false">B25&amp;"|"&amp;C25&amp;"|"&amp;D25&amp;"|"&amp;E25&amp;"|"&amp;F25</f>
        <v>2.8+2512|IR|delta_rw|low|10y</v>
      </c>
      <c r="B25" s="0" t="s">
        <v>9</v>
      </c>
      <c r="C25" s="0" t="s">
        <v>68</v>
      </c>
      <c r="D25" s="0" t="s">
        <v>69</v>
      </c>
      <c r="E25" s="0" t="s">
        <v>83</v>
      </c>
      <c r="F25" s="0" t="s">
        <v>32</v>
      </c>
      <c r="G25" s="0" t="n">
        <v>29</v>
      </c>
      <c r="H25" s="0" t="s">
        <v>71</v>
      </c>
      <c r="I25" s="0" t="s">
        <v>72</v>
      </c>
      <c r="J25" s="0" t="s">
        <v>9</v>
      </c>
      <c r="K25" s="0" t="s">
        <v>73</v>
      </c>
      <c r="L25" s="0" t="s">
        <v>74</v>
      </c>
      <c r="M25" s="0" t="s">
        <v>75</v>
      </c>
      <c r="N25" s="0" t="s">
        <v>84</v>
      </c>
      <c r="O25" s="0" t="s">
        <v>77</v>
      </c>
      <c r="P25" s="0" t="s">
        <v>78</v>
      </c>
      <c r="Q25" s="0" t="s">
        <v>79</v>
      </c>
      <c r="R25" s="0" t="s">
        <v>80</v>
      </c>
      <c r="S25" s="0" t="s">
        <v>81</v>
      </c>
      <c r="T25" s="0" t="s">
        <v>82</v>
      </c>
    </row>
    <row r="26" customFormat="false" ht="15" hidden="false" customHeight="false" outlineLevel="0" collapsed="false">
      <c r="A26" s="0" t="str">
        <f aca="false">B26&amp;"|"&amp;C26&amp;"|"&amp;D26&amp;"|"&amp;E26&amp;"|"&amp;F26</f>
        <v>2.8+2512|IR|delta_rw|low|15y</v>
      </c>
      <c r="B26" s="0" t="s">
        <v>9</v>
      </c>
      <c r="C26" s="0" t="s">
        <v>68</v>
      </c>
      <c r="D26" s="0" t="s">
        <v>69</v>
      </c>
      <c r="E26" s="0" t="s">
        <v>83</v>
      </c>
      <c r="F26" s="0" t="s">
        <v>33</v>
      </c>
      <c r="G26" s="0" t="n">
        <v>27</v>
      </c>
      <c r="H26" s="0" t="s">
        <v>71</v>
      </c>
      <c r="I26" s="0" t="s">
        <v>72</v>
      </c>
      <c r="J26" s="0" t="s">
        <v>9</v>
      </c>
      <c r="K26" s="0" t="s">
        <v>73</v>
      </c>
      <c r="L26" s="0" t="s">
        <v>74</v>
      </c>
      <c r="M26" s="0" t="s">
        <v>75</v>
      </c>
      <c r="N26" s="0" t="s">
        <v>84</v>
      </c>
      <c r="O26" s="0" t="s">
        <v>77</v>
      </c>
      <c r="P26" s="0" t="s">
        <v>78</v>
      </c>
      <c r="Q26" s="0" t="s">
        <v>79</v>
      </c>
      <c r="R26" s="0" t="s">
        <v>80</v>
      </c>
      <c r="S26" s="0" t="s">
        <v>81</v>
      </c>
      <c r="T26" s="0" t="s">
        <v>82</v>
      </c>
    </row>
    <row r="27" customFormat="false" ht="15" hidden="false" customHeight="false" outlineLevel="0" collapsed="false">
      <c r="A27" s="0" t="str">
        <f aca="false">B27&amp;"|"&amp;C27&amp;"|"&amp;D27&amp;"|"&amp;E27&amp;"|"&amp;F27</f>
        <v>2.8+2512|IR|delta_rw|low|20y</v>
      </c>
      <c r="B27" s="0" t="s">
        <v>9</v>
      </c>
      <c r="C27" s="0" t="s">
        <v>68</v>
      </c>
      <c r="D27" s="0" t="s">
        <v>69</v>
      </c>
      <c r="E27" s="0" t="s">
        <v>83</v>
      </c>
      <c r="F27" s="0" t="s">
        <v>34</v>
      </c>
      <c r="G27" s="0" t="n">
        <v>26</v>
      </c>
      <c r="H27" s="0" t="s">
        <v>71</v>
      </c>
      <c r="I27" s="0" t="s">
        <v>72</v>
      </c>
      <c r="J27" s="0" t="s">
        <v>9</v>
      </c>
      <c r="K27" s="0" t="s">
        <v>73</v>
      </c>
      <c r="L27" s="0" t="s">
        <v>74</v>
      </c>
      <c r="M27" s="0" t="s">
        <v>75</v>
      </c>
      <c r="N27" s="0" t="s">
        <v>84</v>
      </c>
      <c r="O27" s="0" t="s">
        <v>77</v>
      </c>
      <c r="P27" s="0" t="s">
        <v>78</v>
      </c>
      <c r="Q27" s="0" t="s">
        <v>79</v>
      </c>
      <c r="R27" s="0" t="s">
        <v>80</v>
      </c>
      <c r="S27" s="0" t="s">
        <v>81</v>
      </c>
      <c r="T27" s="0" t="s">
        <v>82</v>
      </c>
    </row>
    <row r="28" customFormat="false" ht="15" hidden="false" customHeight="false" outlineLevel="0" collapsed="false">
      <c r="A28" s="0" t="str">
        <f aca="false">B28&amp;"|"&amp;C28&amp;"|"&amp;D28&amp;"|"&amp;E28&amp;"|"&amp;F28</f>
        <v>2.8+2512|IR|delta_rw|low|30y</v>
      </c>
      <c r="B28" s="0" t="s">
        <v>9</v>
      </c>
      <c r="C28" s="0" t="s">
        <v>68</v>
      </c>
      <c r="D28" s="0" t="s">
        <v>69</v>
      </c>
      <c r="E28" s="0" t="s">
        <v>83</v>
      </c>
      <c r="F28" s="0" t="s">
        <v>35</v>
      </c>
      <c r="G28" s="0" t="n">
        <v>28</v>
      </c>
      <c r="H28" s="0" t="s">
        <v>71</v>
      </c>
      <c r="I28" s="0" t="s">
        <v>72</v>
      </c>
      <c r="J28" s="0" t="s">
        <v>9</v>
      </c>
      <c r="K28" s="0" t="s">
        <v>73</v>
      </c>
      <c r="L28" s="0" t="s">
        <v>74</v>
      </c>
      <c r="M28" s="0" t="s">
        <v>75</v>
      </c>
      <c r="N28" s="0" t="s">
        <v>84</v>
      </c>
      <c r="O28" s="0" t="s">
        <v>77</v>
      </c>
      <c r="P28" s="0" t="s">
        <v>78</v>
      </c>
      <c r="Q28" s="0" t="s">
        <v>79</v>
      </c>
      <c r="R28" s="0" t="s">
        <v>80</v>
      </c>
      <c r="S28" s="0" t="s">
        <v>81</v>
      </c>
      <c r="T28" s="0" t="s">
        <v>82</v>
      </c>
    </row>
    <row r="29" customFormat="false" ht="15" hidden="false" customHeight="false" outlineLevel="0" collapsed="false">
      <c r="A29" s="0" t="str">
        <f aca="false">B29&amp;"|"&amp;C29&amp;"|"&amp;D29&amp;"|"&amp;E29&amp;"|"&amp;F29</f>
        <v>2.8+2512|IR|delta_rw|high|2w</v>
      </c>
      <c r="B29" s="0" t="s">
        <v>9</v>
      </c>
      <c r="C29" s="0" t="s">
        <v>68</v>
      </c>
      <c r="D29" s="0" t="s">
        <v>69</v>
      </c>
      <c r="E29" s="0" t="s">
        <v>85</v>
      </c>
      <c r="F29" s="0" t="s">
        <v>24</v>
      </c>
      <c r="G29" s="0" t="n">
        <v>167</v>
      </c>
      <c r="H29" s="0" t="s">
        <v>71</v>
      </c>
      <c r="I29" s="0" t="s">
        <v>72</v>
      </c>
      <c r="J29" s="0" t="s">
        <v>9</v>
      </c>
      <c r="K29" s="0" t="s">
        <v>73</v>
      </c>
      <c r="L29" s="0" t="s">
        <v>74</v>
      </c>
      <c r="M29" s="0" t="s">
        <v>75</v>
      </c>
      <c r="N29" s="0" t="s">
        <v>86</v>
      </c>
      <c r="O29" s="0" t="s">
        <v>77</v>
      </c>
      <c r="P29" s="0" t="s">
        <v>78</v>
      </c>
      <c r="Q29" s="0" t="s">
        <v>79</v>
      </c>
      <c r="R29" s="0" t="s">
        <v>80</v>
      </c>
      <c r="S29" s="0" t="s">
        <v>81</v>
      </c>
      <c r="T29" s="0" t="s">
        <v>82</v>
      </c>
    </row>
    <row r="30" customFormat="false" ht="15" hidden="false" customHeight="false" outlineLevel="0" collapsed="false">
      <c r="A30" s="0" t="str">
        <f aca="false">B30&amp;"|"&amp;C30&amp;"|"&amp;D30&amp;"|"&amp;E30&amp;"|"&amp;F30</f>
        <v>2.8+2512|IR|delta_rw|high|1m</v>
      </c>
      <c r="B30" s="0" t="s">
        <v>9</v>
      </c>
      <c r="C30" s="0" t="s">
        <v>68</v>
      </c>
      <c r="D30" s="0" t="s">
        <v>69</v>
      </c>
      <c r="E30" s="0" t="s">
        <v>85</v>
      </c>
      <c r="F30" s="0" t="s">
        <v>25</v>
      </c>
      <c r="G30" s="0" t="n">
        <v>102</v>
      </c>
      <c r="H30" s="0" t="s">
        <v>71</v>
      </c>
      <c r="I30" s="0" t="s">
        <v>72</v>
      </c>
      <c r="J30" s="0" t="s">
        <v>9</v>
      </c>
      <c r="K30" s="0" t="s">
        <v>73</v>
      </c>
      <c r="L30" s="0" t="s">
        <v>74</v>
      </c>
      <c r="M30" s="0" t="s">
        <v>75</v>
      </c>
      <c r="N30" s="0" t="s">
        <v>86</v>
      </c>
      <c r="O30" s="0" t="s">
        <v>77</v>
      </c>
      <c r="P30" s="0" t="s">
        <v>78</v>
      </c>
      <c r="Q30" s="0" t="s">
        <v>79</v>
      </c>
      <c r="R30" s="0" t="s">
        <v>80</v>
      </c>
      <c r="S30" s="0" t="s">
        <v>81</v>
      </c>
      <c r="T30" s="0" t="s">
        <v>82</v>
      </c>
    </row>
    <row r="31" customFormat="false" ht="15" hidden="false" customHeight="false" outlineLevel="0" collapsed="false">
      <c r="A31" s="0" t="str">
        <f aca="false">B31&amp;"|"&amp;C31&amp;"|"&amp;D31&amp;"|"&amp;E31&amp;"|"&amp;F31</f>
        <v>2.8+2512|IR|delta_rw|high|3m</v>
      </c>
      <c r="B31" s="0" t="s">
        <v>9</v>
      </c>
      <c r="C31" s="0" t="s">
        <v>68</v>
      </c>
      <c r="D31" s="0" t="s">
        <v>69</v>
      </c>
      <c r="E31" s="0" t="s">
        <v>85</v>
      </c>
      <c r="F31" s="0" t="s">
        <v>26</v>
      </c>
      <c r="G31" s="0" t="n">
        <v>79</v>
      </c>
      <c r="H31" s="0" t="s">
        <v>71</v>
      </c>
      <c r="I31" s="0" t="s">
        <v>72</v>
      </c>
      <c r="J31" s="0" t="s">
        <v>9</v>
      </c>
      <c r="K31" s="0" t="s">
        <v>73</v>
      </c>
      <c r="L31" s="0" t="s">
        <v>74</v>
      </c>
      <c r="M31" s="0" t="s">
        <v>75</v>
      </c>
      <c r="N31" s="0" t="s">
        <v>86</v>
      </c>
      <c r="O31" s="0" t="s">
        <v>77</v>
      </c>
      <c r="P31" s="0" t="s">
        <v>78</v>
      </c>
      <c r="Q31" s="0" t="s">
        <v>79</v>
      </c>
      <c r="R31" s="0" t="s">
        <v>80</v>
      </c>
      <c r="S31" s="0" t="s">
        <v>81</v>
      </c>
      <c r="T31" s="0" t="s">
        <v>82</v>
      </c>
    </row>
    <row r="32" customFormat="false" ht="15" hidden="false" customHeight="false" outlineLevel="0" collapsed="false">
      <c r="A32" s="0" t="str">
        <f aca="false">B32&amp;"|"&amp;C32&amp;"|"&amp;D32&amp;"|"&amp;E32&amp;"|"&amp;F32</f>
        <v>2.8+2512|IR|delta_rw|high|6m</v>
      </c>
      <c r="B32" s="0" t="s">
        <v>9</v>
      </c>
      <c r="C32" s="0" t="s">
        <v>68</v>
      </c>
      <c r="D32" s="0" t="s">
        <v>69</v>
      </c>
      <c r="E32" s="0" t="s">
        <v>85</v>
      </c>
      <c r="F32" s="0" t="s">
        <v>27</v>
      </c>
      <c r="G32" s="0" t="n">
        <v>82</v>
      </c>
      <c r="H32" s="0" t="s">
        <v>71</v>
      </c>
      <c r="I32" s="0" t="s">
        <v>72</v>
      </c>
      <c r="J32" s="0" t="s">
        <v>9</v>
      </c>
      <c r="K32" s="0" t="s">
        <v>73</v>
      </c>
      <c r="L32" s="0" t="s">
        <v>74</v>
      </c>
      <c r="M32" s="0" t="s">
        <v>75</v>
      </c>
      <c r="N32" s="0" t="s">
        <v>86</v>
      </c>
      <c r="O32" s="0" t="s">
        <v>77</v>
      </c>
      <c r="P32" s="0" t="s">
        <v>78</v>
      </c>
      <c r="Q32" s="0" t="s">
        <v>79</v>
      </c>
      <c r="R32" s="0" t="s">
        <v>80</v>
      </c>
      <c r="S32" s="0" t="s">
        <v>81</v>
      </c>
      <c r="T32" s="0" t="s">
        <v>82</v>
      </c>
    </row>
    <row r="33" customFormat="false" ht="15" hidden="false" customHeight="false" outlineLevel="0" collapsed="false">
      <c r="A33" s="0" t="str">
        <f aca="false">B33&amp;"|"&amp;C33&amp;"|"&amp;D33&amp;"|"&amp;E33&amp;"|"&amp;F33</f>
        <v>2.8+2512|IR|delta_rw|high|1y</v>
      </c>
      <c r="B33" s="0" t="s">
        <v>9</v>
      </c>
      <c r="C33" s="0" t="s">
        <v>68</v>
      </c>
      <c r="D33" s="0" t="s">
        <v>69</v>
      </c>
      <c r="E33" s="0" t="s">
        <v>85</v>
      </c>
      <c r="F33" s="0" t="s">
        <v>28</v>
      </c>
      <c r="G33" s="0" t="n">
        <v>90</v>
      </c>
      <c r="H33" s="0" t="s">
        <v>71</v>
      </c>
      <c r="I33" s="0" t="s">
        <v>72</v>
      </c>
      <c r="J33" s="0" t="s">
        <v>9</v>
      </c>
      <c r="K33" s="0" t="s">
        <v>73</v>
      </c>
      <c r="L33" s="0" t="s">
        <v>74</v>
      </c>
      <c r="M33" s="0" t="s">
        <v>75</v>
      </c>
      <c r="N33" s="0" t="s">
        <v>86</v>
      </c>
      <c r="O33" s="0" t="s">
        <v>77</v>
      </c>
      <c r="P33" s="0" t="s">
        <v>78</v>
      </c>
      <c r="Q33" s="0" t="s">
        <v>79</v>
      </c>
      <c r="R33" s="0" t="s">
        <v>80</v>
      </c>
      <c r="S33" s="0" t="s">
        <v>81</v>
      </c>
      <c r="T33" s="0" t="s">
        <v>82</v>
      </c>
    </row>
    <row r="34" customFormat="false" ht="15" hidden="false" customHeight="false" outlineLevel="0" collapsed="false">
      <c r="A34" s="0" t="str">
        <f aca="false">B34&amp;"|"&amp;C34&amp;"|"&amp;D34&amp;"|"&amp;E34&amp;"|"&amp;F34</f>
        <v>2.8+2512|IR|delta_rw|high|2y</v>
      </c>
      <c r="B34" s="0" t="s">
        <v>9</v>
      </c>
      <c r="C34" s="0" t="s">
        <v>68</v>
      </c>
      <c r="D34" s="0" t="s">
        <v>69</v>
      </c>
      <c r="E34" s="0" t="s">
        <v>85</v>
      </c>
      <c r="F34" s="0" t="s">
        <v>29</v>
      </c>
      <c r="G34" s="0" t="n">
        <v>93</v>
      </c>
      <c r="H34" s="0" t="s">
        <v>71</v>
      </c>
      <c r="I34" s="0" t="s">
        <v>72</v>
      </c>
      <c r="J34" s="0" t="s">
        <v>9</v>
      </c>
      <c r="K34" s="0" t="s">
        <v>73</v>
      </c>
      <c r="L34" s="0" t="s">
        <v>74</v>
      </c>
      <c r="M34" s="0" t="s">
        <v>75</v>
      </c>
      <c r="N34" s="0" t="s">
        <v>86</v>
      </c>
      <c r="O34" s="0" t="s">
        <v>77</v>
      </c>
      <c r="P34" s="0" t="s">
        <v>78</v>
      </c>
      <c r="Q34" s="0" t="s">
        <v>79</v>
      </c>
      <c r="R34" s="0" t="s">
        <v>80</v>
      </c>
      <c r="S34" s="0" t="s">
        <v>81</v>
      </c>
      <c r="T34" s="0" t="s">
        <v>82</v>
      </c>
    </row>
    <row r="35" customFormat="false" ht="15" hidden="false" customHeight="false" outlineLevel="0" collapsed="false">
      <c r="A35" s="0" t="str">
        <f aca="false">B35&amp;"|"&amp;C35&amp;"|"&amp;D35&amp;"|"&amp;E35&amp;"|"&amp;F35</f>
        <v>2.8+2512|IR|delta_rw|high|3y</v>
      </c>
      <c r="B35" s="0" t="s">
        <v>9</v>
      </c>
      <c r="C35" s="0" t="s">
        <v>68</v>
      </c>
      <c r="D35" s="0" t="s">
        <v>69</v>
      </c>
      <c r="E35" s="0" t="s">
        <v>85</v>
      </c>
      <c r="F35" s="0" t="s">
        <v>30</v>
      </c>
      <c r="G35" s="0" t="n">
        <v>92</v>
      </c>
      <c r="H35" s="0" t="s">
        <v>71</v>
      </c>
      <c r="I35" s="0" t="s">
        <v>72</v>
      </c>
      <c r="J35" s="0" t="s">
        <v>9</v>
      </c>
      <c r="K35" s="0" t="s">
        <v>73</v>
      </c>
      <c r="L35" s="0" t="s">
        <v>74</v>
      </c>
      <c r="M35" s="0" t="s">
        <v>75</v>
      </c>
      <c r="N35" s="0" t="s">
        <v>86</v>
      </c>
      <c r="O35" s="0" t="s">
        <v>77</v>
      </c>
      <c r="P35" s="0" t="s">
        <v>78</v>
      </c>
      <c r="Q35" s="0" t="s">
        <v>79</v>
      </c>
      <c r="R35" s="0" t="s">
        <v>80</v>
      </c>
      <c r="S35" s="0" t="s">
        <v>81</v>
      </c>
      <c r="T35" s="0" t="s">
        <v>82</v>
      </c>
    </row>
    <row r="36" customFormat="false" ht="15" hidden="false" customHeight="false" outlineLevel="0" collapsed="false">
      <c r="A36" s="0" t="str">
        <f aca="false">B36&amp;"|"&amp;C36&amp;"|"&amp;D36&amp;"|"&amp;E36&amp;"|"&amp;F36</f>
        <v>2.8+2512|IR|delta_rw|high|5y</v>
      </c>
      <c r="B36" s="0" t="s">
        <v>9</v>
      </c>
      <c r="C36" s="0" t="s">
        <v>68</v>
      </c>
      <c r="D36" s="0" t="s">
        <v>69</v>
      </c>
      <c r="E36" s="0" t="s">
        <v>85</v>
      </c>
      <c r="F36" s="0" t="s">
        <v>31</v>
      </c>
      <c r="G36" s="0" t="n">
        <v>88</v>
      </c>
      <c r="H36" s="0" t="s">
        <v>71</v>
      </c>
      <c r="I36" s="0" t="s">
        <v>72</v>
      </c>
      <c r="J36" s="0" t="s">
        <v>9</v>
      </c>
      <c r="K36" s="0" t="s">
        <v>73</v>
      </c>
      <c r="L36" s="0" t="s">
        <v>74</v>
      </c>
      <c r="M36" s="0" t="s">
        <v>75</v>
      </c>
      <c r="N36" s="0" t="s">
        <v>86</v>
      </c>
      <c r="O36" s="0" t="s">
        <v>77</v>
      </c>
      <c r="P36" s="0" t="s">
        <v>78</v>
      </c>
      <c r="Q36" s="0" t="s">
        <v>79</v>
      </c>
      <c r="R36" s="0" t="s">
        <v>80</v>
      </c>
      <c r="S36" s="0" t="s">
        <v>81</v>
      </c>
      <c r="T36" s="0" t="s">
        <v>82</v>
      </c>
    </row>
    <row r="37" customFormat="false" ht="15" hidden="false" customHeight="false" outlineLevel="0" collapsed="false">
      <c r="A37" s="0" t="str">
        <f aca="false">B37&amp;"|"&amp;C37&amp;"|"&amp;D37&amp;"|"&amp;E37&amp;"|"&amp;F37</f>
        <v>2.8+2512|IR|delta_rw|high|10y</v>
      </c>
      <c r="B37" s="0" t="s">
        <v>9</v>
      </c>
      <c r="C37" s="0" t="s">
        <v>68</v>
      </c>
      <c r="D37" s="0" t="s">
        <v>69</v>
      </c>
      <c r="E37" s="0" t="s">
        <v>85</v>
      </c>
      <c r="F37" s="0" t="s">
        <v>32</v>
      </c>
      <c r="G37" s="0" t="n">
        <v>88</v>
      </c>
      <c r="H37" s="0" t="s">
        <v>71</v>
      </c>
      <c r="I37" s="0" t="s">
        <v>72</v>
      </c>
      <c r="J37" s="0" t="s">
        <v>9</v>
      </c>
      <c r="K37" s="0" t="s">
        <v>73</v>
      </c>
      <c r="L37" s="0" t="s">
        <v>74</v>
      </c>
      <c r="M37" s="0" t="s">
        <v>75</v>
      </c>
      <c r="N37" s="0" t="s">
        <v>86</v>
      </c>
      <c r="O37" s="0" t="s">
        <v>77</v>
      </c>
      <c r="P37" s="0" t="s">
        <v>78</v>
      </c>
      <c r="Q37" s="0" t="s">
        <v>79</v>
      </c>
      <c r="R37" s="0" t="s">
        <v>80</v>
      </c>
      <c r="S37" s="0" t="s">
        <v>81</v>
      </c>
      <c r="T37" s="0" t="s">
        <v>82</v>
      </c>
    </row>
    <row r="38" customFormat="false" ht="15" hidden="false" customHeight="false" outlineLevel="0" collapsed="false">
      <c r="A38" s="0" t="str">
        <f aca="false">B38&amp;"|"&amp;C38&amp;"|"&amp;D38&amp;"|"&amp;E38&amp;"|"&amp;F38</f>
        <v>2.8+2512|IR|delta_rw|high|15y</v>
      </c>
      <c r="B38" s="0" t="s">
        <v>9</v>
      </c>
      <c r="C38" s="0" t="s">
        <v>68</v>
      </c>
      <c r="D38" s="0" t="s">
        <v>69</v>
      </c>
      <c r="E38" s="0" t="s">
        <v>85</v>
      </c>
      <c r="F38" s="0" t="s">
        <v>33</v>
      </c>
      <c r="G38" s="0" t="n">
        <v>98</v>
      </c>
      <c r="H38" s="0" t="s">
        <v>71</v>
      </c>
      <c r="I38" s="0" t="s">
        <v>72</v>
      </c>
      <c r="J38" s="0" t="s">
        <v>9</v>
      </c>
      <c r="K38" s="0" t="s">
        <v>73</v>
      </c>
      <c r="L38" s="0" t="s">
        <v>74</v>
      </c>
      <c r="M38" s="0" t="s">
        <v>75</v>
      </c>
      <c r="N38" s="0" t="s">
        <v>86</v>
      </c>
      <c r="O38" s="0" t="s">
        <v>77</v>
      </c>
      <c r="P38" s="0" t="s">
        <v>78</v>
      </c>
      <c r="Q38" s="0" t="s">
        <v>79</v>
      </c>
      <c r="R38" s="0" t="s">
        <v>80</v>
      </c>
      <c r="S38" s="0" t="s">
        <v>81</v>
      </c>
      <c r="T38" s="0" t="s">
        <v>82</v>
      </c>
    </row>
    <row r="39" customFormat="false" ht="15" hidden="false" customHeight="false" outlineLevel="0" collapsed="false">
      <c r="A39" s="0" t="str">
        <f aca="false">B39&amp;"|"&amp;C39&amp;"|"&amp;D39&amp;"|"&amp;E39&amp;"|"&amp;F39</f>
        <v>2.8+2512|IR|delta_rw|high|20y</v>
      </c>
      <c r="B39" s="0" t="s">
        <v>9</v>
      </c>
      <c r="C39" s="0" t="s">
        <v>68</v>
      </c>
      <c r="D39" s="0" t="s">
        <v>69</v>
      </c>
      <c r="E39" s="0" t="s">
        <v>85</v>
      </c>
      <c r="F39" s="0" t="s">
        <v>34</v>
      </c>
      <c r="G39" s="0" t="n">
        <v>101</v>
      </c>
      <c r="H39" s="0" t="s">
        <v>71</v>
      </c>
      <c r="I39" s="0" t="s">
        <v>72</v>
      </c>
      <c r="J39" s="0" t="s">
        <v>9</v>
      </c>
      <c r="K39" s="0" t="s">
        <v>73</v>
      </c>
      <c r="L39" s="0" t="s">
        <v>74</v>
      </c>
      <c r="M39" s="0" t="s">
        <v>75</v>
      </c>
      <c r="N39" s="0" t="s">
        <v>86</v>
      </c>
      <c r="O39" s="0" t="s">
        <v>77</v>
      </c>
      <c r="P39" s="0" t="s">
        <v>78</v>
      </c>
      <c r="Q39" s="0" t="s">
        <v>79</v>
      </c>
      <c r="R39" s="0" t="s">
        <v>80</v>
      </c>
      <c r="S39" s="0" t="s">
        <v>81</v>
      </c>
      <c r="T39" s="0" t="s">
        <v>82</v>
      </c>
    </row>
    <row r="40" customFormat="false" ht="15" hidden="false" customHeight="false" outlineLevel="0" collapsed="false">
      <c r="A40" s="0" t="str">
        <f aca="false">B40&amp;"|"&amp;C40&amp;"|"&amp;D40&amp;"|"&amp;E40&amp;"|"&amp;F40</f>
        <v>2.8+2512|IR|delta_rw|high|30y</v>
      </c>
      <c r="B40" s="0" t="s">
        <v>9</v>
      </c>
      <c r="C40" s="0" t="s">
        <v>68</v>
      </c>
      <c r="D40" s="0" t="s">
        <v>69</v>
      </c>
      <c r="E40" s="0" t="s">
        <v>85</v>
      </c>
      <c r="F40" s="0" t="s">
        <v>35</v>
      </c>
      <c r="G40" s="0" t="n">
        <v>96</v>
      </c>
      <c r="H40" s="0" t="s">
        <v>71</v>
      </c>
      <c r="I40" s="0" t="s">
        <v>72</v>
      </c>
      <c r="J40" s="0" t="s">
        <v>9</v>
      </c>
      <c r="K40" s="0" t="s">
        <v>73</v>
      </c>
      <c r="L40" s="0" t="s">
        <v>74</v>
      </c>
      <c r="M40" s="0" t="s">
        <v>75</v>
      </c>
      <c r="N40" s="0" t="s">
        <v>86</v>
      </c>
      <c r="O40" s="0" t="s">
        <v>77</v>
      </c>
      <c r="P40" s="0" t="s">
        <v>78</v>
      </c>
      <c r="Q40" s="0" t="s">
        <v>79</v>
      </c>
      <c r="R40" s="0" t="s">
        <v>80</v>
      </c>
      <c r="S40" s="0" t="s">
        <v>81</v>
      </c>
      <c r="T40" s="0" t="s">
        <v>82</v>
      </c>
    </row>
    <row r="41" customFormat="false" ht="15" hidden="false" customHeight="false" outlineLevel="0" collapsed="false">
      <c r="A41" s="0" t="str">
        <f aca="false">B41&amp;"|"&amp;C41&amp;"|"&amp;D41&amp;"|"&amp;E41&amp;"|"&amp;F41</f>
        <v>2.8+2512|IR|delta_rw_inflation|any|</v>
      </c>
      <c r="B41" s="0" t="s">
        <v>9</v>
      </c>
      <c r="C41" s="0" t="s">
        <v>68</v>
      </c>
      <c r="D41" s="0" t="s">
        <v>87</v>
      </c>
      <c r="E41" s="0" t="s">
        <v>88</v>
      </c>
      <c r="G41" s="0" t="n">
        <v>51</v>
      </c>
      <c r="H41" s="0" t="s">
        <v>71</v>
      </c>
      <c r="I41" s="0" t="s">
        <v>72</v>
      </c>
      <c r="J41" s="0" t="s">
        <v>9</v>
      </c>
      <c r="K41" s="0" t="s">
        <v>73</v>
      </c>
      <c r="L41" s="0" t="s">
        <v>74</v>
      </c>
      <c r="M41" s="0" t="s">
        <v>75</v>
      </c>
      <c r="N41" s="0" t="s">
        <v>89</v>
      </c>
      <c r="O41" s="0" t="s">
        <v>77</v>
      </c>
      <c r="P41" s="0" t="s">
        <v>78</v>
      </c>
      <c r="Q41" s="0" t="s">
        <v>79</v>
      </c>
      <c r="R41" s="0" t="s">
        <v>80</v>
      </c>
      <c r="S41" s="0" t="s">
        <v>81</v>
      </c>
      <c r="T41" s="0" t="s">
        <v>82</v>
      </c>
    </row>
    <row r="42" customFormat="false" ht="15" hidden="false" customHeight="false" outlineLevel="0" collapsed="false">
      <c r="A42" s="0" t="str">
        <f aca="false">B42&amp;"|"&amp;C42&amp;"|"&amp;D42&amp;"|"&amp;E42&amp;"|"&amp;F42</f>
        <v>2.8+2512|IR|delta_rw_xccy_basis|any|</v>
      </c>
      <c r="B42" s="0" t="s">
        <v>9</v>
      </c>
      <c r="C42" s="0" t="s">
        <v>68</v>
      </c>
      <c r="D42" s="0" t="s">
        <v>90</v>
      </c>
      <c r="E42" s="0" t="s">
        <v>88</v>
      </c>
      <c r="G42" s="0" t="n">
        <v>21</v>
      </c>
      <c r="H42" s="0" t="s">
        <v>71</v>
      </c>
      <c r="I42" s="0" t="s">
        <v>72</v>
      </c>
      <c r="J42" s="0" t="s">
        <v>9</v>
      </c>
      <c r="K42" s="0" t="s">
        <v>73</v>
      </c>
      <c r="L42" s="0" t="s">
        <v>74</v>
      </c>
      <c r="M42" s="0" t="s">
        <v>75</v>
      </c>
      <c r="N42" s="0" t="s">
        <v>89</v>
      </c>
      <c r="O42" s="0" t="s">
        <v>77</v>
      </c>
      <c r="P42" s="0" t="s">
        <v>78</v>
      </c>
      <c r="Q42" s="0" t="s">
        <v>79</v>
      </c>
      <c r="R42" s="0" t="s">
        <v>80</v>
      </c>
      <c r="S42" s="0" t="s">
        <v>81</v>
      </c>
      <c r="T42" s="0" t="s">
        <v>82</v>
      </c>
    </row>
    <row r="43" customFormat="false" ht="15" hidden="false" customHeight="false" outlineLevel="0" collapsed="false">
      <c r="A43" s="0" t="str">
        <f aca="false">B43&amp;"|"&amp;C43&amp;"|"&amp;D43&amp;"|"&amp;E43&amp;"|"&amp;F43</f>
        <v>2.8+2512|IR|hvr||</v>
      </c>
      <c r="B43" s="0" t="s">
        <v>9</v>
      </c>
      <c r="C43" s="0" t="s">
        <v>68</v>
      </c>
      <c r="D43" s="0" t="s">
        <v>91</v>
      </c>
      <c r="G43" s="0" t="n">
        <v>0.74</v>
      </c>
      <c r="H43" s="0" t="s">
        <v>92</v>
      </c>
      <c r="I43" s="0" t="s">
        <v>72</v>
      </c>
      <c r="J43" s="0" t="s">
        <v>9</v>
      </c>
      <c r="K43" s="0" t="s">
        <v>73</v>
      </c>
      <c r="L43" s="0" t="s">
        <v>74</v>
      </c>
      <c r="M43" s="0" t="s">
        <v>93</v>
      </c>
      <c r="N43" s="0" t="s">
        <v>94</v>
      </c>
      <c r="O43" s="0" t="s">
        <v>77</v>
      </c>
      <c r="P43" s="0" t="s">
        <v>78</v>
      </c>
      <c r="Q43" s="0" t="s">
        <v>79</v>
      </c>
      <c r="R43" s="0" t="s">
        <v>80</v>
      </c>
      <c r="S43" s="0" t="s">
        <v>81</v>
      </c>
      <c r="T43" s="0" t="s">
        <v>82</v>
      </c>
    </row>
    <row r="44" customFormat="false" ht="15" hidden="false" customHeight="false" outlineLevel="0" collapsed="false">
      <c r="A44" s="0" t="str">
        <f aca="false">B44&amp;"|"&amp;C44&amp;"|"&amp;D44&amp;"|"&amp;E44&amp;"|"&amp;F44</f>
        <v>2.8+2512|IR|vega_rw||</v>
      </c>
      <c r="B44" s="0" t="s">
        <v>9</v>
      </c>
      <c r="C44" s="0" t="s">
        <v>68</v>
      </c>
      <c r="D44" s="0" t="s">
        <v>95</v>
      </c>
      <c r="G44" s="0" t="n">
        <v>0.2</v>
      </c>
      <c r="H44" s="0" t="s">
        <v>92</v>
      </c>
      <c r="I44" s="0" t="s">
        <v>72</v>
      </c>
      <c r="J44" s="0" t="s">
        <v>9</v>
      </c>
      <c r="K44" s="0" t="s">
        <v>73</v>
      </c>
      <c r="L44" s="0" t="s">
        <v>74</v>
      </c>
      <c r="M44" s="0" t="s">
        <v>96</v>
      </c>
      <c r="N44" s="0" t="s">
        <v>97</v>
      </c>
      <c r="O44" s="0" t="s">
        <v>77</v>
      </c>
      <c r="P44" s="0" t="s">
        <v>78</v>
      </c>
      <c r="Q44" s="0" t="s">
        <v>79</v>
      </c>
      <c r="R44" s="0" t="s">
        <v>80</v>
      </c>
      <c r="S44" s="0" t="s">
        <v>81</v>
      </c>
      <c r="T44" s="0" t="s">
        <v>82</v>
      </c>
    </row>
    <row r="45" customFormat="false" ht="15" hidden="false" customHeight="false" outlineLevel="0" collapsed="false">
      <c r="A45" s="0" t="str">
        <f aca="false">B45&amp;"|"&amp;C45&amp;"|"&amp;D45&amp;"|"&amp;E45&amp;"|"&amp;F45</f>
        <v>2.8+2512|IR|rw_group_member|regular|USD</v>
      </c>
      <c r="B45" s="0" t="s">
        <v>9</v>
      </c>
      <c r="C45" s="0" t="s">
        <v>68</v>
      </c>
      <c r="D45" s="0" t="s">
        <v>98</v>
      </c>
      <c r="E45" s="0" t="s">
        <v>70</v>
      </c>
      <c r="F45" s="0" t="s">
        <v>11</v>
      </c>
      <c r="G45" s="0" t="n">
        <v>1</v>
      </c>
      <c r="H45" s="0" t="s">
        <v>99</v>
      </c>
      <c r="I45" s="0" t="s">
        <v>72</v>
      </c>
      <c r="J45" s="0" t="s">
        <v>9</v>
      </c>
      <c r="K45" s="0" t="s">
        <v>73</v>
      </c>
      <c r="L45" s="0" t="s">
        <v>74</v>
      </c>
      <c r="M45" s="0" t="s">
        <v>100</v>
      </c>
      <c r="N45" s="0" t="s">
        <v>101</v>
      </c>
      <c r="O45" s="0" t="s">
        <v>77</v>
      </c>
      <c r="P45" s="0" t="s">
        <v>78</v>
      </c>
      <c r="Q45" s="0" t="s">
        <v>79</v>
      </c>
      <c r="R45" s="0" t="s">
        <v>80</v>
      </c>
      <c r="S45" s="0" t="s">
        <v>81</v>
      </c>
      <c r="T45" s="0" t="s">
        <v>82</v>
      </c>
    </row>
    <row r="46" customFormat="false" ht="15" hidden="false" customHeight="false" outlineLevel="0" collapsed="false">
      <c r="A46" s="0" t="str">
        <f aca="false">B46&amp;"|"&amp;C46&amp;"|"&amp;D46&amp;"|"&amp;E46&amp;"|"&amp;F46</f>
        <v>2.8+2512|IR|rw_group_member|regular|EUR</v>
      </c>
      <c r="B46" s="0" t="s">
        <v>9</v>
      </c>
      <c r="C46" s="0" t="s">
        <v>68</v>
      </c>
      <c r="D46" s="0" t="s">
        <v>98</v>
      </c>
      <c r="E46" s="0" t="s">
        <v>70</v>
      </c>
      <c r="F46" s="0" t="s">
        <v>19</v>
      </c>
      <c r="G46" s="0" t="n">
        <v>1</v>
      </c>
      <c r="H46" s="0" t="s">
        <v>99</v>
      </c>
      <c r="I46" s="0" t="s">
        <v>72</v>
      </c>
      <c r="J46" s="0" t="s">
        <v>9</v>
      </c>
      <c r="K46" s="0" t="s">
        <v>73</v>
      </c>
      <c r="L46" s="0" t="s">
        <v>74</v>
      </c>
      <c r="M46" s="0" t="s">
        <v>100</v>
      </c>
      <c r="N46" s="0" t="s">
        <v>101</v>
      </c>
      <c r="O46" s="0" t="s">
        <v>77</v>
      </c>
      <c r="P46" s="0" t="s">
        <v>78</v>
      </c>
      <c r="Q46" s="0" t="s">
        <v>79</v>
      </c>
      <c r="R46" s="0" t="s">
        <v>80</v>
      </c>
      <c r="S46" s="0" t="s">
        <v>81</v>
      </c>
      <c r="T46" s="0" t="s">
        <v>82</v>
      </c>
    </row>
    <row r="47" customFormat="false" ht="15" hidden="false" customHeight="false" outlineLevel="0" collapsed="false">
      <c r="A47" s="0" t="str">
        <f aca="false">B47&amp;"|"&amp;C47&amp;"|"&amp;D47&amp;"|"&amp;E47&amp;"|"&amp;F47</f>
        <v>2.8+2512|IR|rw_group_member|regular|GBP</v>
      </c>
      <c r="B47" s="0" t="s">
        <v>9</v>
      </c>
      <c r="C47" s="0" t="s">
        <v>68</v>
      </c>
      <c r="D47" s="0" t="s">
        <v>98</v>
      </c>
      <c r="E47" s="0" t="s">
        <v>70</v>
      </c>
      <c r="F47" s="0" t="s">
        <v>20</v>
      </c>
      <c r="G47" s="0" t="n">
        <v>1</v>
      </c>
      <c r="H47" s="0" t="s">
        <v>99</v>
      </c>
      <c r="I47" s="0" t="s">
        <v>72</v>
      </c>
      <c r="J47" s="0" t="s">
        <v>9</v>
      </c>
      <c r="K47" s="0" t="s">
        <v>73</v>
      </c>
      <c r="L47" s="0" t="s">
        <v>74</v>
      </c>
      <c r="M47" s="0" t="s">
        <v>100</v>
      </c>
      <c r="N47" s="0" t="s">
        <v>101</v>
      </c>
      <c r="O47" s="0" t="s">
        <v>77</v>
      </c>
      <c r="P47" s="0" t="s">
        <v>78</v>
      </c>
      <c r="Q47" s="0" t="s">
        <v>79</v>
      </c>
      <c r="R47" s="0" t="s">
        <v>80</v>
      </c>
      <c r="S47" s="0" t="s">
        <v>81</v>
      </c>
      <c r="T47" s="0" t="s">
        <v>82</v>
      </c>
    </row>
    <row r="48" customFormat="false" ht="15" hidden="false" customHeight="false" outlineLevel="0" collapsed="false">
      <c r="A48" s="0" t="str">
        <f aca="false">B48&amp;"|"&amp;C48&amp;"|"&amp;D48&amp;"|"&amp;E48&amp;"|"&amp;F48</f>
        <v>2.8+2512|IR|rw_group_member|regular|CHF</v>
      </c>
      <c r="B48" s="0" t="s">
        <v>9</v>
      </c>
      <c r="C48" s="0" t="s">
        <v>68</v>
      </c>
      <c r="D48" s="0" t="s">
        <v>98</v>
      </c>
      <c r="E48" s="0" t="s">
        <v>70</v>
      </c>
      <c r="F48" s="0" t="s">
        <v>102</v>
      </c>
      <c r="G48" s="0" t="n">
        <v>1</v>
      </c>
      <c r="H48" s="0" t="s">
        <v>99</v>
      </c>
      <c r="I48" s="0" t="s">
        <v>72</v>
      </c>
      <c r="J48" s="0" t="s">
        <v>9</v>
      </c>
      <c r="K48" s="0" t="s">
        <v>73</v>
      </c>
      <c r="L48" s="0" t="s">
        <v>74</v>
      </c>
      <c r="M48" s="0" t="s">
        <v>100</v>
      </c>
      <c r="N48" s="0" t="s">
        <v>101</v>
      </c>
      <c r="O48" s="0" t="s">
        <v>77</v>
      </c>
      <c r="P48" s="0" t="s">
        <v>78</v>
      </c>
      <c r="Q48" s="0" t="s">
        <v>79</v>
      </c>
      <c r="R48" s="0" t="s">
        <v>80</v>
      </c>
      <c r="S48" s="0" t="s">
        <v>81</v>
      </c>
      <c r="T48" s="0" t="s">
        <v>82</v>
      </c>
    </row>
    <row r="49" customFormat="false" ht="15" hidden="false" customHeight="false" outlineLevel="0" collapsed="false">
      <c r="A49" s="0" t="str">
        <f aca="false">B49&amp;"|"&amp;C49&amp;"|"&amp;D49&amp;"|"&amp;E49&amp;"|"&amp;F49</f>
        <v>2.8+2512|IR|rw_group_member|regular|AUD</v>
      </c>
      <c r="B49" s="0" t="s">
        <v>9</v>
      </c>
      <c r="C49" s="0" t="s">
        <v>68</v>
      </c>
      <c r="D49" s="0" t="s">
        <v>98</v>
      </c>
      <c r="E49" s="0" t="s">
        <v>70</v>
      </c>
      <c r="F49" s="0" t="s">
        <v>103</v>
      </c>
      <c r="G49" s="0" t="n">
        <v>1</v>
      </c>
      <c r="H49" s="0" t="s">
        <v>99</v>
      </c>
      <c r="I49" s="0" t="s">
        <v>72</v>
      </c>
      <c r="J49" s="0" t="s">
        <v>9</v>
      </c>
      <c r="K49" s="0" t="s">
        <v>73</v>
      </c>
      <c r="L49" s="0" t="s">
        <v>74</v>
      </c>
      <c r="M49" s="0" t="s">
        <v>100</v>
      </c>
      <c r="N49" s="0" t="s">
        <v>101</v>
      </c>
      <c r="O49" s="0" t="s">
        <v>77</v>
      </c>
      <c r="P49" s="0" t="s">
        <v>78</v>
      </c>
      <c r="Q49" s="0" t="s">
        <v>79</v>
      </c>
      <c r="R49" s="0" t="s">
        <v>80</v>
      </c>
      <c r="S49" s="0" t="s">
        <v>81</v>
      </c>
      <c r="T49" s="0" t="s">
        <v>82</v>
      </c>
    </row>
    <row r="50" customFormat="false" ht="15" hidden="false" customHeight="false" outlineLevel="0" collapsed="false">
      <c r="A50" s="0" t="str">
        <f aca="false">B50&amp;"|"&amp;C50&amp;"|"&amp;D50&amp;"|"&amp;E50&amp;"|"&amp;F50</f>
        <v>2.8+2512|IR|rw_group_member|regular|NZD</v>
      </c>
      <c r="B50" s="0" t="s">
        <v>9</v>
      </c>
      <c r="C50" s="0" t="s">
        <v>68</v>
      </c>
      <c r="D50" s="0" t="s">
        <v>98</v>
      </c>
      <c r="E50" s="0" t="s">
        <v>70</v>
      </c>
      <c r="F50" s="0" t="s">
        <v>104</v>
      </c>
      <c r="G50" s="0" t="n">
        <v>1</v>
      </c>
      <c r="H50" s="0" t="s">
        <v>99</v>
      </c>
      <c r="I50" s="0" t="s">
        <v>72</v>
      </c>
      <c r="J50" s="0" t="s">
        <v>9</v>
      </c>
      <c r="K50" s="0" t="s">
        <v>73</v>
      </c>
      <c r="L50" s="0" t="s">
        <v>74</v>
      </c>
      <c r="M50" s="0" t="s">
        <v>100</v>
      </c>
      <c r="N50" s="0" t="s">
        <v>101</v>
      </c>
      <c r="O50" s="0" t="s">
        <v>77</v>
      </c>
      <c r="P50" s="0" t="s">
        <v>78</v>
      </c>
      <c r="Q50" s="0" t="s">
        <v>79</v>
      </c>
      <c r="R50" s="0" t="s">
        <v>80</v>
      </c>
      <c r="S50" s="0" t="s">
        <v>81</v>
      </c>
      <c r="T50" s="0" t="s">
        <v>82</v>
      </c>
    </row>
    <row r="51" customFormat="false" ht="15" hidden="false" customHeight="false" outlineLevel="0" collapsed="false">
      <c r="A51" s="0" t="str">
        <f aca="false">B51&amp;"|"&amp;C51&amp;"|"&amp;D51&amp;"|"&amp;E51&amp;"|"&amp;F51</f>
        <v>2.8+2512|IR|rw_group_member|regular|CAD</v>
      </c>
      <c r="B51" s="0" t="s">
        <v>9</v>
      </c>
      <c r="C51" s="0" t="s">
        <v>68</v>
      </c>
      <c r="D51" s="0" t="s">
        <v>98</v>
      </c>
      <c r="E51" s="0" t="s">
        <v>70</v>
      </c>
      <c r="F51" s="0" t="s">
        <v>105</v>
      </c>
      <c r="G51" s="0" t="n">
        <v>1</v>
      </c>
      <c r="H51" s="0" t="s">
        <v>99</v>
      </c>
      <c r="I51" s="0" t="s">
        <v>72</v>
      </c>
      <c r="J51" s="0" t="s">
        <v>9</v>
      </c>
      <c r="K51" s="0" t="s">
        <v>73</v>
      </c>
      <c r="L51" s="0" t="s">
        <v>74</v>
      </c>
      <c r="M51" s="0" t="s">
        <v>100</v>
      </c>
      <c r="N51" s="0" t="s">
        <v>101</v>
      </c>
      <c r="O51" s="0" t="s">
        <v>77</v>
      </c>
      <c r="P51" s="0" t="s">
        <v>78</v>
      </c>
      <c r="Q51" s="0" t="s">
        <v>79</v>
      </c>
      <c r="R51" s="0" t="s">
        <v>80</v>
      </c>
      <c r="S51" s="0" t="s">
        <v>81</v>
      </c>
      <c r="T51" s="0" t="s">
        <v>82</v>
      </c>
    </row>
    <row r="52" customFormat="false" ht="15" hidden="false" customHeight="false" outlineLevel="0" collapsed="false">
      <c r="A52" s="0" t="str">
        <f aca="false">B52&amp;"|"&amp;C52&amp;"|"&amp;D52&amp;"|"&amp;E52&amp;"|"&amp;F52</f>
        <v>2.8+2512|IR|rw_group_member|regular|SEK</v>
      </c>
      <c r="B52" s="0" t="s">
        <v>9</v>
      </c>
      <c r="C52" s="0" t="s">
        <v>68</v>
      </c>
      <c r="D52" s="0" t="s">
        <v>98</v>
      </c>
      <c r="E52" s="0" t="s">
        <v>70</v>
      </c>
      <c r="F52" s="0" t="s">
        <v>106</v>
      </c>
      <c r="G52" s="0" t="n">
        <v>1</v>
      </c>
      <c r="H52" s="0" t="s">
        <v>99</v>
      </c>
      <c r="I52" s="0" t="s">
        <v>72</v>
      </c>
      <c r="J52" s="0" t="s">
        <v>9</v>
      </c>
      <c r="K52" s="0" t="s">
        <v>73</v>
      </c>
      <c r="L52" s="0" t="s">
        <v>74</v>
      </c>
      <c r="M52" s="0" t="s">
        <v>100</v>
      </c>
      <c r="N52" s="0" t="s">
        <v>101</v>
      </c>
      <c r="O52" s="0" t="s">
        <v>77</v>
      </c>
      <c r="P52" s="0" t="s">
        <v>78</v>
      </c>
      <c r="Q52" s="0" t="s">
        <v>79</v>
      </c>
      <c r="R52" s="0" t="s">
        <v>80</v>
      </c>
      <c r="S52" s="0" t="s">
        <v>81</v>
      </c>
      <c r="T52" s="0" t="s">
        <v>82</v>
      </c>
    </row>
    <row r="53" customFormat="false" ht="15" hidden="false" customHeight="false" outlineLevel="0" collapsed="false">
      <c r="A53" s="0" t="str">
        <f aca="false">B53&amp;"|"&amp;C53&amp;"|"&amp;D53&amp;"|"&amp;E53&amp;"|"&amp;F53</f>
        <v>2.8+2512|IR|rw_group_member|regular|NOK</v>
      </c>
      <c r="B53" s="0" t="s">
        <v>9</v>
      </c>
      <c r="C53" s="0" t="s">
        <v>68</v>
      </c>
      <c r="D53" s="0" t="s">
        <v>98</v>
      </c>
      <c r="E53" s="0" t="s">
        <v>70</v>
      </c>
      <c r="F53" s="0" t="s">
        <v>107</v>
      </c>
      <c r="G53" s="0" t="n">
        <v>1</v>
      </c>
      <c r="H53" s="0" t="s">
        <v>99</v>
      </c>
      <c r="I53" s="0" t="s">
        <v>72</v>
      </c>
      <c r="J53" s="0" t="s">
        <v>9</v>
      </c>
      <c r="K53" s="0" t="s">
        <v>73</v>
      </c>
      <c r="L53" s="0" t="s">
        <v>74</v>
      </c>
      <c r="M53" s="0" t="s">
        <v>100</v>
      </c>
      <c r="N53" s="0" t="s">
        <v>101</v>
      </c>
      <c r="O53" s="0" t="s">
        <v>77</v>
      </c>
      <c r="P53" s="0" t="s">
        <v>78</v>
      </c>
      <c r="Q53" s="0" t="s">
        <v>79</v>
      </c>
      <c r="R53" s="0" t="s">
        <v>80</v>
      </c>
      <c r="S53" s="0" t="s">
        <v>81</v>
      </c>
      <c r="T53" s="0" t="s">
        <v>82</v>
      </c>
    </row>
    <row r="54" customFormat="false" ht="15" hidden="false" customHeight="false" outlineLevel="0" collapsed="false">
      <c r="A54" s="0" t="str">
        <f aca="false">B54&amp;"|"&amp;C54&amp;"|"&amp;D54&amp;"|"&amp;E54&amp;"|"&amp;F54</f>
        <v>2.8+2512|IR|rw_group_member|regular|DKK</v>
      </c>
      <c r="B54" s="0" t="s">
        <v>9</v>
      </c>
      <c r="C54" s="0" t="s">
        <v>68</v>
      </c>
      <c r="D54" s="0" t="s">
        <v>98</v>
      </c>
      <c r="E54" s="0" t="s">
        <v>70</v>
      </c>
      <c r="F54" s="0" t="s">
        <v>108</v>
      </c>
      <c r="G54" s="0" t="n">
        <v>1</v>
      </c>
      <c r="H54" s="0" t="s">
        <v>99</v>
      </c>
      <c r="I54" s="0" t="s">
        <v>72</v>
      </c>
      <c r="J54" s="0" t="s">
        <v>9</v>
      </c>
      <c r="K54" s="0" t="s">
        <v>73</v>
      </c>
      <c r="L54" s="0" t="s">
        <v>74</v>
      </c>
      <c r="M54" s="0" t="s">
        <v>100</v>
      </c>
      <c r="N54" s="0" t="s">
        <v>101</v>
      </c>
      <c r="O54" s="0" t="s">
        <v>77</v>
      </c>
      <c r="P54" s="0" t="s">
        <v>78</v>
      </c>
      <c r="Q54" s="0" t="s">
        <v>79</v>
      </c>
      <c r="R54" s="0" t="s">
        <v>80</v>
      </c>
      <c r="S54" s="0" t="s">
        <v>81</v>
      </c>
      <c r="T54" s="0" t="s">
        <v>82</v>
      </c>
    </row>
    <row r="55" customFormat="false" ht="15" hidden="false" customHeight="false" outlineLevel="0" collapsed="false">
      <c r="A55" s="0" t="str">
        <f aca="false">B55&amp;"|"&amp;C55&amp;"|"&amp;D55&amp;"|"&amp;E55&amp;"|"&amp;F55</f>
        <v>2.8+2512|IR|rw_group_member|regular|HKD</v>
      </c>
      <c r="B55" s="0" t="s">
        <v>9</v>
      </c>
      <c r="C55" s="0" t="s">
        <v>68</v>
      </c>
      <c r="D55" s="0" t="s">
        <v>98</v>
      </c>
      <c r="E55" s="0" t="s">
        <v>70</v>
      </c>
      <c r="F55" s="0" t="s">
        <v>109</v>
      </c>
      <c r="G55" s="0" t="n">
        <v>1</v>
      </c>
      <c r="H55" s="0" t="s">
        <v>99</v>
      </c>
      <c r="I55" s="0" t="s">
        <v>72</v>
      </c>
      <c r="J55" s="0" t="s">
        <v>9</v>
      </c>
      <c r="K55" s="0" t="s">
        <v>73</v>
      </c>
      <c r="L55" s="0" t="s">
        <v>74</v>
      </c>
      <c r="M55" s="0" t="s">
        <v>100</v>
      </c>
      <c r="N55" s="0" t="s">
        <v>101</v>
      </c>
      <c r="O55" s="0" t="s">
        <v>77</v>
      </c>
      <c r="P55" s="0" t="s">
        <v>78</v>
      </c>
      <c r="Q55" s="0" t="s">
        <v>79</v>
      </c>
      <c r="R55" s="0" t="s">
        <v>80</v>
      </c>
      <c r="S55" s="0" t="s">
        <v>81</v>
      </c>
      <c r="T55" s="0" t="s">
        <v>82</v>
      </c>
    </row>
    <row r="56" customFormat="false" ht="15" hidden="false" customHeight="false" outlineLevel="0" collapsed="false">
      <c r="A56" s="0" t="str">
        <f aca="false">B56&amp;"|"&amp;C56&amp;"|"&amp;D56&amp;"|"&amp;E56&amp;"|"&amp;F56</f>
        <v>2.8+2512|IR|rw_group_member|regular|KRW</v>
      </c>
      <c r="B56" s="0" t="s">
        <v>9</v>
      </c>
      <c r="C56" s="0" t="s">
        <v>68</v>
      </c>
      <c r="D56" s="0" t="s">
        <v>98</v>
      </c>
      <c r="E56" s="0" t="s">
        <v>70</v>
      </c>
      <c r="F56" s="0" t="s">
        <v>110</v>
      </c>
      <c r="G56" s="0" t="n">
        <v>1</v>
      </c>
      <c r="H56" s="0" t="s">
        <v>99</v>
      </c>
      <c r="I56" s="0" t="s">
        <v>72</v>
      </c>
      <c r="J56" s="0" t="s">
        <v>9</v>
      </c>
      <c r="K56" s="0" t="s">
        <v>73</v>
      </c>
      <c r="L56" s="0" t="s">
        <v>74</v>
      </c>
      <c r="M56" s="0" t="s">
        <v>100</v>
      </c>
      <c r="N56" s="0" t="s">
        <v>101</v>
      </c>
      <c r="O56" s="0" t="s">
        <v>77</v>
      </c>
      <c r="P56" s="0" t="s">
        <v>78</v>
      </c>
      <c r="Q56" s="0" t="s">
        <v>79</v>
      </c>
      <c r="R56" s="0" t="s">
        <v>80</v>
      </c>
      <c r="S56" s="0" t="s">
        <v>81</v>
      </c>
      <c r="T56" s="0" t="s">
        <v>82</v>
      </c>
    </row>
    <row r="57" customFormat="false" ht="15" hidden="false" customHeight="false" outlineLevel="0" collapsed="false">
      <c r="A57" s="0" t="str">
        <f aca="false">B57&amp;"|"&amp;C57&amp;"|"&amp;D57&amp;"|"&amp;E57&amp;"|"&amp;F57</f>
        <v>2.8+2512|IR|rw_group_member|regular|SGD</v>
      </c>
      <c r="B57" s="0" t="s">
        <v>9</v>
      </c>
      <c r="C57" s="0" t="s">
        <v>68</v>
      </c>
      <c r="D57" s="0" t="s">
        <v>98</v>
      </c>
      <c r="E57" s="0" t="s">
        <v>70</v>
      </c>
      <c r="F57" s="0" t="s">
        <v>111</v>
      </c>
      <c r="G57" s="0" t="n">
        <v>1</v>
      </c>
      <c r="H57" s="0" t="s">
        <v>99</v>
      </c>
      <c r="I57" s="0" t="s">
        <v>72</v>
      </c>
      <c r="J57" s="0" t="s">
        <v>9</v>
      </c>
      <c r="K57" s="0" t="s">
        <v>73</v>
      </c>
      <c r="L57" s="0" t="s">
        <v>74</v>
      </c>
      <c r="M57" s="0" t="s">
        <v>100</v>
      </c>
      <c r="N57" s="0" t="s">
        <v>101</v>
      </c>
      <c r="O57" s="0" t="s">
        <v>77</v>
      </c>
      <c r="P57" s="0" t="s">
        <v>78</v>
      </c>
      <c r="Q57" s="0" t="s">
        <v>79</v>
      </c>
      <c r="R57" s="0" t="s">
        <v>80</v>
      </c>
      <c r="S57" s="0" t="s">
        <v>81</v>
      </c>
      <c r="T57" s="0" t="s">
        <v>82</v>
      </c>
    </row>
    <row r="58" customFormat="false" ht="15" hidden="false" customHeight="false" outlineLevel="0" collapsed="false">
      <c r="A58" s="0" t="str">
        <f aca="false">B58&amp;"|"&amp;C58&amp;"|"&amp;D58&amp;"|"&amp;E58&amp;"|"&amp;F58</f>
        <v>2.8+2512|IR|rw_group_member|regular|TWD</v>
      </c>
      <c r="B58" s="0" t="s">
        <v>9</v>
      </c>
      <c r="C58" s="0" t="s">
        <v>68</v>
      </c>
      <c r="D58" s="0" t="s">
        <v>98</v>
      </c>
      <c r="E58" s="0" t="s">
        <v>70</v>
      </c>
      <c r="F58" s="0" t="s">
        <v>112</v>
      </c>
      <c r="G58" s="0" t="n">
        <v>1</v>
      </c>
      <c r="H58" s="0" t="s">
        <v>99</v>
      </c>
      <c r="I58" s="0" t="s">
        <v>72</v>
      </c>
      <c r="J58" s="0" t="s">
        <v>9</v>
      </c>
      <c r="K58" s="0" t="s">
        <v>73</v>
      </c>
      <c r="L58" s="0" t="s">
        <v>74</v>
      </c>
      <c r="M58" s="0" t="s">
        <v>100</v>
      </c>
      <c r="N58" s="0" t="s">
        <v>101</v>
      </c>
      <c r="O58" s="0" t="s">
        <v>77</v>
      </c>
      <c r="P58" s="0" t="s">
        <v>78</v>
      </c>
      <c r="Q58" s="0" t="s">
        <v>79</v>
      </c>
      <c r="R58" s="0" t="s">
        <v>80</v>
      </c>
      <c r="S58" s="0" t="s">
        <v>81</v>
      </c>
      <c r="T58" s="0" t="s">
        <v>82</v>
      </c>
    </row>
    <row r="59" customFormat="false" ht="15" hidden="false" customHeight="false" outlineLevel="0" collapsed="false">
      <c r="A59" s="0" t="str">
        <f aca="false">B59&amp;"|"&amp;C59&amp;"|"&amp;D59&amp;"|"&amp;E59&amp;"|"&amp;F59</f>
        <v>2.8+2512|IR|rw_group_member|low|JPY</v>
      </c>
      <c r="B59" s="0" t="s">
        <v>9</v>
      </c>
      <c r="C59" s="0" t="s">
        <v>68</v>
      </c>
      <c r="D59" s="0" t="s">
        <v>98</v>
      </c>
      <c r="E59" s="0" t="s">
        <v>83</v>
      </c>
      <c r="F59" s="0" t="s">
        <v>21</v>
      </c>
      <c r="G59" s="0" t="n">
        <v>1</v>
      </c>
      <c r="H59" s="0" t="s">
        <v>99</v>
      </c>
      <c r="I59" s="0" t="s">
        <v>72</v>
      </c>
      <c r="J59" s="0" t="s">
        <v>9</v>
      </c>
      <c r="K59" s="0" t="s">
        <v>73</v>
      </c>
      <c r="L59" s="0" t="s">
        <v>74</v>
      </c>
      <c r="M59" s="0" t="s">
        <v>113</v>
      </c>
      <c r="N59" s="0" t="s">
        <v>114</v>
      </c>
      <c r="O59" s="0" t="s">
        <v>77</v>
      </c>
      <c r="P59" s="0" t="s">
        <v>78</v>
      </c>
      <c r="Q59" s="0" t="s">
        <v>79</v>
      </c>
      <c r="R59" s="0" t="s">
        <v>80</v>
      </c>
      <c r="S59" s="0" t="s">
        <v>81</v>
      </c>
      <c r="T59" s="0" t="s">
        <v>82</v>
      </c>
    </row>
    <row r="60" customFormat="false" ht="15" hidden="false" customHeight="false" outlineLevel="0" collapsed="false">
      <c r="A60" s="0" t="str">
        <f aca="false">B60&amp;"|"&amp;C60&amp;"|"&amp;D60&amp;"|"&amp;E60&amp;"|"&amp;F60</f>
        <v>2.8+2512|IR|rw_group_member|high|ALL_OTHER</v>
      </c>
      <c r="B60" s="0" t="s">
        <v>9</v>
      </c>
      <c r="C60" s="0" t="s">
        <v>68</v>
      </c>
      <c r="D60" s="0" t="s">
        <v>98</v>
      </c>
      <c r="E60" s="0" t="s">
        <v>85</v>
      </c>
      <c r="F60" s="0" t="s">
        <v>115</v>
      </c>
      <c r="G60" s="0" t="n">
        <v>1</v>
      </c>
      <c r="H60" s="0" t="s">
        <v>99</v>
      </c>
      <c r="I60" s="0" t="s">
        <v>72</v>
      </c>
      <c r="J60" s="0" t="s">
        <v>9</v>
      </c>
      <c r="K60" s="0" t="s">
        <v>73</v>
      </c>
      <c r="L60" s="0" t="s">
        <v>74</v>
      </c>
      <c r="M60" s="0" t="s">
        <v>116</v>
      </c>
      <c r="N60" s="0" t="s">
        <v>117</v>
      </c>
      <c r="O60" s="0" t="s">
        <v>77</v>
      </c>
      <c r="P60" s="0" t="s">
        <v>78</v>
      </c>
      <c r="Q60" s="0" t="s">
        <v>79</v>
      </c>
      <c r="R60" s="0" t="s">
        <v>80</v>
      </c>
      <c r="S60" s="0" t="s">
        <v>81</v>
      </c>
      <c r="T60" s="0" t="s">
        <v>82</v>
      </c>
    </row>
    <row r="61" customFormat="false" ht="15" hidden="false" customHeight="false" outlineLevel="0" collapsed="false">
      <c r="A61" s="0" t="str">
        <f aca="false">B61&amp;"|"&amp;C61&amp;"|"&amp;D61&amp;"|"&amp;E61&amp;"|"&amp;F61</f>
        <v>2.8+2512|IR|delta_tenor_corr|2w|2w</v>
      </c>
      <c r="B61" s="0" t="s">
        <v>9</v>
      </c>
      <c r="C61" s="0" t="s">
        <v>68</v>
      </c>
      <c r="D61" s="0" t="s">
        <v>118</v>
      </c>
      <c r="E61" s="0" t="s">
        <v>24</v>
      </c>
      <c r="F61" s="0" t="s">
        <v>24</v>
      </c>
      <c r="G61" s="0" t="n">
        <v>1</v>
      </c>
      <c r="H61" s="0" t="s">
        <v>119</v>
      </c>
      <c r="I61" s="0" t="s">
        <v>72</v>
      </c>
      <c r="J61" s="0" t="s">
        <v>9</v>
      </c>
      <c r="K61" s="0" t="s">
        <v>73</v>
      </c>
      <c r="L61" s="0" t="s">
        <v>120</v>
      </c>
      <c r="M61" s="0" t="s">
        <v>121</v>
      </c>
      <c r="N61" s="0" t="s">
        <v>122</v>
      </c>
      <c r="O61" s="0" t="s">
        <v>77</v>
      </c>
      <c r="P61" s="0" t="s">
        <v>78</v>
      </c>
      <c r="Q61" s="0" t="s">
        <v>79</v>
      </c>
      <c r="R61" s="0" t="s">
        <v>80</v>
      </c>
      <c r="S61" s="0" t="s">
        <v>81</v>
      </c>
      <c r="T61" s="0" t="s">
        <v>123</v>
      </c>
    </row>
    <row r="62" customFormat="false" ht="15" hidden="false" customHeight="false" outlineLevel="0" collapsed="false">
      <c r="A62" s="0" t="str">
        <f aca="false">B62&amp;"|"&amp;C62&amp;"|"&amp;D62&amp;"|"&amp;E62&amp;"|"&amp;F62</f>
        <v>2.8+2512|IR|delta_tenor_corr|2w|1m</v>
      </c>
      <c r="B62" s="0" t="s">
        <v>9</v>
      </c>
      <c r="C62" s="0" t="s">
        <v>68</v>
      </c>
      <c r="D62" s="0" t="s">
        <v>118</v>
      </c>
      <c r="E62" s="0" t="s">
        <v>24</v>
      </c>
      <c r="F62" s="0" t="s">
        <v>25</v>
      </c>
      <c r="G62" s="0" t="n">
        <v>0.74</v>
      </c>
      <c r="H62" s="0" t="s">
        <v>119</v>
      </c>
      <c r="I62" s="0" t="s">
        <v>72</v>
      </c>
      <c r="J62" s="0" t="s">
        <v>9</v>
      </c>
      <c r="K62" s="0" t="s">
        <v>73</v>
      </c>
      <c r="L62" s="0" t="s">
        <v>120</v>
      </c>
      <c r="M62" s="0" t="s">
        <v>121</v>
      </c>
      <c r="N62" s="0" t="s">
        <v>122</v>
      </c>
      <c r="O62" s="0" t="s">
        <v>77</v>
      </c>
      <c r="P62" s="0" t="s">
        <v>78</v>
      </c>
      <c r="Q62" s="0" t="s">
        <v>79</v>
      </c>
      <c r="R62" s="0" t="s">
        <v>80</v>
      </c>
      <c r="S62" s="0" t="s">
        <v>81</v>
      </c>
      <c r="T62" s="0" t="s">
        <v>82</v>
      </c>
    </row>
    <row r="63" customFormat="false" ht="15" hidden="false" customHeight="false" outlineLevel="0" collapsed="false">
      <c r="A63" s="0" t="str">
        <f aca="false">B63&amp;"|"&amp;C63&amp;"|"&amp;D63&amp;"|"&amp;E63&amp;"|"&amp;F63</f>
        <v>2.8+2512|IR|delta_tenor_corr|2w|3m</v>
      </c>
      <c r="B63" s="0" t="s">
        <v>9</v>
      </c>
      <c r="C63" s="0" t="s">
        <v>68</v>
      </c>
      <c r="D63" s="0" t="s">
        <v>118</v>
      </c>
      <c r="E63" s="0" t="s">
        <v>24</v>
      </c>
      <c r="F63" s="0" t="s">
        <v>26</v>
      </c>
      <c r="G63" s="0" t="n">
        <v>0.65</v>
      </c>
      <c r="H63" s="0" t="s">
        <v>119</v>
      </c>
      <c r="I63" s="0" t="s">
        <v>72</v>
      </c>
      <c r="J63" s="0" t="s">
        <v>9</v>
      </c>
      <c r="K63" s="0" t="s">
        <v>73</v>
      </c>
      <c r="L63" s="0" t="s">
        <v>120</v>
      </c>
      <c r="M63" s="0" t="s">
        <v>121</v>
      </c>
      <c r="N63" s="0" t="s">
        <v>122</v>
      </c>
      <c r="O63" s="0" t="s">
        <v>77</v>
      </c>
      <c r="P63" s="0" t="s">
        <v>78</v>
      </c>
      <c r="Q63" s="0" t="s">
        <v>79</v>
      </c>
      <c r="R63" s="0" t="s">
        <v>80</v>
      </c>
      <c r="S63" s="0" t="s">
        <v>81</v>
      </c>
      <c r="T63" s="0" t="s">
        <v>82</v>
      </c>
    </row>
    <row r="64" customFormat="false" ht="15" hidden="false" customHeight="false" outlineLevel="0" collapsed="false">
      <c r="A64" s="0" t="str">
        <f aca="false">B64&amp;"|"&amp;C64&amp;"|"&amp;D64&amp;"|"&amp;E64&amp;"|"&amp;F64</f>
        <v>2.8+2512|IR|delta_tenor_corr|2w|6m</v>
      </c>
      <c r="B64" s="0" t="s">
        <v>9</v>
      </c>
      <c r="C64" s="0" t="s">
        <v>68</v>
      </c>
      <c r="D64" s="0" t="s">
        <v>118</v>
      </c>
      <c r="E64" s="0" t="s">
        <v>24</v>
      </c>
      <c r="F64" s="0" t="s">
        <v>27</v>
      </c>
      <c r="G64" s="0" t="n">
        <v>0.54</v>
      </c>
      <c r="H64" s="0" t="s">
        <v>119</v>
      </c>
      <c r="I64" s="0" t="s">
        <v>72</v>
      </c>
      <c r="J64" s="0" t="s">
        <v>9</v>
      </c>
      <c r="K64" s="0" t="s">
        <v>73</v>
      </c>
      <c r="L64" s="0" t="s">
        <v>120</v>
      </c>
      <c r="M64" s="0" t="s">
        <v>121</v>
      </c>
      <c r="N64" s="0" t="s">
        <v>122</v>
      </c>
      <c r="O64" s="0" t="s">
        <v>77</v>
      </c>
      <c r="P64" s="0" t="s">
        <v>78</v>
      </c>
      <c r="Q64" s="0" t="s">
        <v>79</v>
      </c>
      <c r="R64" s="0" t="s">
        <v>80</v>
      </c>
      <c r="S64" s="0" t="s">
        <v>81</v>
      </c>
      <c r="T64" s="0" t="s">
        <v>82</v>
      </c>
    </row>
    <row r="65" customFormat="false" ht="15" hidden="false" customHeight="false" outlineLevel="0" collapsed="false">
      <c r="A65" s="0" t="str">
        <f aca="false">B65&amp;"|"&amp;C65&amp;"|"&amp;D65&amp;"|"&amp;E65&amp;"|"&amp;F65</f>
        <v>2.8+2512|IR|delta_tenor_corr|2w|1y</v>
      </c>
      <c r="B65" s="0" t="s">
        <v>9</v>
      </c>
      <c r="C65" s="0" t="s">
        <v>68</v>
      </c>
      <c r="D65" s="0" t="s">
        <v>118</v>
      </c>
      <c r="E65" s="0" t="s">
        <v>24</v>
      </c>
      <c r="F65" s="0" t="s">
        <v>28</v>
      </c>
      <c r="G65" s="0" t="n">
        <v>0.4</v>
      </c>
      <c r="H65" s="0" t="s">
        <v>119</v>
      </c>
      <c r="I65" s="0" t="s">
        <v>72</v>
      </c>
      <c r="J65" s="0" t="s">
        <v>9</v>
      </c>
      <c r="K65" s="0" t="s">
        <v>73</v>
      </c>
      <c r="L65" s="0" t="s">
        <v>120</v>
      </c>
      <c r="M65" s="0" t="s">
        <v>121</v>
      </c>
      <c r="N65" s="0" t="s">
        <v>122</v>
      </c>
      <c r="O65" s="0" t="s">
        <v>77</v>
      </c>
      <c r="P65" s="0" t="s">
        <v>78</v>
      </c>
      <c r="Q65" s="0" t="s">
        <v>79</v>
      </c>
      <c r="R65" s="0" t="s">
        <v>80</v>
      </c>
      <c r="S65" s="0" t="s">
        <v>81</v>
      </c>
      <c r="T65" s="0" t="s">
        <v>82</v>
      </c>
    </row>
    <row r="66" customFormat="false" ht="15" hidden="false" customHeight="false" outlineLevel="0" collapsed="false">
      <c r="A66" s="0" t="str">
        <f aca="false">B66&amp;"|"&amp;C66&amp;"|"&amp;D66&amp;"|"&amp;E66&amp;"|"&amp;F66</f>
        <v>2.8+2512|IR|delta_tenor_corr|2w|2y</v>
      </c>
      <c r="B66" s="0" t="s">
        <v>9</v>
      </c>
      <c r="C66" s="0" t="s">
        <v>68</v>
      </c>
      <c r="D66" s="0" t="s">
        <v>118</v>
      </c>
      <c r="E66" s="0" t="s">
        <v>24</v>
      </c>
      <c r="F66" s="0" t="s">
        <v>29</v>
      </c>
      <c r="G66" s="0" t="n">
        <v>0.29</v>
      </c>
      <c r="H66" s="0" t="s">
        <v>119</v>
      </c>
      <c r="I66" s="0" t="s">
        <v>72</v>
      </c>
      <c r="J66" s="0" t="s">
        <v>9</v>
      </c>
      <c r="K66" s="0" t="s">
        <v>73</v>
      </c>
      <c r="L66" s="0" t="s">
        <v>120</v>
      </c>
      <c r="M66" s="0" t="s">
        <v>121</v>
      </c>
      <c r="N66" s="0" t="s">
        <v>122</v>
      </c>
      <c r="O66" s="0" t="s">
        <v>77</v>
      </c>
      <c r="P66" s="0" t="s">
        <v>78</v>
      </c>
      <c r="Q66" s="0" t="s">
        <v>79</v>
      </c>
      <c r="R66" s="0" t="s">
        <v>80</v>
      </c>
      <c r="S66" s="0" t="s">
        <v>81</v>
      </c>
      <c r="T66" s="0" t="s">
        <v>82</v>
      </c>
    </row>
    <row r="67" customFormat="false" ht="15" hidden="false" customHeight="false" outlineLevel="0" collapsed="false">
      <c r="A67" s="0" t="str">
        <f aca="false">B67&amp;"|"&amp;C67&amp;"|"&amp;D67&amp;"|"&amp;E67&amp;"|"&amp;F67</f>
        <v>2.8+2512|IR|delta_tenor_corr|2w|3y</v>
      </c>
      <c r="B67" s="0" t="s">
        <v>9</v>
      </c>
      <c r="C67" s="0" t="s">
        <v>68</v>
      </c>
      <c r="D67" s="0" t="s">
        <v>118</v>
      </c>
      <c r="E67" s="0" t="s">
        <v>24</v>
      </c>
      <c r="F67" s="0" t="s">
        <v>30</v>
      </c>
      <c r="G67" s="0" t="n">
        <v>0.25</v>
      </c>
      <c r="H67" s="0" t="s">
        <v>119</v>
      </c>
      <c r="I67" s="0" t="s">
        <v>72</v>
      </c>
      <c r="J67" s="0" t="s">
        <v>9</v>
      </c>
      <c r="K67" s="0" t="s">
        <v>73</v>
      </c>
      <c r="L67" s="0" t="s">
        <v>120</v>
      </c>
      <c r="M67" s="0" t="s">
        <v>121</v>
      </c>
      <c r="N67" s="0" t="s">
        <v>122</v>
      </c>
      <c r="O67" s="0" t="s">
        <v>77</v>
      </c>
      <c r="P67" s="0" t="s">
        <v>78</v>
      </c>
      <c r="Q67" s="0" t="s">
        <v>79</v>
      </c>
      <c r="R67" s="0" t="s">
        <v>80</v>
      </c>
      <c r="S67" s="0" t="s">
        <v>81</v>
      </c>
      <c r="T67" s="0" t="s">
        <v>82</v>
      </c>
    </row>
    <row r="68" customFormat="false" ht="15" hidden="false" customHeight="false" outlineLevel="0" collapsed="false">
      <c r="A68" s="0" t="str">
        <f aca="false">B68&amp;"|"&amp;C68&amp;"|"&amp;D68&amp;"|"&amp;E68&amp;"|"&amp;F68</f>
        <v>2.8+2512|IR|delta_tenor_corr|2w|5y</v>
      </c>
      <c r="B68" s="0" t="s">
        <v>9</v>
      </c>
      <c r="C68" s="0" t="s">
        <v>68</v>
      </c>
      <c r="D68" s="0" t="s">
        <v>118</v>
      </c>
      <c r="E68" s="0" t="s">
        <v>24</v>
      </c>
      <c r="F68" s="0" t="s">
        <v>31</v>
      </c>
      <c r="G68" s="0" t="n">
        <v>0.22</v>
      </c>
      <c r="H68" s="0" t="s">
        <v>119</v>
      </c>
      <c r="I68" s="0" t="s">
        <v>72</v>
      </c>
      <c r="J68" s="0" t="s">
        <v>9</v>
      </c>
      <c r="K68" s="0" t="s">
        <v>73</v>
      </c>
      <c r="L68" s="0" t="s">
        <v>120</v>
      </c>
      <c r="M68" s="0" t="s">
        <v>121</v>
      </c>
      <c r="N68" s="0" t="s">
        <v>122</v>
      </c>
      <c r="O68" s="0" t="s">
        <v>77</v>
      </c>
      <c r="P68" s="0" t="s">
        <v>78</v>
      </c>
      <c r="Q68" s="0" t="s">
        <v>79</v>
      </c>
      <c r="R68" s="0" t="s">
        <v>80</v>
      </c>
      <c r="S68" s="0" t="s">
        <v>81</v>
      </c>
      <c r="T68" s="0" t="s">
        <v>82</v>
      </c>
    </row>
    <row r="69" customFormat="false" ht="15" hidden="false" customHeight="false" outlineLevel="0" collapsed="false">
      <c r="A69" s="0" t="str">
        <f aca="false">B69&amp;"|"&amp;C69&amp;"|"&amp;D69&amp;"|"&amp;E69&amp;"|"&amp;F69</f>
        <v>2.8+2512|IR|delta_tenor_corr|2w|10y</v>
      </c>
      <c r="B69" s="0" t="s">
        <v>9</v>
      </c>
      <c r="C69" s="0" t="s">
        <v>68</v>
      </c>
      <c r="D69" s="0" t="s">
        <v>118</v>
      </c>
      <c r="E69" s="0" t="s">
        <v>24</v>
      </c>
      <c r="F69" s="0" t="s">
        <v>32</v>
      </c>
      <c r="G69" s="0" t="n">
        <v>0.17</v>
      </c>
      <c r="H69" s="0" t="s">
        <v>119</v>
      </c>
      <c r="I69" s="0" t="s">
        <v>72</v>
      </c>
      <c r="J69" s="0" t="s">
        <v>9</v>
      </c>
      <c r="K69" s="0" t="s">
        <v>73</v>
      </c>
      <c r="L69" s="0" t="s">
        <v>120</v>
      </c>
      <c r="M69" s="0" t="s">
        <v>121</v>
      </c>
      <c r="N69" s="0" t="s">
        <v>122</v>
      </c>
      <c r="O69" s="0" t="s">
        <v>77</v>
      </c>
      <c r="P69" s="0" t="s">
        <v>78</v>
      </c>
      <c r="Q69" s="0" t="s">
        <v>79</v>
      </c>
      <c r="R69" s="0" t="s">
        <v>80</v>
      </c>
      <c r="S69" s="0" t="s">
        <v>81</v>
      </c>
      <c r="T69" s="0" t="s">
        <v>82</v>
      </c>
    </row>
    <row r="70" customFormat="false" ht="15" hidden="false" customHeight="false" outlineLevel="0" collapsed="false">
      <c r="A70" s="0" t="str">
        <f aca="false">B70&amp;"|"&amp;C70&amp;"|"&amp;D70&amp;"|"&amp;E70&amp;"|"&amp;F70</f>
        <v>2.8+2512|IR|delta_tenor_corr|2w|15y</v>
      </c>
      <c r="B70" s="0" t="s">
        <v>9</v>
      </c>
      <c r="C70" s="0" t="s">
        <v>68</v>
      </c>
      <c r="D70" s="0" t="s">
        <v>118</v>
      </c>
      <c r="E70" s="0" t="s">
        <v>24</v>
      </c>
      <c r="F70" s="0" t="s">
        <v>33</v>
      </c>
      <c r="G70" s="0" t="n">
        <v>0.16</v>
      </c>
      <c r="H70" s="0" t="s">
        <v>119</v>
      </c>
      <c r="I70" s="0" t="s">
        <v>72</v>
      </c>
      <c r="J70" s="0" t="s">
        <v>9</v>
      </c>
      <c r="K70" s="0" t="s">
        <v>73</v>
      </c>
      <c r="L70" s="0" t="s">
        <v>120</v>
      </c>
      <c r="M70" s="0" t="s">
        <v>121</v>
      </c>
      <c r="N70" s="0" t="s">
        <v>122</v>
      </c>
      <c r="O70" s="0" t="s">
        <v>77</v>
      </c>
      <c r="P70" s="0" t="s">
        <v>78</v>
      </c>
      <c r="Q70" s="0" t="s">
        <v>79</v>
      </c>
      <c r="R70" s="0" t="s">
        <v>80</v>
      </c>
      <c r="S70" s="0" t="s">
        <v>81</v>
      </c>
      <c r="T70" s="0" t="s">
        <v>82</v>
      </c>
    </row>
    <row r="71" customFormat="false" ht="15" hidden="false" customHeight="false" outlineLevel="0" collapsed="false">
      <c r="A71" s="0" t="str">
        <f aca="false">B71&amp;"|"&amp;C71&amp;"|"&amp;D71&amp;"|"&amp;E71&amp;"|"&amp;F71</f>
        <v>2.8+2512|IR|delta_tenor_corr|2w|20y</v>
      </c>
      <c r="B71" s="0" t="s">
        <v>9</v>
      </c>
      <c r="C71" s="0" t="s">
        <v>68</v>
      </c>
      <c r="D71" s="0" t="s">
        <v>118</v>
      </c>
      <c r="E71" s="0" t="s">
        <v>24</v>
      </c>
      <c r="F71" s="0" t="s">
        <v>34</v>
      </c>
      <c r="G71" s="0" t="n">
        <v>0.14</v>
      </c>
      <c r="H71" s="0" t="s">
        <v>119</v>
      </c>
      <c r="I71" s="0" t="s">
        <v>72</v>
      </c>
      <c r="J71" s="0" t="s">
        <v>9</v>
      </c>
      <c r="K71" s="0" t="s">
        <v>73</v>
      </c>
      <c r="L71" s="0" t="s">
        <v>120</v>
      </c>
      <c r="M71" s="0" t="s">
        <v>121</v>
      </c>
      <c r="N71" s="0" t="s">
        <v>122</v>
      </c>
      <c r="O71" s="0" t="s">
        <v>77</v>
      </c>
      <c r="P71" s="0" t="s">
        <v>78</v>
      </c>
      <c r="Q71" s="0" t="s">
        <v>79</v>
      </c>
      <c r="R71" s="0" t="s">
        <v>80</v>
      </c>
      <c r="S71" s="0" t="s">
        <v>81</v>
      </c>
      <c r="T71" s="0" t="s">
        <v>82</v>
      </c>
    </row>
    <row r="72" customFormat="false" ht="15" hidden="false" customHeight="false" outlineLevel="0" collapsed="false">
      <c r="A72" s="0" t="str">
        <f aca="false">B72&amp;"|"&amp;C72&amp;"|"&amp;D72&amp;"|"&amp;E72&amp;"|"&amp;F72</f>
        <v>2.8+2512|IR|delta_tenor_corr|2w|30y</v>
      </c>
      <c r="B72" s="0" t="s">
        <v>9</v>
      </c>
      <c r="C72" s="0" t="s">
        <v>68</v>
      </c>
      <c r="D72" s="0" t="s">
        <v>118</v>
      </c>
      <c r="E72" s="0" t="s">
        <v>24</v>
      </c>
      <c r="F72" s="0" t="s">
        <v>35</v>
      </c>
      <c r="G72" s="0" t="n">
        <v>0.14</v>
      </c>
      <c r="H72" s="0" t="s">
        <v>119</v>
      </c>
      <c r="I72" s="0" t="s">
        <v>72</v>
      </c>
      <c r="J72" s="0" t="s">
        <v>9</v>
      </c>
      <c r="K72" s="0" t="s">
        <v>73</v>
      </c>
      <c r="L72" s="0" t="s">
        <v>120</v>
      </c>
      <c r="M72" s="0" t="s">
        <v>121</v>
      </c>
      <c r="N72" s="0" t="s">
        <v>122</v>
      </c>
      <c r="O72" s="0" t="s">
        <v>77</v>
      </c>
      <c r="P72" s="0" t="s">
        <v>78</v>
      </c>
      <c r="Q72" s="0" t="s">
        <v>79</v>
      </c>
      <c r="R72" s="0" t="s">
        <v>80</v>
      </c>
      <c r="S72" s="0" t="s">
        <v>81</v>
      </c>
      <c r="T72" s="0" t="s">
        <v>82</v>
      </c>
    </row>
    <row r="73" customFormat="false" ht="15" hidden="false" customHeight="false" outlineLevel="0" collapsed="false">
      <c r="A73" s="0" t="str">
        <f aca="false">B73&amp;"|"&amp;C73&amp;"|"&amp;D73&amp;"|"&amp;E73&amp;"|"&amp;F73</f>
        <v>2.8+2512|IR|delta_tenor_corr|1m|2w</v>
      </c>
      <c r="B73" s="0" t="s">
        <v>9</v>
      </c>
      <c r="C73" s="0" t="s">
        <v>68</v>
      </c>
      <c r="D73" s="0" t="s">
        <v>118</v>
      </c>
      <c r="E73" s="0" t="s">
        <v>25</v>
      </c>
      <c r="F73" s="0" t="s">
        <v>24</v>
      </c>
      <c r="G73" s="0" t="n">
        <v>0.74</v>
      </c>
      <c r="H73" s="0" t="s">
        <v>119</v>
      </c>
      <c r="I73" s="0" t="s">
        <v>72</v>
      </c>
      <c r="J73" s="0" t="s">
        <v>9</v>
      </c>
      <c r="K73" s="0" t="s">
        <v>73</v>
      </c>
      <c r="L73" s="0" t="s">
        <v>120</v>
      </c>
      <c r="M73" s="0" t="s">
        <v>121</v>
      </c>
      <c r="N73" s="0" t="s">
        <v>124</v>
      </c>
      <c r="O73" s="0" t="s">
        <v>77</v>
      </c>
      <c r="P73" s="0" t="s">
        <v>78</v>
      </c>
      <c r="Q73" s="0" t="s">
        <v>79</v>
      </c>
      <c r="R73" s="0" t="s">
        <v>80</v>
      </c>
      <c r="S73" s="0" t="s">
        <v>81</v>
      </c>
      <c r="T73" s="0" t="s">
        <v>82</v>
      </c>
    </row>
    <row r="74" customFormat="false" ht="15" hidden="false" customHeight="false" outlineLevel="0" collapsed="false">
      <c r="A74" s="0" t="str">
        <f aca="false">B74&amp;"|"&amp;C74&amp;"|"&amp;D74&amp;"|"&amp;E74&amp;"|"&amp;F74</f>
        <v>2.8+2512|IR|delta_tenor_corr|1m|1m</v>
      </c>
      <c r="B74" s="0" t="s">
        <v>9</v>
      </c>
      <c r="C74" s="0" t="s">
        <v>68</v>
      </c>
      <c r="D74" s="0" t="s">
        <v>118</v>
      </c>
      <c r="E74" s="0" t="s">
        <v>25</v>
      </c>
      <c r="F74" s="0" t="s">
        <v>25</v>
      </c>
      <c r="G74" s="0" t="n">
        <v>1</v>
      </c>
      <c r="H74" s="0" t="s">
        <v>119</v>
      </c>
      <c r="I74" s="0" t="s">
        <v>72</v>
      </c>
      <c r="J74" s="0" t="s">
        <v>9</v>
      </c>
      <c r="K74" s="0" t="s">
        <v>73</v>
      </c>
      <c r="L74" s="0" t="s">
        <v>120</v>
      </c>
      <c r="M74" s="0" t="s">
        <v>121</v>
      </c>
      <c r="N74" s="0" t="s">
        <v>124</v>
      </c>
      <c r="O74" s="0" t="s">
        <v>77</v>
      </c>
      <c r="P74" s="0" t="s">
        <v>78</v>
      </c>
      <c r="Q74" s="0" t="s">
        <v>79</v>
      </c>
      <c r="R74" s="0" t="s">
        <v>80</v>
      </c>
      <c r="S74" s="0" t="s">
        <v>81</v>
      </c>
      <c r="T74" s="0" t="s">
        <v>123</v>
      </c>
    </row>
    <row r="75" customFormat="false" ht="15" hidden="false" customHeight="false" outlineLevel="0" collapsed="false">
      <c r="A75" s="0" t="str">
        <f aca="false">B75&amp;"|"&amp;C75&amp;"|"&amp;D75&amp;"|"&amp;E75&amp;"|"&amp;F75</f>
        <v>2.8+2512|IR|delta_tenor_corr|1m|3m</v>
      </c>
      <c r="B75" s="0" t="s">
        <v>9</v>
      </c>
      <c r="C75" s="0" t="s">
        <v>68</v>
      </c>
      <c r="D75" s="0" t="s">
        <v>118</v>
      </c>
      <c r="E75" s="0" t="s">
        <v>25</v>
      </c>
      <c r="F75" s="0" t="s">
        <v>26</v>
      </c>
      <c r="G75" s="0" t="n">
        <v>0.85</v>
      </c>
      <c r="H75" s="0" t="s">
        <v>119</v>
      </c>
      <c r="I75" s="0" t="s">
        <v>72</v>
      </c>
      <c r="J75" s="0" t="s">
        <v>9</v>
      </c>
      <c r="K75" s="0" t="s">
        <v>73</v>
      </c>
      <c r="L75" s="0" t="s">
        <v>120</v>
      </c>
      <c r="M75" s="0" t="s">
        <v>121</v>
      </c>
      <c r="N75" s="0" t="s">
        <v>124</v>
      </c>
      <c r="O75" s="0" t="s">
        <v>77</v>
      </c>
      <c r="P75" s="0" t="s">
        <v>78</v>
      </c>
      <c r="Q75" s="0" t="s">
        <v>79</v>
      </c>
      <c r="R75" s="0" t="s">
        <v>80</v>
      </c>
      <c r="S75" s="0" t="s">
        <v>81</v>
      </c>
      <c r="T75" s="0" t="s">
        <v>82</v>
      </c>
    </row>
    <row r="76" customFormat="false" ht="15" hidden="false" customHeight="false" outlineLevel="0" collapsed="false">
      <c r="A76" s="0" t="str">
        <f aca="false">B76&amp;"|"&amp;C76&amp;"|"&amp;D76&amp;"|"&amp;E76&amp;"|"&amp;F76</f>
        <v>2.8+2512|IR|delta_tenor_corr|1m|6m</v>
      </c>
      <c r="B76" s="0" t="s">
        <v>9</v>
      </c>
      <c r="C76" s="0" t="s">
        <v>68</v>
      </c>
      <c r="D76" s="0" t="s">
        <v>118</v>
      </c>
      <c r="E76" s="0" t="s">
        <v>25</v>
      </c>
      <c r="F76" s="0" t="s">
        <v>27</v>
      </c>
      <c r="G76" s="0" t="n">
        <v>0.72</v>
      </c>
      <c r="H76" s="0" t="s">
        <v>119</v>
      </c>
      <c r="I76" s="0" t="s">
        <v>72</v>
      </c>
      <c r="J76" s="0" t="s">
        <v>9</v>
      </c>
      <c r="K76" s="0" t="s">
        <v>73</v>
      </c>
      <c r="L76" s="0" t="s">
        <v>120</v>
      </c>
      <c r="M76" s="0" t="s">
        <v>121</v>
      </c>
      <c r="N76" s="0" t="s">
        <v>124</v>
      </c>
      <c r="O76" s="0" t="s">
        <v>77</v>
      </c>
      <c r="P76" s="0" t="s">
        <v>78</v>
      </c>
      <c r="Q76" s="0" t="s">
        <v>79</v>
      </c>
      <c r="R76" s="0" t="s">
        <v>80</v>
      </c>
      <c r="S76" s="0" t="s">
        <v>81</v>
      </c>
      <c r="T76" s="0" t="s">
        <v>82</v>
      </c>
    </row>
    <row r="77" customFormat="false" ht="15" hidden="false" customHeight="false" outlineLevel="0" collapsed="false">
      <c r="A77" s="0" t="str">
        <f aca="false">B77&amp;"|"&amp;C77&amp;"|"&amp;D77&amp;"|"&amp;E77&amp;"|"&amp;F77</f>
        <v>2.8+2512|IR|delta_tenor_corr|1m|1y</v>
      </c>
      <c r="B77" s="0" t="s">
        <v>9</v>
      </c>
      <c r="C77" s="0" t="s">
        <v>68</v>
      </c>
      <c r="D77" s="0" t="s">
        <v>118</v>
      </c>
      <c r="E77" s="0" t="s">
        <v>25</v>
      </c>
      <c r="F77" s="0" t="s">
        <v>28</v>
      </c>
      <c r="G77" s="0" t="n">
        <v>0.5</v>
      </c>
      <c r="H77" s="0" t="s">
        <v>119</v>
      </c>
      <c r="I77" s="0" t="s">
        <v>72</v>
      </c>
      <c r="J77" s="0" t="s">
        <v>9</v>
      </c>
      <c r="K77" s="0" t="s">
        <v>73</v>
      </c>
      <c r="L77" s="0" t="s">
        <v>120</v>
      </c>
      <c r="M77" s="0" t="s">
        <v>121</v>
      </c>
      <c r="N77" s="0" t="s">
        <v>124</v>
      </c>
      <c r="O77" s="0" t="s">
        <v>77</v>
      </c>
      <c r="P77" s="0" t="s">
        <v>78</v>
      </c>
      <c r="Q77" s="0" t="s">
        <v>79</v>
      </c>
      <c r="R77" s="0" t="s">
        <v>80</v>
      </c>
      <c r="S77" s="0" t="s">
        <v>81</v>
      </c>
      <c r="T77" s="0" t="s">
        <v>82</v>
      </c>
    </row>
    <row r="78" customFormat="false" ht="15" hidden="false" customHeight="false" outlineLevel="0" collapsed="false">
      <c r="A78" s="0" t="str">
        <f aca="false">B78&amp;"|"&amp;C78&amp;"|"&amp;D78&amp;"|"&amp;E78&amp;"|"&amp;F78</f>
        <v>2.8+2512|IR|delta_tenor_corr|1m|2y</v>
      </c>
      <c r="B78" s="0" t="s">
        <v>9</v>
      </c>
      <c r="C78" s="0" t="s">
        <v>68</v>
      </c>
      <c r="D78" s="0" t="s">
        <v>118</v>
      </c>
      <c r="E78" s="0" t="s">
        <v>25</v>
      </c>
      <c r="F78" s="0" t="s">
        <v>29</v>
      </c>
      <c r="G78" s="0" t="n">
        <v>0.36</v>
      </c>
      <c r="H78" s="0" t="s">
        <v>119</v>
      </c>
      <c r="I78" s="0" t="s">
        <v>72</v>
      </c>
      <c r="J78" s="0" t="s">
        <v>9</v>
      </c>
      <c r="K78" s="0" t="s">
        <v>73</v>
      </c>
      <c r="L78" s="0" t="s">
        <v>120</v>
      </c>
      <c r="M78" s="0" t="s">
        <v>121</v>
      </c>
      <c r="N78" s="0" t="s">
        <v>124</v>
      </c>
      <c r="O78" s="0" t="s">
        <v>77</v>
      </c>
      <c r="P78" s="0" t="s">
        <v>78</v>
      </c>
      <c r="Q78" s="0" t="s">
        <v>79</v>
      </c>
      <c r="R78" s="0" t="s">
        <v>80</v>
      </c>
      <c r="S78" s="0" t="s">
        <v>81</v>
      </c>
      <c r="T78" s="0" t="s">
        <v>82</v>
      </c>
    </row>
    <row r="79" customFormat="false" ht="15" hidden="false" customHeight="false" outlineLevel="0" collapsed="false">
      <c r="A79" s="0" t="str">
        <f aca="false">B79&amp;"|"&amp;C79&amp;"|"&amp;D79&amp;"|"&amp;E79&amp;"|"&amp;F79</f>
        <v>2.8+2512|IR|delta_tenor_corr|1m|3y</v>
      </c>
      <c r="B79" s="0" t="s">
        <v>9</v>
      </c>
      <c r="C79" s="0" t="s">
        <v>68</v>
      </c>
      <c r="D79" s="0" t="s">
        <v>118</v>
      </c>
      <c r="E79" s="0" t="s">
        <v>25</v>
      </c>
      <c r="F79" s="0" t="s">
        <v>30</v>
      </c>
      <c r="G79" s="0" t="n">
        <v>0.3</v>
      </c>
      <c r="H79" s="0" t="s">
        <v>119</v>
      </c>
      <c r="I79" s="0" t="s">
        <v>72</v>
      </c>
      <c r="J79" s="0" t="s">
        <v>9</v>
      </c>
      <c r="K79" s="0" t="s">
        <v>73</v>
      </c>
      <c r="L79" s="0" t="s">
        <v>120</v>
      </c>
      <c r="M79" s="0" t="s">
        <v>121</v>
      </c>
      <c r="N79" s="0" t="s">
        <v>124</v>
      </c>
      <c r="O79" s="0" t="s">
        <v>77</v>
      </c>
      <c r="P79" s="0" t="s">
        <v>78</v>
      </c>
      <c r="Q79" s="0" t="s">
        <v>79</v>
      </c>
      <c r="R79" s="0" t="s">
        <v>80</v>
      </c>
      <c r="S79" s="0" t="s">
        <v>81</v>
      </c>
      <c r="T79" s="0" t="s">
        <v>82</v>
      </c>
    </row>
    <row r="80" customFormat="false" ht="15" hidden="false" customHeight="false" outlineLevel="0" collapsed="false">
      <c r="A80" s="0" t="str">
        <f aca="false">B80&amp;"|"&amp;C80&amp;"|"&amp;D80&amp;"|"&amp;E80&amp;"|"&amp;F80</f>
        <v>2.8+2512|IR|delta_tenor_corr|1m|5y</v>
      </c>
      <c r="B80" s="0" t="s">
        <v>9</v>
      </c>
      <c r="C80" s="0" t="s">
        <v>68</v>
      </c>
      <c r="D80" s="0" t="s">
        <v>118</v>
      </c>
      <c r="E80" s="0" t="s">
        <v>25</v>
      </c>
      <c r="F80" s="0" t="s">
        <v>31</v>
      </c>
      <c r="G80" s="0" t="n">
        <v>0.25</v>
      </c>
      <c r="H80" s="0" t="s">
        <v>119</v>
      </c>
      <c r="I80" s="0" t="s">
        <v>72</v>
      </c>
      <c r="J80" s="0" t="s">
        <v>9</v>
      </c>
      <c r="K80" s="0" t="s">
        <v>73</v>
      </c>
      <c r="L80" s="0" t="s">
        <v>120</v>
      </c>
      <c r="M80" s="0" t="s">
        <v>121</v>
      </c>
      <c r="N80" s="0" t="s">
        <v>124</v>
      </c>
      <c r="O80" s="0" t="s">
        <v>77</v>
      </c>
      <c r="P80" s="0" t="s">
        <v>78</v>
      </c>
      <c r="Q80" s="0" t="s">
        <v>79</v>
      </c>
      <c r="R80" s="0" t="s">
        <v>80</v>
      </c>
      <c r="S80" s="0" t="s">
        <v>81</v>
      </c>
      <c r="T80" s="0" t="s">
        <v>82</v>
      </c>
    </row>
    <row r="81" customFormat="false" ht="15" hidden="false" customHeight="false" outlineLevel="0" collapsed="false">
      <c r="A81" s="0" t="str">
        <f aca="false">B81&amp;"|"&amp;C81&amp;"|"&amp;D81&amp;"|"&amp;E81&amp;"|"&amp;F81</f>
        <v>2.8+2512|IR|delta_tenor_corr|1m|10y</v>
      </c>
      <c r="B81" s="0" t="s">
        <v>9</v>
      </c>
      <c r="C81" s="0" t="s">
        <v>68</v>
      </c>
      <c r="D81" s="0" t="s">
        <v>118</v>
      </c>
      <c r="E81" s="0" t="s">
        <v>25</v>
      </c>
      <c r="F81" s="0" t="s">
        <v>32</v>
      </c>
      <c r="G81" s="0" t="n">
        <v>0.2</v>
      </c>
      <c r="H81" s="0" t="s">
        <v>119</v>
      </c>
      <c r="I81" s="0" t="s">
        <v>72</v>
      </c>
      <c r="J81" s="0" t="s">
        <v>9</v>
      </c>
      <c r="K81" s="0" t="s">
        <v>73</v>
      </c>
      <c r="L81" s="0" t="s">
        <v>120</v>
      </c>
      <c r="M81" s="0" t="s">
        <v>121</v>
      </c>
      <c r="N81" s="0" t="s">
        <v>124</v>
      </c>
      <c r="O81" s="0" t="s">
        <v>77</v>
      </c>
      <c r="P81" s="0" t="s">
        <v>78</v>
      </c>
      <c r="Q81" s="0" t="s">
        <v>79</v>
      </c>
      <c r="R81" s="0" t="s">
        <v>80</v>
      </c>
      <c r="S81" s="0" t="s">
        <v>81</v>
      </c>
      <c r="T81" s="0" t="s">
        <v>82</v>
      </c>
    </row>
    <row r="82" customFormat="false" ht="15" hidden="false" customHeight="false" outlineLevel="0" collapsed="false">
      <c r="A82" s="0" t="str">
        <f aca="false">B82&amp;"|"&amp;C82&amp;"|"&amp;D82&amp;"|"&amp;E82&amp;"|"&amp;F82</f>
        <v>2.8+2512|IR|delta_tenor_corr|1m|15y</v>
      </c>
      <c r="B82" s="0" t="s">
        <v>9</v>
      </c>
      <c r="C82" s="0" t="s">
        <v>68</v>
      </c>
      <c r="D82" s="0" t="s">
        <v>118</v>
      </c>
      <c r="E82" s="0" t="s">
        <v>25</v>
      </c>
      <c r="F82" s="0" t="s">
        <v>33</v>
      </c>
      <c r="G82" s="0" t="n">
        <v>0.16</v>
      </c>
      <c r="H82" s="0" t="s">
        <v>119</v>
      </c>
      <c r="I82" s="0" t="s">
        <v>72</v>
      </c>
      <c r="J82" s="0" t="s">
        <v>9</v>
      </c>
      <c r="K82" s="0" t="s">
        <v>73</v>
      </c>
      <c r="L82" s="0" t="s">
        <v>120</v>
      </c>
      <c r="M82" s="0" t="s">
        <v>121</v>
      </c>
      <c r="N82" s="0" t="s">
        <v>124</v>
      </c>
      <c r="O82" s="0" t="s">
        <v>77</v>
      </c>
      <c r="P82" s="0" t="s">
        <v>78</v>
      </c>
      <c r="Q82" s="0" t="s">
        <v>79</v>
      </c>
      <c r="R82" s="0" t="s">
        <v>80</v>
      </c>
      <c r="S82" s="0" t="s">
        <v>81</v>
      </c>
      <c r="T82" s="0" t="s">
        <v>82</v>
      </c>
    </row>
    <row r="83" customFormat="false" ht="15" hidden="false" customHeight="false" outlineLevel="0" collapsed="false">
      <c r="A83" s="0" t="str">
        <f aca="false">B83&amp;"|"&amp;C83&amp;"|"&amp;D83&amp;"|"&amp;E83&amp;"|"&amp;F83</f>
        <v>2.8+2512|IR|delta_tenor_corr|1m|20y</v>
      </c>
      <c r="B83" s="0" t="s">
        <v>9</v>
      </c>
      <c r="C83" s="0" t="s">
        <v>68</v>
      </c>
      <c r="D83" s="0" t="s">
        <v>118</v>
      </c>
      <c r="E83" s="0" t="s">
        <v>25</v>
      </c>
      <c r="F83" s="0" t="s">
        <v>34</v>
      </c>
      <c r="G83" s="0" t="n">
        <v>0.14</v>
      </c>
      <c r="H83" s="0" t="s">
        <v>119</v>
      </c>
      <c r="I83" s="0" t="s">
        <v>72</v>
      </c>
      <c r="J83" s="0" t="s">
        <v>9</v>
      </c>
      <c r="K83" s="0" t="s">
        <v>73</v>
      </c>
      <c r="L83" s="0" t="s">
        <v>120</v>
      </c>
      <c r="M83" s="0" t="s">
        <v>121</v>
      </c>
      <c r="N83" s="0" t="s">
        <v>124</v>
      </c>
      <c r="O83" s="0" t="s">
        <v>77</v>
      </c>
      <c r="P83" s="0" t="s">
        <v>78</v>
      </c>
      <c r="Q83" s="0" t="s">
        <v>79</v>
      </c>
      <c r="R83" s="0" t="s">
        <v>80</v>
      </c>
      <c r="S83" s="0" t="s">
        <v>81</v>
      </c>
      <c r="T83" s="0" t="s">
        <v>82</v>
      </c>
    </row>
    <row r="84" customFormat="false" ht="15" hidden="false" customHeight="false" outlineLevel="0" collapsed="false">
      <c r="A84" s="0" t="str">
        <f aca="false">B84&amp;"|"&amp;C84&amp;"|"&amp;D84&amp;"|"&amp;E84&amp;"|"&amp;F84</f>
        <v>2.8+2512|IR|delta_tenor_corr|1m|30y</v>
      </c>
      <c r="B84" s="0" t="s">
        <v>9</v>
      </c>
      <c r="C84" s="0" t="s">
        <v>68</v>
      </c>
      <c r="D84" s="0" t="s">
        <v>118</v>
      </c>
      <c r="E84" s="0" t="s">
        <v>25</v>
      </c>
      <c r="F84" s="0" t="s">
        <v>35</v>
      </c>
      <c r="G84" s="0" t="n">
        <v>0.14</v>
      </c>
      <c r="H84" s="0" t="s">
        <v>119</v>
      </c>
      <c r="I84" s="0" t="s">
        <v>72</v>
      </c>
      <c r="J84" s="0" t="s">
        <v>9</v>
      </c>
      <c r="K84" s="0" t="s">
        <v>73</v>
      </c>
      <c r="L84" s="0" t="s">
        <v>120</v>
      </c>
      <c r="M84" s="0" t="s">
        <v>121</v>
      </c>
      <c r="N84" s="0" t="s">
        <v>124</v>
      </c>
      <c r="O84" s="0" t="s">
        <v>77</v>
      </c>
      <c r="P84" s="0" t="s">
        <v>78</v>
      </c>
      <c r="Q84" s="0" t="s">
        <v>79</v>
      </c>
      <c r="R84" s="0" t="s">
        <v>80</v>
      </c>
      <c r="S84" s="0" t="s">
        <v>81</v>
      </c>
      <c r="T84" s="0" t="s">
        <v>82</v>
      </c>
    </row>
    <row r="85" customFormat="false" ht="15" hidden="false" customHeight="false" outlineLevel="0" collapsed="false">
      <c r="A85" s="0" t="str">
        <f aca="false">B85&amp;"|"&amp;C85&amp;"|"&amp;D85&amp;"|"&amp;E85&amp;"|"&amp;F85</f>
        <v>2.8+2512|IR|delta_tenor_corr|3m|2w</v>
      </c>
      <c r="B85" s="0" t="s">
        <v>9</v>
      </c>
      <c r="C85" s="0" t="s">
        <v>68</v>
      </c>
      <c r="D85" s="0" t="s">
        <v>118</v>
      </c>
      <c r="E85" s="0" t="s">
        <v>26</v>
      </c>
      <c r="F85" s="0" t="s">
        <v>24</v>
      </c>
      <c r="G85" s="0" t="n">
        <v>0.65</v>
      </c>
      <c r="H85" s="0" t="s">
        <v>119</v>
      </c>
      <c r="I85" s="0" t="s">
        <v>72</v>
      </c>
      <c r="J85" s="0" t="s">
        <v>9</v>
      </c>
      <c r="K85" s="0" t="s">
        <v>73</v>
      </c>
      <c r="L85" s="0" t="s">
        <v>120</v>
      </c>
      <c r="M85" s="0" t="s">
        <v>121</v>
      </c>
      <c r="N85" s="0" t="s">
        <v>125</v>
      </c>
      <c r="O85" s="0" t="s">
        <v>77</v>
      </c>
      <c r="P85" s="0" t="s">
        <v>78</v>
      </c>
      <c r="Q85" s="0" t="s">
        <v>79</v>
      </c>
      <c r="R85" s="0" t="s">
        <v>80</v>
      </c>
      <c r="S85" s="0" t="s">
        <v>81</v>
      </c>
      <c r="T85" s="0" t="s">
        <v>82</v>
      </c>
    </row>
    <row r="86" customFormat="false" ht="15" hidden="false" customHeight="false" outlineLevel="0" collapsed="false">
      <c r="A86" s="0" t="str">
        <f aca="false">B86&amp;"|"&amp;C86&amp;"|"&amp;D86&amp;"|"&amp;E86&amp;"|"&amp;F86</f>
        <v>2.8+2512|IR|delta_tenor_corr|3m|1m</v>
      </c>
      <c r="B86" s="0" t="s">
        <v>9</v>
      </c>
      <c r="C86" s="0" t="s">
        <v>68</v>
      </c>
      <c r="D86" s="0" t="s">
        <v>118</v>
      </c>
      <c r="E86" s="0" t="s">
        <v>26</v>
      </c>
      <c r="F86" s="0" t="s">
        <v>25</v>
      </c>
      <c r="G86" s="0" t="n">
        <v>0.85</v>
      </c>
      <c r="H86" s="0" t="s">
        <v>119</v>
      </c>
      <c r="I86" s="0" t="s">
        <v>72</v>
      </c>
      <c r="J86" s="0" t="s">
        <v>9</v>
      </c>
      <c r="K86" s="0" t="s">
        <v>73</v>
      </c>
      <c r="L86" s="0" t="s">
        <v>120</v>
      </c>
      <c r="M86" s="0" t="s">
        <v>121</v>
      </c>
      <c r="N86" s="0" t="s">
        <v>125</v>
      </c>
      <c r="O86" s="0" t="s">
        <v>77</v>
      </c>
      <c r="P86" s="0" t="s">
        <v>78</v>
      </c>
      <c r="Q86" s="0" t="s">
        <v>79</v>
      </c>
      <c r="R86" s="0" t="s">
        <v>80</v>
      </c>
      <c r="S86" s="0" t="s">
        <v>81</v>
      </c>
      <c r="T86" s="0" t="s">
        <v>82</v>
      </c>
    </row>
    <row r="87" customFormat="false" ht="15" hidden="false" customHeight="false" outlineLevel="0" collapsed="false">
      <c r="A87" s="0" t="str">
        <f aca="false">B87&amp;"|"&amp;C87&amp;"|"&amp;D87&amp;"|"&amp;E87&amp;"|"&amp;F87</f>
        <v>2.8+2512|IR|delta_tenor_corr|3m|3m</v>
      </c>
      <c r="B87" s="0" t="s">
        <v>9</v>
      </c>
      <c r="C87" s="0" t="s">
        <v>68</v>
      </c>
      <c r="D87" s="0" t="s">
        <v>118</v>
      </c>
      <c r="E87" s="0" t="s">
        <v>26</v>
      </c>
      <c r="F87" s="0" t="s">
        <v>26</v>
      </c>
      <c r="G87" s="0" t="n">
        <v>1</v>
      </c>
      <c r="H87" s="0" t="s">
        <v>119</v>
      </c>
      <c r="I87" s="0" t="s">
        <v>72</v>
      </c>
      <c r="J87" s="0" t="s">
        <v>9</v>
      </c>
      <c r="K87" s="0" t="s">
        <v>73</v>
      </c>
      <c r="L87" s="0" t="s">
        <v>120</v>
      </c>
      <c r="M87" s="0" t="s">
        <v>121</v>
      </c>
      <c r="N87" s="0" t="s">
        <v>125</v>
      </c>
      <c r="O87" s="0" t="s">
        <v>77</v>
      </c>
      <c r="P87" s="0" t="s">
        <v>78</v>
      </c>
      <c r="Q87" s="0" t="s">
        <v>79</v>
      </c>
      <c r="R87" s="0" t="s">
        <v>80</v>
      </c>
      <c r="S87" s="0" t="s">
        <v>81</v>
      </c>
      <c r="T87" s="0" t="s">
        <v>123</v>
      </c>
    </row>
    <row r="88" customFormat="false" ht="15" hidden="false" customHeight="false" outlineLevel="0" collapsed="false">
      <c r="A88" s="0" t="str">
        <f aca="false">B88&amp;"|"&amp;C88&amp;"|"&amp;D88&amp;"|"&amp;E88&amp;"|"&amp;F88</f>
        <v>2.8+2512|IR|delta_tenor_corr|3m|6m</v>
      </c>
      <c r="B88" s="0" t="s">
        <v>9</v>
      </c>
      <c r="C88" s="0" t="s">
        <v>68</v>
      </c>
      <c r="D88" s="0" t="s">
        <v>118</v>
      </c>
      <c r="E88" s="0" t="s">
        <v>26</v>
      </c>
      <c r="F88" s="0" t="s">
        <v>27</v>
      </c>
      <c r="G88" s="0" t="n">
        <v>0.9</v>
      </c>
      <c r="H88" s="0" t="s">
        <v>119</v>
      </c>
      <c r="I88" s="0" t="s">
        <v>72</v>
      </c>
      <c r="J88" s="0" t="s">
        <v>9</v>
      </c>
      <c r="K88" s="0" t="s">
        <v>73</v>
      </c>
      <c r="L88" s="0" t="s">
        <v>120</v>
      </c>
      <c r="M88" s="0" t="s">
        <v>121</v>
      </c>
      <c r="N88" s="0" t="s">
        <v>125</v>
      </c>
      <c r="O88" s="0" t="s">
        <v>77</v>
      </c>
      <c r="P88" s="0" t="s">
        <v>78</v>
      </c>
      <c r="Q88" s="0" t="s">
        <v>79</v>
      </c>
      <c r="R88" s="0" t="s">
        <v>80</v>
      </c>
      <c r="S88" s="0" t="s">
        <v>81</v>
      </c>
      <c r="T88" s="0" t="s">
        <v>82</v>
      </c>
    </row>
    <row r="89" customFormat="false" ht="15" hidden="false" customHeight="false" outlineLevel="0" collapsed="false">
      <c r="A89" s="0" t="str">
        <f aca="false">B89&amp;"|"&amp;C89&amp;"|"&amp;D89&amp;"|"&amp;E89&amp;"|"&amp;F89</f>
        <v>2.8+2512|IR|delta_tenor_corr|3m|1y</v>
      </c>
      <c r="B89" s="0" t="s">
        <v>9</v>
      </c>
      <c r="C89" s="0" t="s">
        <v>68</v>
      </c>
      <c r="D89" s="0" t="s">
        <v>118</v>
      </c>
      <c r="E89" s="0" t="s">
        <v>26</v>
      </c>
      <c r="F89" s="0" t="s">
        <v>28</v>
      </c>
      <c r="G89" s="0" t="n">
        <v>0.69</v>
      </c>
      <c r="H89" s="0" t="s">
        <v>119</v>
      </c>
      <c r="I89" s="0" t="s">
        <v>72</v>
      </c>
      <c r="J89" s="0" t="s">
        <v>9</v>
      </c>
      <c r="K89" s="0" t="s">
        <v>73</v>
      </c>
      <c r="L89" s="0" t="s">
        <v>120</v>
      </c>
      <c r="M89" s="0" t="s">
        <v>121</v>
      </c>
      <c r="N89" s="0" t="s">
        <v>125</v>
      </c>
      <c r="O89" s="0" t="s">
        <v>77</v>
      </c>
      <c r="P89" s="0" t="s">
        <v>78</v>
      </c>
      <c r="Q89" s="0" t="s">
        <v>79</v>
      </c>
      <c r="R89" s="0" t="s">
        <v>80</v>
      </c>
      <c r="S89" s="0" t="s">
        <v>81</v>
      </c>
      <c r="T89" s="0" t="s">
        <v>82</v>
      </c>
    </row>
    <row r="90" customFormat="false" ht="15" hidden="false" customHeight="false" outlineLevel="0" collapsed="false">
      <c r="A90" s="0" t="str">
        <f aca="false">B90&amp;"|"&amp;C90&amp;"|"&amp;D90&amp;"|"&amp;E90&amp;"|"&amp;F90</f>
        <v>2.8+2512|IR|delta_tenor_corr|3m|2y</v>
      </c>
      <c r="B90" s="0" t="s">
        <v>9</v>
      </c>
      <c r="C90" s="0" t="s">
        <v>68</v>
      </c>
      <c r="D90" s="0" t="s">
        <v>118</v>
      </c>
      <c r="E90" s="0" t="s">
        <v>26</v>
      </c>
      <c r="F90" s="0" t="s">
        <v>29</v>
      </c>
      <c r="G90" s="0" t="n">
        <v>0.53</v>
      </c>
      <c r="H90" s="0" t="s">
        <v>119</v>
      </c>
      <c r="I90" s="0" t="s">
        <v>72</v>
      </c>
      <c r="J90" s="0" t="s">
        <v>9</v>
      </c>
      <c r="K90" s="0" t="s">
        <v>73</v>
      </c>
      <c r="L90" s="0" t="s">
        <v>120</v>
      </c>
      <c r="M90" s="0" t="s">
        <v>121</v>
      </c>
      <c r="N90" s="0" t="s">
        <v>125</v>
      </c>
      <c r="O90" s="0" t="s">
        <v>77</v>
      </c>
      <c r="P90" s="0" t="s">
        <v>78</v>
      </c>
      <c r="Q90" s="0" t="s">
        <v>79</v>
      </c>
      <c r="R90" s="0" t="s">
        <v>80</v>
      </c>
      <c r="S90" s="0" t="s">
        <v>81</v>
      </c>
      <c r="T90" s="0" t="s">
        <v>82</v>
      </c>
    </row>
    <row r="91" customFormat="false" ht="15" hidden="false" customHeight="false" outlineLevel="0" collapsed="false">
      <c r="A91" s="0" t="str">
        <f aca="false">B91&amp;"|"&amp;C91&amp;"|"&amp;D91&amp;"|"&amp;E91&amp;"|"&amp;F91</f>
        <v>2.8+2512|IR|delta_tenor_corr|3m|3y</v>
      </c>
      <c r="B91" s="0" t="s">
        <v>9</v>
      </c>
      <c r="C91" s="0" t="s">
        <v>68</v>
      </c>
      <c r="D91" s="0" t="s">
        <v>118</v>
      </c>
      <c r="E91" s="0" t="s">
        <v>26</v>
      </c>
      <c r="F91" s="0" t="s">
        <v>30</v>
      </c>
      <c r="G91" s="0" t="n">
        <v>0.46</v>
      </c>
      <c r="H91" s="0" t="s">
        <v>119</v>
      </c>
      <c r="I91" s="0" t="s">
        <v>72</v>
      </c>
      <c r="J91" s="0" t="s">
        <v>9</v>
      </c>
      <c r="K91" s="0" t="s">
        <v>73</v>
      </c>
      <c r="L91" s="0" t="s">
        <v>120</v>
      </c>
      <c r="M91" s="0" t="s">
        <v>121</v>
      </c>
      <c r="N91" s="0" t="s">
        <v>125</v>
      </c>
      <c r="O91" s="0" t="s">
        <v>77</v>
      </c>
      <c r="P91" s="0" t="s">
        <v>78</v>
      </c>
      <c r="Q91" s="0" t="s">
        <v>79</v>
      </c>
      <c r="R91" s="0" t="s">
        <v>80</v>
      </c>
      <c r="S91" s="0" t="s">
        <v>81</v>
      </c>
      <c r="T91" s="0" t="s">
        <v>82</v>
      </c>
    </row>
    <row r="92" customFormat="false" ht="15" hidden="false" customHeight="false" outlineLevel="0" collapsed="false">
      <c r="A92" s="0" t="str">
        <f aca="false">B92&amp;"|"&amp;C92&amp;"|"&amp;D92&amp;"|"&amp;E92&amp;"|"&amp;F92</f>
        <v>2.8+2512|IR|delta_tenor_corr|3m|5y</v>
      </c>
      <c r="B92" s="0" t="s">
        <v>9</v>
      </c>
      <c r="C92" s="0" t="s">
        <v>68</v>
      </c>
      <c r="D92" s="0" t="s">
        <v>118</v>
      </c>
      <c r="E92" s="0" t="s">
        <v>26</v>
      </c>
      <c r="F92" s="0" t="s">
        <v>31</v>
      </c>
      <c r="G92" s="0" t="n">
        <v>0.4</v>
      </c>
      <c r="H92" s="0" t="s">
        <v>119</v>
      </c>
      <c r="I92" s="0" t="s">
        <v>72</v>
      </c>
      <c r="J92" s="0" t="s">
        <v>9</v>
      </c>
      <c r="K92" s="0" t="s">
        <v>73</v>
      </c>
      <c r="L92" s="0" t="s">
        <v>120</v>
      </c>
      <c r="M92" s="0" t="s">
        <v>121</v>
      </c>
      <c r="N92" s="0" t="s">
        <v>125</v>
      </c>
      <c r="O92" s="0" t="s">
        <v>77</v>
      </c>
      <c r="P92" s="0" t="s">
        <v>78</v>
      </c>
      <c r="Q92" s="0" t="s">
        <v>79</v>
      </c>
      <c r="R92" s="0" t="s">
        <v>80</v>
      </c>
      <c r="S92" s="0" t="s">
        <v>81</v>
      </c>
      <c r="T92" s="0" t="s">
        <v>82</v>
      </c>
    </row>
    <row r="93" customFormat="false" ht="15" hidden="false" customHeight="false" outlineLevel="0" collapsed="false">
      <c r="A93" s="0" t="str">
        <f aca="false">B93&amp;"|"&amp;C93&amp;"|"&amp;D93&amp;"|"&amp;E93&amp;"|"&amp;F93</f>
        <v>2.8+2512|IR|delta_tenor_corr|3m|10y</v>
      </c>
      <c r="B93" s="0" t="s">
        <v>9</v>
      </c>
      <c r="C93" s="0" t="s">
        <v>68</v>
      </c>
      <c r="D93" s="0" t="s">
        <v>118</v>
      </c>
      <c r="E93" s="0" t="s">
        <v>26</v>
      </c>
      <c r="F93" s="0" t="s">
        <v>32</v>
      </c>
      <c r="G93" s="0" t="n">
        <v>0.34</v>
      </c>
      <c r="H93" s="0" t="s">
        <v>119</v>
      </c>
      <c r="I93" s="0" t="s">
        <v>72</v>
      </c>
      <c r="J93" s="0" t="s">
        <v>9</v>
      </c>
      <c r="K93" s="0" t="s">
        <v>73</v>
      </c>
      <c r="L93" s="0" t="s">
        <v>120</v>
      </c>
      <c r="M93" s="0" t="s">
        <v>121</v>
      </c>
      <c r="N93" s="0" t="s">
        <v>125</v>
      </c>
      <c r="O93" s="0" t="s">
        <v>77</v>
      </c>
      <c r="P93" s="0" t="s">
        <v>78</v>
      </c>
      <c r="Q93" s="0" t="s">
        <v>79</v>
      </c>
      <c r="R93" s="0" t="s">
        <v>80</v>
      </c>
      <c r="S93" s="0" t="s">
        <v>81</v>
      </c>
      <c r="T93" s="0" t="s">
        <v>82</v>
      </c>
    </row>
    <row r="94" customFormat="false" ht="15" hidden="false" customHeight="false" outlineLevel="0" collapsed="false">
      <c r="A94" s="0" t="str">
        <f aca="false">B94&amp;"|"&amp;C94&amp;"|"&amp;D94&amp;"|"&amp;E94&amp;"|"&amp;F94</f>
        <v>2.8+2512|IR|delta_tenor_corr|3m|15y</v>
      </c>
      <c r="B94" s="0" t="s">
        <v>9</v>
      </c>
      <c r="C94" s="0" t="s">
        <v>68</v>
      </c>
      <c r="D94" s="0" t="s">
        <v>118</v>
      </c>
      <c r="E94" s="0" t="s">
        <v>26</v>
      </c>
      <c r="F94" s="0" t="s">
        <v>33</v>
      </c>
      <c r="G94" s="0" t="n">
        <v>0.27</v>
      </c>
      <c r="H94" s="0" t="s">
        <v>119</v>
      </c>
      <c r="I94" s="0" t="s">
        <v>72</v>
      </c>
      <c r="J94" s="0" t="s">
        <v>9</v>
      </c>
      <c r="K94" s="0" t="s">
        <v>73</v>
      </c>
      <c r="L94" s="0" t="s">
        <v>120</v>
      </c>
      <c r="M94" s="0" t="s">
        <v>121</v>
      </c>
      <c r="N94" s="0" t="s">
        <v>125</v>
      </c>
      <c r="O94" s="0" t="s">
        <v>77</v>
      </c>
      <c r="P94" s="0" t="s">
        <v>78</v>
      </c>
      <c r="Q94" s="0" t="s">
        <v>79</v>
      </c>
      <c r="R94" s="0" t="s">
        <v>80</v>
      </c>
      <c r="S94" s="0" t="s">
        <v>81</v>
      </c>
      <c r="T94" s="0" t="s">
        <v>82</v>
      </c>
    </row>
    <row r="95" customFormat="false" ht="15" hidden="false" customHeight="false" outlineLevel="0" collapsed="false">
      <c r="A95" s="0" t="str">
        <f aca="false">B95&amp;"|"&amp;C95&amp;"|"&amp;D95&amp;"|"&amp;E95&amp;"|"&amp;F95</f>
        <v>2.8+2512|IR|delta_tenor_corr|3m|20y</v>
      </c>
      <c r="B95" s="0" t="s">
        <v>9</v>
      </c>
      <c r="C95" s="0" t="s">
        <v>68</v>
      </c>
      <c r="D95" s="0" t="s">
        <v>118</v>
      </c>
      <c r="E95" s="0" t="s">
        <v>26</v>
      </c>
      <c r="F95" s="0" t="s">
        <v>34</v>
      </c>
      <c r="G95" s="0" t="n">
        <v>0.25</v>
      </c>
      <c r="H95" s="0" t="s">
        <v>119</v>
      </c>
      <c r="I95" s="0" t="s">
        <v>72</v>
      </c>
      <c r="J95" s="0" t="s">
        <v>9</v>
      </c>
      <c r="K95" s="0" t="s">
        <v>73</v>
      </c>
      <c r="L95" s="0" t="s">
        <v>120</v>
      </c>
      <c r="M95" s="0" t="s">
        <v>121</v>
      </c>
      <c r="N95" s="0" t="s">
        <v>125</v>
      </c>
      <c r="O95" s="0" t="s">
        <v>77</v>
      </c>
      <c r="P95" s="0" t="s">
        <v>78</v>
      </c>
      <c r="Q95" s="0" t="s">
        <v>79</v>
      </c>
      <c r="R95" s="0" t="s">
        <v>80</v>
      </c>
      <c r="S95" s="0" t="s">
        <v>81</v>
      </c>
      <c r="T95" s="0" t="s">
        <v>82</v>
      </c>
    </row>
    <row r="96" customFormat="false" ht="15" hidden="false" customHeight="false" outlineLevel="0" collapsed="false">
      <c r="A96" s="0" t="str">
        <f aca="false">B96&amp;"|"&amp;C96&amp;"|"&amp;D96&amp;"|"&amp;E96&amp;"|"&amp;F96</f>
        <v>2.8+2512|IR|delta_tenor_corr|3m|30y</v>
      </c>
      <c r="B96" s="0" t="s">
        <v>9</v>
      </c>
      <c r="C96" s="0" t="s">
        <v>68</v>
      </c>
      <c r="D96" s="0" t="s">
        <v>118</v>
      </c>
      <c r="E96" s="0" t="s">
        <v>26</v>
      </c>
      <c r="F96" s="0" t="s">
        <v>35</v>
      </c>
      <c r="G96" s="0" t="n">
        <v>0.25</v>
      </c>
      <c r="H96" s="0" t="s">
        <v>119</v>
      </c>
      <c r="I96" s="0" t="s">
        <v>72</v>
      </c>
      <c r="J96" s="0" t="s">
        <v>9</v>
      </c>
      <c r="K96" s="0" t="s">
        <v>73</v>
      </c>
      <c r="L96" s="0" t="s">
        <v>120</v>
      </c>
      <c r="M96" s="0" t="s">
        <v>121</v>
      </c>
      <c r="N96" s="0" t="s">
        <v>125</v>
      </c>
      <c r="O96" s="0" t="s">
        <v>77</v>
      </c>
      <c r="P96" s="0" t="s">
        <v>78</v>
      </c>
      <c r="Q96" s="0" t="s">
        <v>79</v>
      </c>
      <c r="R96" s="0" t="s">
        <v>80</v>
      </c>
      <c r="S96" s="0" t="s">
        <v>81</v>
      </c>
      <c r="T96" s="0" t="s">
        <v>82</v>
      </c>
    </row>
    <row r="97" customFormat="false" ht="15" hidden="false" customHeight="false" outlineLevel="0" collapsed="false">
      <c r="A97" s="0" t="str">
        <f aca="false">B97&amp;"|"&amp;C97&amp;"|"&amp;D97&amp;"|"&amp;E97&amp;"|"&amp;F97</f>
        <v>2.8+2512|IR|delta_tenor_corr|6m|2w</v>
      </c>
      <c r="B97" s="0" t="s">
        <v>9</v>
      </c>
      <c r="C97" s="0" t="s">
        <v>68</v>
      </c>
      <c r="D97" s="0" t="s">
        <v>118</v>
      </c>
      <c r="E97" s="0" t="s">
        <v>27</v>
      </c>
      <c r="F97" s="0" t="s">
        <v>24</v>
      </c>
      <c r="G97" s="0" t="n">
        <v>0.54</v>
      </c>
      <c r="H97" s="0" t="s">
        <v>119</v>
      </c>
      <c r="I97" s="0" t="s">
        <v>72</v>
      </c>
      <c r="J97" s="0" t="s">
        <v>9</v>
      </c>
      <c r="K97" s="0" t="s">
        <v>73</v>
      </c>
      <c r="L97" s="0" t="s">
        <v>120</v>
      </c>
      <c r="M97" s="0" t="s">
        <v>121</v>
      </c>
      <c r="N97" s="0" t="s">
        <v>126</v>
      </c>
      <c r="O97" s="0" t="s">
        <v>77</v>
      </c>
      <c r="P97" s="0" t="s">
        <v>78</v>
      </c>
      <c r="Q97" s="0" t="s">
        <v>79</v>
      </c>
      <c r="R97" s="0" t="s">
        <v>80</v>
      </c>
      <c r="S97" s="0" t="s">
        <v>81</v>
      </c>
      <c r="T97" s="0" t="s">
        <v>82</v>
      </c>
    </row>
    <row r="98" customFormat="false" ht="15" hidden="false" customHeight="false" outlineLevel="0" collapsed="false">
      <c r="A98" s="0" t="str">
        <f aca="false">B98&amp;"|"&amp;C98&amp;"|"&amp;D98&amp;"|"&amp;E98&amp;"|"&amp;F98</f>
        <v>2.8+2512|IR|delta_tenor_corr|6m|1m</v>
      </c>
      <c r="B98" s="0" t="s">
        <v>9</v>
      </c>
      <c r="C98" s="0" t="s">
        <v>68</v>
      </c>
      <c r="D98" s="0" t="s">
        <v>118</v>
      </c>
      <c r="E98" s="0" t="s">
        <v>27</v>
      </c>
      <c r="F98" s="0" t="s">
        <v>25</v>
      </c>
      <c r="G98" s="0" t="n">
        <v>0.72</v>
      </c>
      <c r="H98" s="0" t="s">
        <v>119</v>
      </c>
      <c r="I98" s="0" t="s">
        <v>72</v>
      </c>
      <c r="J98" s="0" t="s">
        <v>9</v>
      </c>
      <c r="K98" s="0" t="s">
        <v>73</v>
      </c>
      <c r="L98" s="0" t="s">
        <v>120</v>
      </c>
      <c r="M98" s="0" t="s">
        <v>121</v>
      </c>
      <c r="N98" s="0" t="s">
        <v>126</v>
      </c>
      <c r="O98" s="0" t="s">
        <v>77</v>
      </c>
      <c r="P98" s="0" t="s">
        <v>78</v>
      </c>
      <c r="Q98" s="0" t="s">
        <v>79</v>
      </c>
      <c r="R98" s="0" t="s">
        <v>80</v>
      </c>
      <c r="S98" s="0" t="s">
        <v>81</v>
      </c>
      <c r="T98" s="0" t="s">
        <v>82</v>
      </c>
    </row>
    <row r="99" customFormat="false" ht="15" hidden="false" customHeight="false" outlineLevel="0" collapsed="false">
      <c r="A99" s="0" t="str">
        <f aca="false">B99&amp;"|"&amp;C99&amp;"|"&amp;D99&amp;"|"&amp;E99&amp;"|"&amp;F99</f>
        <v>2.8+2512|IR|delta_tenor_corr|6m|3m</v>
      </c>
      <c r="B99" s="0" t="s">
        <v>9</v>
      </c>
      <c r="C99" s="0" t="s">
        <v>68</v>
      </c>
      <c r="D99" s="0" t="s">
        <v>118</v>
      </c>
      <c r="E99" s="0" t="s">
        <v>27</v>
      </c>
      <c r="F99" s="0" t="s">
        <v>26</v>
      </c>
      <c r="G99" s="0" t="n">
        <v>0.9</v>
      </c>
      <c r="H99" s="0" t="s">
        <v>119</v>
      </c>
      <c r="I99" s="0" t="s">
        <v>72</v>
      </c>
      <c r="J99" s="0" t="s">
        <v>9</v>
      </c>
      <c r="K99" s="0" t="s">
        <v>73</v>
      </c>
      <c r="L99" s="0" t="s">
        <v>120</v>
      </c>
      <c r="M99" s="0" t="s">
        <v>121</v>
      </c>
      <c r="N99" s="0" t="s">
        <v>126</v>
      </c>
      <c r="O99" s="0" t="s">
        <v>77</v>
      </c>
      <c r="P99" s="0" t="s">
        <v>78</v>
      </c>
      <c r="Q99" s="0" t="s">
        <v>79</v>
      </c>
      <c r="R99" s="0" t="s">
        <v>80</v>
      </c>
      <c r="S99" s="0" t="s">
        <v>81</v>
      </c>
      <c r="T99" s="0" t="s">
        <v>82</v>
      </c>
    </row>
    <row r="100" customFormat="false" ht="15" hidden="false" customHeight="false" outlineLevel="0" collapsed="false">
      <c r="A100" s="0" t="str">
        <f aca="false">B100&amp;"|"&amp;C100&amp;"|"&amp;D100&amp;"|"&amp;E100&amp;"|"&amp;F100</f>
        <v>2.8+2512|IR|delta_tenor_corr|6m|6m</v>
      </c>
      <c r="B100" s="0" t="s">
        <v>9</v>
      </c>
      <c r="C100" s="0" t="s">
        <v>68</v>
      </c>
      <c r="D100" s="0" t="s">
        <v>118</v>
      </c>
      <c r="E100" s="0" t="s">
        <v>27</v>
      </c>
      <c r="F100" s="0" t="s">
        <v>27</v>
      </c>
      <c r="G100" s="0" t="n">
        <v>1</v>
      </c>
      <c r="H100" s="0" t="s">
        <v>119</v>
      </c>
      <c r="I100" s="0" t="s">
        <v>72</v>
      </c>
      <c r="J100" s="0" t="s">
        <v>9</v>
      </c>
      <c r="K100" s="0" t="s">
        <v>73</v>
      </c>
      <c r="L100" s="0" t="s">
        <v>120</v>
      </c>
      <c r="M100" s="0" t="s">
        <v>121</v>
      </c>
      <c r="N100" s="0" t="s">
        <v>126</v>
      </c>
      <c r="O100" s="0" t="s">
        <v>77</v>
      </c>
      <c r="P100" s="0" t="s">
        <v>78</v>
      </c>
      <c r="Q100" s="0" t="s">
        <v>79</v>
      </c>
      <c r="R100" s="0" t="s">
        <v>80</v>
      </c>
      <c r="S100" s="0" t="s">
        <v>81</v>
      </c>
      <c r="T100" s="0" t="s">
        <v>123</v>
      </c>
    </row>
    <row r="101" customFormat="false" ht="15" hidden="false" customHeight="false" outlineLevel="0" collapsed="false">
      <c r="A101" s="0" t="str">
        <f aca="false">B101&amp;"|"&amp;C101&amp;"|"&amp;D101&amp;"|"&amp;E101&amp;"|"&amp;F101</f>
        <v>2.8+2512|IR|delta_tenor_corr|6m|1y</v>
      </c>
      <c r="B101" s="0" t="s">
        <v>9</v>
      </c>
      <c r="C101" s="0" t="s">
        <v>68</v>
      </c>
      <c r="D101" s="0" t="s">
        <v>118</v>
      </c>
      <c r="E101" s="0" t="s">
        <v>27</v>
      </c>
      <c r="F101" s="0" t="s">
        <v>28</v>
      </c>
      <c r="G101" s="0" t="n">
        <v>0.86</v>
      </c>
      <c r="H101" s="0" t="s">
        <v>119</v>
      </c>
      <c r="I101" s="0" t="s">
        <v>72</v>
      </c>
      <c r="J101" s="0" t="s">
        <v>9</v>
      </c>
      <c r="K101" s="0" t="s">
        <v>73</v>
      </c>
      <c r="L101" s="0" t="s">
        <v>120</v>
      </c>
      <c r="M101" s="0" t="s">
        <v>121</v>
      </c>
      <c r="N101" s="0" t="s">
        <v>126</v>
      </c>
      <c r="O101" s="0" t="s">
        <v>77</v>
      </c>
      <c r="P101" s="0" t="s">
        <v>78</v>
      </c>
      <c r="Q101" s="0" t="s">
        <v>79</v>
      </c>
      <c r="R101" s="0" t="s">
        <v>80</v>
      </c>
      <c r="S101" s="0" t="s">
        <v>81</v>
      </c>
      <c r="T101" s="0" t="s">
        <v>82</v>
      </c>
    </row>
    <row r="102" customFormat="false" ht="15" hidden="false" customHeight="false" outlineLevel="0" collapsed="false">
      <c r="A102" s="0" t="str">
        <f aca="false">B102&amp;"|"&amp;C102&amp;"|"&amp;D102&amp;"|"&amp;E102&amp;"|"&amp;F102</f>
        <v>2.8+2512|IR|delta_tenor_corr|6m|2y</v>
      </c>
      <c r="B102" s="0" t="s">
        <v>9</v>
      </c>
      <c r="C102" s="0" t="s">
        <v>68</v>
      </c>
      <c r="D102" s="0" t="s">
        <v>118</v>
      </c>
      <c r="E102" s="0" t="s">
        <v>27</v>
      </c>
      <c r="F102" s="0" t="s">
        <v>29</v>
      </c>
      <c r="G102" s="0" t="n">
        <v>0.73</v>
      </c>
      <c r="H102" s="0" t="s">
        <v>119</v>
      </c>
      <c r="I102" s="0" t="s">
        <v>72</v>
      </c>
      <c r="J102" s="0" t="s">
        <v>9</v>
      </c>
      <c r="K102" s="0" t="s">
        <v>73</v>
      </c>
      <c r="L102" s="0" t="s">
        <v>120</v>
      </c>
      <c r="M102" s="0" t="s">
        <v>121</v>
      </c>
      <c r="N102" s="0" t="s">
        <v>126</v>
      </c>
      <c r="O102" s="0" t="s">
        <v>77</v>
      </c>
      <c r="P102" s="0" t="s">
        <v>78</v>
      </c>
      <c r="Q102" s="0" t="s">
        <v>79</v>
      </c>
      <c r="R102" s="0" t="s">
        <v>80</v>
      </c>
      <c r="S102" s="0" t="s">
        <v>81</v>
      </c>
      <c r="T102" s="0" t="s">
        <v>82</v>
      </c>
    </row>
    <row r="103" customFormat="false" ht="15" hidden="false" customHeight="false" outlineLevel="0" collapsed="false">
      <c r="A103" s="0" t="str">
        <f aca="false">B103&amp;"|"&amp;C103&amp;"|"&amp;D103&amp;"|"&amp;E103&amp;"|"&amp;F103</f>
        <v>2.8+2512|IR|delta_tenor_corr|6m|3y</v>
      </c>
      <c r="B103" s="0" t="s">
        <v>9</v>
      </c>
      <c r="C103" s="0" t="s">
        <v>68</v>
      </c>
      <c r="D103" s="0" t="s">
        <v>118</v>
      </c>
      <c r="E103" s="0" t="s">
        <v>27</v>
      </c>
      <c r="F103" s="0" t="s">
        <v>30</v>
      </c>
      <c r="G103" s="0" t="n">
        <v>0.65</v>
      </c>
      <c r="H103" s="0" t="s">
        <v>119</v>
      </c>
      <c r="I103" s="0" t="s">
        <v>72</v>
      </c>
      <c r="J103" s="0" t="s">
        <v>9</v>
      </c>
      <c r="K103" s="0" t="s">
        <v>73</v>
      </c>
      <c r="L103" s="0" t="s">
        <v>120</v>
      </c>
      <c r="M103" s="0" t="s">
        <v>121</v>
      </c>
      <c r="N103" s="0" t="s">
        <v>126</v>
      </c>
      <c r="O103" s="0" t="s">
        <v>77</v>
      </c>
      <c r="P103" s="0" t="s">
        <v>78</v>
      </c>
      <c r="Q103" s="0" t="s">
        <v>79</v>
      </c>
      <c r="R103" s="0" t="s">
        <v>80</v>
      </c>
      <c r="S103" s="0" t="s">
        <v>81</v>
      </c>
      <c r="T103" s="0" t="s">
        <v>82</v>
      </c>
    </row>
    <row r="104" customFormat="false" ht="15" hidden="false" customHeight="false" outlineLevel="0" collapsed="false">
      <c r="A104" s="0" t="str">
        <f aca="false">B104&amp;"|"&amp;C104&amp;"|"&amp;D104&amp;"|"&amp;E104&amp;"|"&amp;F104</f>
        <v>2.8+2512|IR|delta_tenor_corr|6m|5y</v>
      </c>
      <c r="B104" s="0" t="s">
        <v>9</v>
      </c>
      <c r="C104" s="0" t="s">
        <v>68</v>
      </c>
      <c r="D104" s="0" t="s">
        <v>118</v>
      </c>
      <c r="E104" s="0" t="s">
        <v>27</v>
      </c>
      <c r="F104" s="0" t="s">
        <v>31</v>
      </c>
      <c r="G104" s="0" t="n">
        <v>0.58</v>
      </c>
      <c r="H104" s="0" t="s">
        <v>119</v>
      </c>
      <c r="I104" s="0" t="s">
        <v>72</v>
      </c>
      <c r="J104" s="0" t="s">
        <v>9</v>
      </c>
      <c r="K104" s="0" t="s">
        <v>73</v>
      </c>
      <c r="L104" s="0" t="s">
        <v>120</v>
      </c>
      <c r="M104" s="0" t="s">
        <v>121</v>
      </c>
      <c r="N104" s="0" t="s">
        <v>126</v>
      </c>
      <c r="O104" s="0" t="s">
        <v>77</v>
      </c>
      <c r="P104" s="0" t="s">
        <v>78</v>
      </c>
      <c r="Q104" s="0" t="s">
        <v>79</v>
      </c>
      <c r="R104" s="0" t="s">
        <v>80</v>
      </c>
      <c r="S104" s="0" t="s">
        <v>81</v>
      </c>
      <c r="T104" s="0" t="s">
        <v>82</v>
      </c>
    </row>
    <row r="105" customFormat="false" ht="15" hidden="false" customHeight="false" outlineLevel="0" collapsed="false">
      <c r="A105" s="0" t="str">
        <f aca="false">B105&amp;"|"&amp;C105&amp;"|"&amp;D105&amp;"|"&amp;E105&amp;"|"&amp;F105</f>
        <v>2.8+2512|IR|delta_tenor_corr|6m|10y</v>
      </c>
      <c r="B105" s="0" t="s">
        <v>9</v>
      </c>
      <c r="C105" s="0" t="s">
        <v>68</v>
      </c>
      <c r="D105" s="0" t="s">
        <v>118</v>
      </c>
      <c r="E105" s="0" t="s">
        <v>27</v>
      </c>
      <c r="F105" s="0" t="s">
        <v>32</v>
      </c>
      <c r="G105" s="0" t="n">
        <v>0.52</v>
      </c>
      <c r="H105" s="0" t="s">
        <v>119</v>
      </c>
      <c r="I105" s="0" t="s">
        <v>72</v>
      </c>
      <c r="J105" s="0" t="s">
        <v>9</v>
      </c>
      <c r="K105" s="0" t="s">
        <v>73</v>
      </c>
      <c r="L105" s="0" t="s">
        <v>120</v>
      </c>
      <c r="M105" s="0" t="s">
        <v>121</v>
      </c>
      <c r="N105" s="0" t="s">
        <v>126</v>
      </c>
      <c r="O105" s="0" t="s">
        <v>77</v>
      </c>
      <c r="P105" s="0" t="s">
        <v>78</v>
      </c>
      <c r="Q105" s="0" t="s">
        <v>79</v>
      </c>
      <c r="R105" s="0" t="s">
        <v>80</v>
      </c>
      <c r="S105" s="0" t="s">
        <v>81</v>
      </c>
      <c r="T105" s="0" t="s">
        <v>82</v>
      </c>
    </row>
    <row r="106" customFormat="false" ht="15" hidden="false" customHeight="false" outlineLevel="0" collapsed="false">
      <c r="A106" s="0" t="str">
        <f aca="false">B106&amp;"|"&amp;C106&amp;"|"&amp;D106&amp;"|"&amp;E106&amp;"|"&amp;F106</f>
        <v>2.8+2512|IR|delta_tenor_corr|6m|15y</v>
      </c>
      <c r="B106" s="0" t="s">
        <v>9</v>
      </c>
      <c r="C106" s="0" t="s">
        <v>68</v>
      </c>
      <c r="D106" s="0" t="s">
        <v>118</v>
      </c>
      <c r="E106" s="0" t="s">
        <v>27</v>
      </c>
      <c r="F106" s="0" t="s">
        <v>33</v>
      </c>
      <c r="G106" s="0" t="n">
        <v>0.47</v>
      </c>
      <c r="H106" s="0" t="s">
        <v>119</v>
      </c>
      <c r="I106" s="0" t="s">
        <v>72</v>
      </c>
      <c r="J106" s="0" t="s">
        <v>9</v>
      </c>
      <c r="K106" s="0" t="s">
        <v>73</v>
      </c>
      <c r="L106" s="0" t="s">
        <v>120</v>
      </c>
      <c r="M106" s="0" t="s">
        <v>121</v>
      </c>
      <c r="N106" s="0" t="s">
        <v>126</v>
      </c>
      <c r="O106" s="0" t="s">
        <v>77</v>
      </c>
      <c r="P106" s="0" t="s">
        <v>78</v>
      </c>
      <c r="Q106" s="0" t="s">
        <v>79</v>
      </c>
      <c r="R106" s="0" t="s">
        <v>80</v>
      </c>
      <c r="S106" s="0" t="s">
        <v>81</v>
      </c>
      <c r="T106" s="0" t="s">
        <v>82</v>
      </c>
    </row>
    <row r="107" customFormat="false" ht="15" hidden="false" customHeight="false" outlineLevel="0" collapsed="false">
      <c r="A107" s="0" t="str">
        <f aca="false">B107&amp;"|"&amp;C107&amp;"|"&amp;D107&amp;"|"&amp;E107&amp;"|"&amp;F107</f>
        <v>2.8+2512|IR|delta_tenor_corr|6m|20y</v>
      </c>
      <c r="B107" s="0" t="s">
        <v>9</v>
      </c>
      <c r="C107" s="0" t="s">
        <v>68</v>
      </c>
      <c r="D107" s="0" t="s">
        <v>118</v>
      </c>
      <c r="E107" s="0" t="s">
        <v>27</v>
      </c>
      <c r="F107" s="0" t="s">
        <v>34</v>
      </c>
      <c r="G107" s="0" t="n">
        <v>0.44</v>
      </c>
      <c r="H107" s="0" t="s">
        <v>119</v>
      </c>
      <c r="I107" s="0" t="s">
        <v>72</v>
      </c>
      <c r="J107" s="0" t="s">
        <v>9</v>
      </c>
      <c r="K107" s="0" t="s">
        <v>73</v>
      </c>
      <c r="L107" s="0" t="s">
        <v>120</v>
      </c>
      <c r="M107" s="0" t="s">
        <v>121</v>
      </c>
      <c r="N107" s="0" t="s">
        <v>126</v>
      </c>
      <c r="O107" s="0" t="s">
        <v>77</v>
      </c>
      <c r="P107" s="0" t="s">
        <v>78</v>
      </c>
      <c r="Q107" s="0" t="s">
        <v>79</v>
      </c>
      <c r="R107" s="0" t="s">
        <v>80</v>
      </c>
      <c r="S107" s="0" t="s">
        <v>81</v>
      </c>
      <c r="T107" s="0" t="s">
        <v>82</v>
      </c>
    </row>
    <row r="108" customFormat="false" ht="15" hidden="false" customHeight="false" outlineLevel="0" collapsed="false">
      <c r="A108" s="0" t="str">
        <f aca="false">B108&amp;"|"&amp;C108&amp;"|"&amp;D108&amp;"|"&amp;E108&amp;"|"&amp;F108</f>
        <v>2.8+2512|IR|delta_tenor_corr|6m|30y</v>
      </c>
      <c r="B108" s="0" t="s">
        <v>9</v>
      </c>
      <c r="C108" s="0" t="s">
        <v>68</v>
      </c>
      <c r="D108" s="0" t="s">
        <v>118</v>
      </c>
      <c r="E108" s="0" t="s">
        <v>27</v>
      </c>
      <c r="F108" s="0" t="s">
        <v>35</v>
      </c>
      <c r="G108" s="0" t="n">
        <v>0.42</v>
      </c>
      <c r="H108" s="0" t="s">
        <v>119</v>
      </c>
      <c r="I108" s="0" t="s">
        <v>72</v>
      </c>
      <c r="J108" s="0" t="s">
        <v>9</v>
      </c>
      <c r="K108" s="0" t="s">
        <v>73</v>
      </c>
      <c r="L108" s="0" t="s">
        <v>120</v>
      </c>
      <c r="M108" s="0" t="s">
        <v>121</v>
      </c>
      <c r="N108" s="0" t="s">
        <v>126</v>
      </c>
      <c r="O108" s="0" t="s">
        <v>77</v>
      </c>
      <c r="P108" s="0" t="s">
        <v>78</v>
      </c>
      <c r="Q108" s="0" t="s">
        <v>79</v>
      </c>
      <c r="R108" s="0" t="s">
        <v>80</v>
      </c>
      <c r="S108" s="0" t="s">
        <v>81</v>
      </c>
      <c r="T108" s="0" t="s">
        <v>82</v>
      </c>
    </row>
    <row r="109" customFormat="false" ht="15" hidden="false" customHeight="false" outlineLevel="0" collapsed="false">
      <c r="A109" s="0" t="str">
        <f aca="false">B109&amp;"|"&amp;C109&amp;"|"&amp;D109&amp;"|"&amp;E109&amp;"|"&amp;F109</f>
        <v>2.8+2512|IR|delta_tenor_corr|1y|2w</v>
      </c>
      <c r="B109" s="0" t="s">
        <v>9</v>
      </c>
      <c r="C109" s="0" t="s">
        <v>68</v>
      </c>
      <c r="D109" s="0" t="s">
        <v>118</v>
      </c>
      <c r="E109" s="0" t="s">
        <v>28</v>
      </c>
      <c r="F109" s="0" t="s">
        <v>24</v>
      </c>
      <c r="G109" s="0" t="n">
        <v>0.4</v>
      </c>
      <c r="H109" s="0" t="s">
        <v>119</v>
      </c>
      <c r="I109" s="0" t="s">
        <v>72</v>
      </c>
      <c r="J109" s="0" t="s">
        <v>9</v>
      </c>
      <c r="K109" s="0" t="s">
        <v>73</v>
      </c>
      <c r="L109" s="0" t="s">
        <v>120</v>
      </c>
      <c r="M109" s="0" t="s">
        <v>121</v>
      </c>
      <c r="N109" s="0" t="s">
        <v>127</v>
      </c>
      <c r="O109" s="0" t="s">
        <v>128</v>
      </c>
      <c r="P109" s="0" t="s">
        <v>78</v>
      </c>
      <c r="Q109" s="0" t="s">
        <v>79</v>
      </c>
      <c r="R109" s="0" t="s">
        <v>80</v>
      </c>
      <c r="S109" s="0" t="s">
        <v>81</v>
      </c>
      <c r="T109" s="0" t="s">
        <v>82</v>
      </c>
    </row>
    <row r="110" customFormat="false" ht="15" hidden="false" customHeight="false" outlineLevel="0" collapsed="false">
      <c r="A110" s="0" t="str">
        <f aca="false">B110&amp;"|"&amp;C110&amp;"|"&amp;D110&amp;"|"&amp;E110&amp;"|"&amp;F110</f>
        <v>2.8+2512|IR|delta_tenor_corr|1y|1m</v>
      </c>
      <c r="B110" s="0" t="s">
        <v>9</v>
      </c>
      <c r="C110" s="0" t="s">
        <v>68</v>
      </c>
      <c r="D110" s="0" t="s">
        <v>118</v>
      </c>
      <c r="E110" s="0" t="s">
        <v>28</v>
      </c>
      <c r="F110" s="0" t="s">
        <v>25</v>
      </c>
      <c r="G110" s="0" t="n">
        <v>0.5</v>
      </c>
      <c r="H110" s="0" t="s">
        <v>119</v>
      </c>
      <c r="I110" s="0" t="s">
        <v>72</v>
      </c>
      <c r="J110" s="0" t="s">
        <v>9</v>
      </c>
      <c r="K110" s="0" t="s">
        <v>73</v>
      </c>
      <c r="L110" s="0" t="s">
        <v>120</v>
      </c>
      <c r="M110" s="0" t="s">
        <v>121</v>
      </c>
      <c r="N110" s="0" t="s">
        <v>127</v>
      </c>
      <c r="O110" s="0" t="s">
        <v>128</v>
      </c>
      <c r="P110" s="0" t="s">
        <v>78</v>
      </c>
      <c r="Q110" s="0" t="s">
        <v>79</v>
      </c>
      <c r="R110" s="0" t="s">
        <v>80</v>
      </c>
      <c r="S110" s="0" t="s">
        <v>81</v>
      </c>
      <c r="T110" s="0" t="s">
        <v>82</v>
      </c>
    </row>
    <row r="111" customFormat="false" ht="15" hidden="false" customHeight="false" outlineLevel="0" collapsed="false">
      <c r="A111" s="0" t="str">
        <f aca="false">B111&amp;"|"&amp;C111&amp;"|"&amp;D111&amp;"|"&amp;E111&amp;"|"&amp;F111</f>
        <v>2.8+2512|IR|delta_tenor_corr|1y|3m</v>
      </c>
      <c r="B111" s="0" t="s">
        <v>9</v>
      </c>
      <c r="C111" s="0" t="s">
        <v>68</v>
      </c>
      <c r="D111" s="0" t="s">
        <v>118</v>
      </c>
      <c r="E111" s="0" t="s">
        <v>28</v>
      </c>
      <c r="F111" s="0" t="s">
        <v>26</v>
      </c>
      <c r="G111" s="0" t="n">
        <v>0.69</v>
      </c>
      <c r="H111" s="0" t="s">
        <v>119</v>
      </c>
      <c r="I111" s="0" t="s">
        <v>72</v>
      </c>
      <c r="J111" s="0" t="s">
        <v>9</v>
      </c>
      <c r="K111" s="0" t="s">
        <v>73</v>
      </c>
      <c r="L111" s="0" t="s">
        <v>120</v>
      </c>
      <c r="M111" s="0" t="s">
        <v>121</v>
      </c>
      <c r="N111" s="0" t="s">
        <v>127</v>
      </c>
      <c r="O111" s="0" t="s">
        <v>128</v>
      </c>
      <c r="P111" s="0" t="s">
        <v>78</v>
      </c>
      <c r="Q111" s="0" t="s">
        <v>79</v>
      </c>
      <c r="R111" s="0" t="s">
        <v>80</v>
      </c>
      <c r="S111" s="0" t="s">
        <v>81</v>
      </c>
      <c r="T111" s="0" t="s">
        <v>82</v>
      </c>
    </row>
    <row r="112" customFormat="false" ht="15" hidden="false" customHeight="false" outlineLevel="0" collapsed="false">
      <c r="A112" s="0" t="str">
        <f aca="false">B112&amp;"|"&amp;C112&amp;"|"&amp;D112&amp;"|"&amp;E112&amp;"|"&amp;F112</f>
        <v>2.8+2512|IR|delta_tenor_corr|1y|6m</v>
      </c>
      <c r="B112" s="0" t="s">
        <v>9</v>
      </c>
      <c r="C112" s="0" t="s">
        <v>68</v>
      </c>
      <c r="D112" s="0" t="s">
        <v>118</v>
      </c>
      <c r="E112" s="0" t="s">
        <v>28</v>
      </c>
      <c r="F112" s="0" t="s">
        <v>27</v>
      </c>
      <c r="G112" s="0" t="n">
        <v>0.86</v>
      </c>
      <c r="H112" s="0" t="s">
        <v>119</v>
      </c>
      <c r="I112" s="0" t="s">
        <v>72</v>
      </c>
      <c r="J112" s="0" t="s">
        <v>9</v>
      </c>
      <c r="K112" s="0" t="s">
        <v>73</v>
      </c>
      <c r="L112" s="0" t="s">
        <v>120</v>
      </c>
      <c r="M112" s="0" t="s">
        <v>121</v>
      </c>
      <c r="N112" s="0" t="s">
        <v>127</v>
      </c>
      <c r="O112" s="0" t="s">
        <v>128</v>
      </c>
      <c r="P112" s="0" t="s">
        <v>78</v>
      </c>
      <c r="Q112" s="0" t="s">
        <v>79</v>
      </c>
      <c r="R112" s="0" t="s">
        <v>80</v>
      </c>
      <c r="S112" s="0" t="s">
        <v>81</v>
      </c>
      <c r="T112" s="0" t="s">
        <v>82</v>
      </c>
    </row>
    <row r="113" customFormat="false" ht="15" hidden="false" customHeight="false" outlineLevel="0" collapsed="false">
      <c r="A113" s="0" t="str">
        <f aca="false">B113&amp;"|"&amp;C113&amp;"|"&amp;D113&amp;"|"&amp;E113&amp;"|"&amp;F113</f>
        <v>2.8+2512|IR|delta_tenor_corr|1y|1y</v>
      </c>
      <c r="B113" s="0" t="s">
        <v>9</v>
      </c>
      <c r="C113" s="0" t="s">
        <v>68</v>
      </c>
      <c r="D113" s="0" t="s">
        <v>118</v>
      </c>
      <c r="E113" s="0" t="s">
        <v>28</v>
      </c>
      <c r="F113" s="0" t="s">
        <v>28</v>
      </c>
      <c r="G113" s="0" t="n">
        <v>1</v>
      </c>
      <c r="H113" s="0" t="s">
        <v>119</v>
      </c>
      <c r="I113" s="0" t="s">
        <v>72</v>
      </c>
      <c r="J113" s="0" t="s">
        <v>9</v>
      </c>
      <c r="K113" s="0" t="s">
        <v>73</v>
      </c>
      <c r="L113" s="0" t="s">
        <v>120</v>
      </c>
      <c r="M113" s="0" t="s">
        <v>121</v>
      </c>
      <c r="N113" s="0" t="s">
        <v>127</v>
      </c>
      <c r="O113" s="0" t="s">
        <v>128</v>
      </c>
      <c r="P113" s="0" t="s">
        <v>78</v>
      </c>
      <c r="Q113" s="0" t="s">
        <v>79</v>
      </c>
      <c r="R113" s="0" t="s">
        <v>80</v>
      </c>
      <c r="S113" s="0" t="s">
        <v>81</v>
      </c>
      <c r="T113" s="0" t="s">
        <v>123</v>
      </c>
    </row>
    <row r="114" customFormat="false" ht="15" hidden="false" customHeight="false" outlineLevel="0" collapsed="false">
      <c r="A114" s="0" t="str">
        <f aca="false">B114&amp;"|"&amp;C114&amp;"|"&amp;D114&amp;"|"&amp;E114&amp;"|"&amp;F114</f>
        <v>2.8+2512|IR|delta_tenor_corr|1y|2y</v>
      </c>
      <c r="B114" s="0" t="s">
        <v>9</v>
      </c>
      <c r="C114" s="0" t="s">
        <v>68</v>
      </c>
      <c r="D114" s="0" t="s">
        <v>118</v>
      </c>
      <c r="E114" s="0" t="s">
        <v>28</v>
      </c>
      <c r="F114" s="0" t="s">
        <v>29</v>
      </c>
      <c r="G114" s="0" t="n">
        <v>0.94</v>
      </c>
      <c r="H114" s="0" t="s">
        <v>119</v>
      </c>
      <c r="I114" s="0" t="s">
        <v>72</v>
      </c>
      <c r="J114" s="0" t="s">
        <v>9</v>
      </c>
      <c r="K114" s="0" t="s">
        <v>73</v>
      </c>
      <c r="L114" s="0" t="s">
        <v>120</v>
      </c>
      <c r="M114" s="0" t="s">
        <v>121</v>
      </c>
      <c r="N114" s="0" t="s">
        <v>127</v>
      </c>
      <c r="O114" s="0" t="s">
        <v>128</v>
      </c>
      <c r="P114" s="0" t="s">
        <v>78</v>
      </c>
      <c r="Q114" s="0" t="s">
        <v>79</v>
      </c>
      <c r="R114" s="0" t="s">
        <v>80</v>
      </c>
      <c r="S114" s="0" t="s">
        <v>81</v>
      </c>
      <c r="T114" s="0" t="s">
        <v>82</v>
      </c>
    </row>
    <row r="115" customFormat="false" ht="15" hidden="false" customHeight="false" outlineLevel="0" collapsed="false">
      <c r="A115" s="0" t="str">
        <f aca="false">B115&amp;"|"&amp;C115&amp;"|"&amp;D115&amp;"|"&amp;E115&amp;"|"&amp;F115</f>
        <v>2.8+2512|IR|delta_tenor_corr|1y|3y</v>
      </c>
      <c r="B115" s="0" t="s">
        <v>9</v>
      </c>
      <c r="C115" s="0" t="s">
        <v>68</v>
      </c>
      <c r="D115" s="0" t="s">
        <v>118</v>
      </c>
      <c r="E115" s="0" t="s">
        <v>28</v>
      </c>
      <c r="F115" s="0" t="s">
        <v>30</v>
      </c>
      <c r="G115" s="0" t="n">
        <v>0.87</v>
      </c>
      <c r="H115" s="0" t="s">
        <v>119</v>
      </c>
      <c r="I115" s="0" t="s">
        <v>72</v>
      </c>
      <c r="J115" s="0" t="s">
        <v>9</v>
      </c>
      <c r="K115" s="0" t="s">
        <v>73</v>
      </c>
      <c r="L115" s="0" t="s">
        <v>120</v>
      </c>
      <c r="M115" s="0" t="s">
        <v>121</v>
      </c>
      <c r="N115" s="0" t="s">
        <v>127</v>
      </c>
      <c r="O115" s="0" t="s">
        <v>128</v>
      </c>
      <c r="P115" s="0" t="s">
        <v>78</v>
      </c>
      <c r="Q115" s="0" t="s">
        <v>79</v>
      </c>
      <c r="R115" s="0" t="s">
        <v>80</v>
      </c>
      <c r="S115" s="0" t="s">
        <v>81</v>
      </c>
      <c r="T115" s="0" t="s">
        <v>82</v>
      </c>
    </row>
    <row r="116" customFormat="false" ht="15" hidden="false" customHeight="false" outlineLevel="0" collapsed="false">
      <c r="A116" s="0" t="str">
        <f aca="false">B116&amp;"|"&amp;C116&amp;"|"&amp;D116&amp;"|"&amp;E116&amp;"|"&amp;F116</f>
        <v>2.8+2512|IR|delta_tenor_corr|1y|5y</v>
      </c>
      <c r="B116" s="0" t="s">
        <v>9</v>
      </c>
      <c r="C116" s="0" t="s">
        <v>68</v>
      </c>
      <c r="D116" s="0" t="s">
        <v>118</v>
      </c>
      <c r="E116" s="0" t="s">
        <v>28</v>
      </c>
      <c r="F116" s="0" t="s">
        <v>31</v>
      </c>
      <c r="G116" s="0" t="n">
        <v>0.81</v>
      </c>
      <c r="H116" s="0" t="s">
        <v>119</v>
      </c>
      <c r="I116" s="0" t="s">
        <v>72</v>
      </c>
      <c r="J116" s="0" t="s">
        <v>9</v>
      </c>
      <c r="K116" s="0" t="s">
        <v>73</v>
      </c>
      <c r="L116" s="0" t="s">
        <v>120</v>
      </c>
      <c r="M116" s="0" t="s">
        <v>121</v>
      </c>
      <c r="N116" s="0" t="s">
        <v>127</v>
      </c>
      <c r="O116" s="0" t="s">
        <v>128</v>
      </c>
      <c r="P116" s="0" t="s">
        <v>78</v>
      </c>
      <c r="Q116" s="0" t="s">
        <v>79</v>
      </c>
      <c r="R116" s="0" t="s">
        <v>80</v>
      </c>
      <c r="S116" s="0" t="s">
        <v>81</v>
      </c>
      <c r="T116" s="0" t="s">
        <v>82</v>
      </c>
    </row>
    <row r="117" customFormat="false" ht="15" hidden="false" customHeight="false" outlineLevel="0" collapsed="false">
      <c r="A117" s="0" t="str">
        <f aca="false">B117&amp;"|"&amp;C117&amp;"|"&amp;D117&amp;"|"&amp;E117&amp;"|"&amp;F117</f>
        <v>2.8+2512|IR|delta_tenor_corr|1y|10y</v>
      </c>
      <c r="B117" s="0" t="s">
        <v>9</v>
      </c>
      <c r="C117" s="0" t="s">
        <v>68</v>
      </c>
      <c r="D117" s="0" t="s">
        <v>118</v>
      </c>
      <c r="E117" s="0" t="s">
        <v>28</v>
      </c>
      <c r="F117" s="0" t="s">
        <v>32</v>
      </c>
      <c r="G117" s="0" t="n">
        <v>0.73</v>
      </c>
      <c r="H117" s="0" t="s">
        <v>119</v>
      </c>
      <c r="I117" s="0" t="s">
        <v>72</v>
      </c>
      <c r="J117" s="0" t="s">
        <v>9</v>
      </c>
      <c r="K117" s="0" t="s">
        <v>73</v>
      </c>
      <c r="L117" s="0" t="s">
        <v>120</v>
      </c>
      <c r="M117" s="0" t="s">
        <v>121</v>
      </c>
      <c r="N117" s="0" t="s">
        <v>127</v>
      </c>
      <c r="O117" s="0" t="s">
        <v>128</v>
      </c>
      <c r="P117" s="0" t="s">
        <v>78</v>
      </c>
      <c r="Q117" s="0" t="s">
        <v>79</v>
      </c>
      <c r="R117" s="0" t="s">
        <v>80</v>
      </c>
      <c r="S117" s="0" t="s">
        <v>81</v>
      </c>
      <c r="T117" s="0" t="s">
        <v>82</v>
      </c>
    </row>
    <row r="118" customFormat="false" ht="15" hidden="false" customHeight="false" outlineLevel="0" collapsed="false">
      <c r="A118" s="0" t="str">
        <f aca="false">B118&amp;"|"&amp;C118&amp;"|"&amp;D118&amp;"|"&amp;E118&amp;"|"&amp;F118</f>
        <v>2.8+2512|IR|delta_tenor_corr|1y|15y</v>
      </c>
      <c r="B118" s="0" t="s">
        <v>9</v>
      </c>
      <c r="C118" s="0" t="s">
        <v>68</v>
      </c>
      <c r="D118" s="0" t="s">
        <v>118</v>
      </c>
      <c r="E118" s="0" t="s">
        <v>28</v>
      </c>
      <c r="F118" s="0" t="s">
        <v>33</v>
      </c>
      <c r="G118" s="0" t="n">
        <v>0.69</v>
      </c>
      <c r="H118" s="0" t="s">
        <v>119</v>
      </c>
      <c r="I118" s="0" t="s">
        <v>72</v>
      </c>
      <c r="J118" s="0" t="s">
        <v>9</v>
      </c>
      <c r="K118" s="0" t="s">
        <v>73</v>
      </c>
      <c r="L118" s="0" t="s">
        <v>120</v>
      </c>
      <c r="M118" s="0" t="s">
        <v>121</v>
      </c>
      <c r="N118" s="0" t="s">
        <v>127</v>
      </c>
      <c r="O118" s="0" t="s">
        <v>128</v>
      </c>
      <c r="P118" s="0" t="s">
        <v>78</v>
      </c>
      <c r="Q118" s="0" t="s">
        <v>79</v>
      </c>
      <c r="R118" s="0" t="s">
        <v>80</v>
      </c>
      <c r="S118" s="0" t="s">
        <v>81</v>
      </c>
      <c r="T118" s="0" t="s">
        <v>82</v>
      </c>
    </row>
    <row r="119" customFormat="false" ht="15" hidden="false" customHeight="false" outlineLevel="0" collapsed="false">
      <c r="A119" s="0" t="str">
        <f aca="false">B119&amp;"|"&amp;C119&amp;"|"&amp;D119&amp;"|"&amp;E119&amp;"|"&amp;F119</f>
        <v>2.8+2512|IR|delta_tenor_corr|1y|20y</v>
      </c>
      <c r="B119" s="0" t="s">
        <v>9</v>
      </c>
      <c r="C119" s="0" t="s">
        <v>68</v>
      </c>
      <c r="D119" s="0" t="s">
        <v>118</v>
      </c>
      <c r="E119" s="0" t="s">
        <v>28</v>
      </c>
      <c r="F119" s="0" t="s">
        <v>34</v>
      </c>
      <c r="G119" s="0" t="n">
        <v>0.64</v>
      </c>
      <c r="H119" s="0" t="s">
        <v>119</v>
      </c>
      <c r="I119" s="0" t="s">
        <v>72</v>
      </c>
      <c r="J119" s="0" t="s">
        <v>9</v>
      </c>
      <c r="K119" s="0" t="s">
        <v>73</v>
      </c>
      <c r="L119" s="0" t="s">
        <v>120</v>
      </c>
      <c r="M119" s="0" t="s">
        <v>121</v>
      </c>
      <c r="N119" s="0" t="s">
        <v>127</v>
      </c>
      <c r="O119" s="0" t="s">
        <v>128</v>
      </c>
      <c r="P119" s="0" t="s">
        <v>78</v>
      </c>
      <c r="Q119" s="0" t="s">
        <v>79</v>
      </c>
      <c r="R119" s="0" t="s">
        <v>80</v>
      </c>
      <c r="S119" s="0" t="s">
        <v>81</v>
      </c>
      <c r="T119" s="0" t="s">
        <v>82</v>
      </c>
    </row>
    <row r="120" customFormat="false" ht="15" hidden="false" customHeight="false" outlineLevel="0" collapsed="false">
      <c r="A120" s="0" t="str">
        <f aca="false">B120&amp;"|"&amp;C120&amp;"|"&amp;D120&amp;"|"&amp;E120&amp;"|"&amp;F120</f>
        <v>2.8+2512|IR|delta_tenor_corr|1y|30y</v>
      </c>
      <c r="B120" s="0" t="s">
        <v>9</v>
      </c>
      <c r="C120" s="0" t="s">
        <v>68</v>
      </c>
      <c r="D120" s="0" t="s">
        <v>118</v>
      </c>
      <c r="E120" s="0" t="s">
        <v>28</v>
      </c>
      <c r="F120" s="0" t="s">
        <v>35</v>
      </c>
      <c r="G120" s="0" t="n">
        <v>0.63</v>
      </c>
      <c r="H120" s="0" t="s">
        <v>119</v>
      </c>
      <c r="I120" s="0" t="s">
        <v>72</v>
      </c>
      <c r="J120" s="0" t="s">
        <v>9</v>
      </c>
      <c r="K120" s="0" t="s">
        <v>73</v>
      </c>
      <c r="L120" s="0" t="s">
        <v>120</v>
      </c>
      <c r="M120" s="0" t="s">
        <v>121</v>
      </c>
      <c r="N120" s="0" t="s">
        <v>127</v>
      </c>
      <c r="O120" s="0" t="s">
        <v>128</v>
      </c>
      <c r="P120" s="0" t="s">
        <v>78</v>
      </c>
      <c r="Q120" s="0" t="s">
        <v>79</v>
      </c>
      <c r="R120" s="0" t="s">
        <v>80</v>
      </c>
      <c r="S120" s="0" t="s">
        <v>81</v>
      </c>
      <c r="T120" s="0" t="s">
        <v>82</v>
      </c>
    </row>
    <row r="121" customFormat="false" ht="15" hidden="false" customHeight="false" outlineLevel="0" collapsed="false">
      <c r="A121" s="0" t="str">
        <f aca="false">B121&amp;"|"&amp;C121&amp;"|"&amp;D121&amp;"|"&amp;E121&amp;"|"&amp;F121</f>
        <v>2.8+2512|IR|delta_tenor_corr|2y|2w</v>
      </c>
      <c r="B121" s="0" t="s">
        <v>9</v>
      </c>
      <c r="C121" s="0" t="s">
        <v>68</v>
      </c>
      <c r="D121" s="0" t="s">
        <v>118</v>
      </c>
      <c r="E121" s="0" t="s">
        <v>29</v>
      </c>
      <c r="F121" s="0" t="s">
        <v>24</v>
      </c>
      <c r="G121" s="0" t="n">
        <v>0.29</v>
      </c>
      <c r="H121" s="0" t="s">
        <v>119</v>
      </c>
      <c r="I121" s="0" t="s">
        <v>72</v>
      </c>
      <c r="J121" s="0" t="s">
        <v>9</v>
      </c>
      <c r="K121" s="0" t="s">
        <v>73</v>
      </c>
      <c r="L121" s="0" t="s">
        <v>120</v>
      </c>
      <c r="M121" s="0" t="s">
        <v>121</v>
      </c>
      <c r="N121" s="0" t="s">
        <v>129</v>
      </c>
      <c r="O121" s="0" t="s">
        <v>128</v>
      </c>
      <c r="P121" s="0" t="s">
        <v>78</v>
      </c>
      <c r="Q121" s="0" t="s">
        <v>79</v>
      </c>
      <c r="R121" s="0" t="s">
        <v>80</v>
      </c>
      <c r="S121" s="0" t="s">
        <v>81</v>
      </c>
      <c r="T121" s="0" t="s">
        <v>82</v>
      </c>
    </row>
    <row r="122" customFormat="false" ht="15" hidden="false" customHeight="false" outlineLevel="0" collapsed="false">
      <c r="A122" s="0" t="str">
        <f aca="false">B122&amp;"|"&amp;C122&amp;"|"&amp;D122&amp;"|"&amp;E122&amp;"|"&amp;F122</f>
        <v>2.8+2512|IR|delta_tenor_corr|2y|1m</v>
      </c>
      <c r="B122" s="0" t="s">
        <v>9</v>
      </c>
      <c r="C122" s="0" t="s">
        <v>68</v>
      </c>
      <c r="D122" s="0" t="s">
        <v>118</v>
      </c>
      <c r="E122" s="0" t="s">
        <v>29</v>
      </c>
      <c r="F122" s="0" t="s">
        <v>25</v>
      </c>
      <c r="G122" s="0" t="n">
        <v>0.36</v>
      </c>
      <c r="H122" s="0" t="s">
        <v>119</v>
      </c>
      <c r="I122" s="0" t="s">
        <v>72</v>
      </c>
      <c r="J122" s="0" t="s">
        <v>9</v>
      </c>
      <c r="K122" s="0" t="s">
        <v>73</v>
      </c>
      <c r="L122" s="0" t="s">
        <v>120</v>
      </c>
      <c r="M122" s="0" t="s">
        <v>121</v>
      </c>
      <c r="N122" s="0" t="s">
        <v>129</v>
      </c>
      <c r="O122" s="0" t="s">
        <v>128</v>
      </c>
      <c r="P122" s="0" t="s">
        <v>78</v>
      </c>
      <c r="Q122" s="0" t="s">
        <v>79</v>
      </c>
      <c r="R122" s="0" t="s">
        <v>80</v>
      </c>
      <c r="S122" s="0" t="s">
        <v>81</v>
      </c>
      <c r="T122" s="0" t="s">
        <v>82</v>
      </c>
    </row>
    <row r="123" customFormat="false" ht="15" hidden="false" customHeight="false" outlineLevel="0" collapsed="false">
      <c r="A123" s="0" t="str">
        <f aca="false">B123&amp;"|"&amp;C123&amp;"|"&amp;D123&amp;"|"&amp;E123&amp;"|"&amp;F123</f>
        <v>2.8+2512|IR|delta_tenor_corr|2y|3m</v>
      </c>
      <c r="B123" s="0" t="s">
        <v>9</v>
      </c>
      <c r="C123" s="0" t="s">
        <v>68</v>
      </c>
      <c r="D123" s="0" t="s">
        <v>118</v>
      </c>
      <c r="E123" s="0" t="s">
        <v>29</v>
      </c>
      <c r="F123" s="0" t="s">
        <v>26</v>
      </c>
      <c r="G123" s="0" t="n">
        <v>0.53</v>
      </c>
      <c r="H123" s="0" t="s">
        <v>119</v>
      </c>
      <c r="I123" s="0" t="s">
        <v>72</v>
      </c>
      <c r="J123" s="0" t="s">
        <v>9</v>
      </c>
      <c r="K123" s="0" t="s">
        <v>73</v>
      </c>
      <c r="L123" s="0" t="s">
        <v>120</v>
      </c>
      <c r="M123" s="0" t="s">
        <v>121</v>
      </c>
      <c r="N123" s="0" t="s">
        <v>129</v>
      </c>
      <c r="O123" s="0" t="s">
        <v>128</v>
      </c>
      <c r="P123" s="0" t="s">
        <v>78</v>
      </c>
      <c r="Q123" s="0" t="s">
        <v>79</v>
      </c>
      <c r="R123" s="0" t="s">
        <v>80</v>
      </c>
      <c r="S123" s="0" t="s">
        <v>81</v>
      </c>
      <c r="T123" s="0" t="s">
        <v>82</v>
      </c>
    </row>
    <row r="124" customFormat="false" ht="15" hidden="false" customHeight="false" outlineLevel="0" collapsed="false">
      <c r="A124" s="0" t="str">
        <f aca="false">B124&amp;"|"&amp;C124&amp;"|"&amp;D124&amp;"|"&amp;E124&amp;"|"&amp;F124</f>
        <v>2.8+2512|IR|delta_tenor_corr|2y|6m</v>
      </c>
      <c r="B124" s="0" t="s">
        <v>9</v>
      </c>
      <c r="C124" s="0" t="s">
        <v>68</v>
      </c>
      <c r="D124" s="0" t="s">
        <v>118</v>
      </c>
      <c r="E124" s="0" t="s">
        <v>29</v>
      </c>
      <c r="F124" s="0" t="s">
        <v>27</v>
      </c>
      <c r="G124" s="0" t="n">
        <v>0.73</v>
      </c>
      <c r="H124" s="0" t="s">
        <v>119</v>
      </c>
      <c r="I124" s="0" t="s">
        <v>72</v>
      </c>
      <c r="J124" s="0" t="s">
        <v>9</v>
      </c>
      <c r="K124" s="0" t="s">
        <v>73</v>
      </c>
      <c r="L124" s="0" t="s">
        <v>120</v>
      </c>
      <c r="M124" s="0" t="s">
        <v>121</v>
      </c>
      <c r="N124" s="0" t="s">
        <v>129</v>
      </c>
      <c r="O124" s="0" t="s">
        <v>128</v>
      </c>
      <c r="P124" s="0" t="s">
        <v>78</v>
      </c>
      <c r="Q124" s="0" t="s">
        <v>79</v>
      </c>
      <c r="R124" s="0" t="s">
        <v>80</v>
      </c>
      <c r="S124" s="0" t="s">
        <v>81</v>
      </c>
      <c r="T124" s="0" t="s">
        <v>82</v>
      </c>
    </row>
    <row r="125" customFormat="false" ht="15" hidden="false" customHeight="false" outlineLevel="0" collapsed="false">
      <c r="A125" s="0" t="str">
        <f aca="false">B125&amp;"|"&amp;C125&amp;"|"&amp;D125&amp;"|"&amp;E125&amp;"|"&amp;F125</f>
        <v>2.8+2512|IR|delta_tenor_corr|2y|1y</v>
      </c>
      <c r="B125" s="0" t="s">
        <v>9</v>
      </c>
      <c r="C125" s="0" t="s">
        <v>68</v>
      </c>
      <c r="D125" s="0" t="s">
        <v>118</v>
      </c>
      <c r="E125" s="0" t="s">
        <v>29</v>
      </c>
      <c r="F125" s="0" t="s">
        <v>28</v>
      </c>
      <c r="G125" s="0" t="n">
        <v>0.94</v>
      </c>
      <c r="H125" s="0" t="s">
        <v>119</v>
      </c>
      <c r="I125" s="0" t="s">
        <v>72</v>
      </c>
      <c r="J125" s="0" t="s">
        <v>9</v>
      </c>
      <c r="K125" s="0" t="s">
        <v>73</v>
      </c>
      <c r="L125" s="0" t="s">
        <v>120</v>
      </c>
      <c r="M125" s="0" t="s">
        <v>121</v>
      </c>
      <c r="N125" s="0" t="s">
        <v>129</v>
      </c>
      <c r="O125" s="0" t="s">
        <v>128</v>
      </c>
      <c r="P125" s="0" t="s">
        <v>78</v>
      </c>
      <c r="Q125" s="0" t="s">
        <v>79</v>
      </c>
      <c r="R125" s="0" t="s">
        <v>80</v>
      </c>
      <c r="S125" s="0" t="s">
        <v>81</v>
      </c>
      <c r="T125" s="0" t="s">
        <v>82</v>
      </c>
    </row>
    <row r="126" customFormat="false" ht="15" hidden="false" customHeight="false" outlineLevel="0" collapsed="false">
      <c r="A126" s="0" t="str">
        <f aca="false">B126&amp;"|"&amp;C126&amp;"|"&amp;D126&amp;"|"&amp;E126&amp;"|"&amp;F126</f>
        <v>2.8+2512|IR|delta_tenor_corr|2y|2y</v>
      </c>
      <c r="B126" s="0" t="s">
        <v>9</v>
      </c>
      <c r="C126" s="0" t="s">
        <v>68</v>
      </c>
      <c r="D126" s="0" t="s">
        <v>118</v>
      </c>
      <c r="E126" s="0" t="s">
        <v>29</v>
      </c>
      <c r="F126" s="0" t="s">
        <v>29</v>
      </c>
      <c r="G126" s="0" t="n">
        <v>1</v>
      </c>
      <c r="H126" s="0" t="s">
        <v>119</v>
      </c>
      <c r="I126" s="0" t="s">
        <v>72</v>
      </c>
      <c r="J126" s="0" t="s">
        <v>9</v>
      </c>
      <c r="K126" s="0" t="s">
        <v>73</v>
      </c>
      <c r="L126" s="0" t="s">
        <v>120</v>
      </c>
      <c r="M126" s="0" t="s">
        <v>121</v>
      </c>
      <c r="N126" s="0" t="s">
        <v>129</v>
      </c>
      <c r="O126" s="0" t="s">
        <v>128</v>
      </c>
      <c r="P126" s="0" t="s">
        <v>78</v>
      </c>
      <c r="Q126" s="0" t="s">
        <v>79</v>
      </c>
      <c r="R126" s="0" t="s">
        <v>80</v>
      </c>
      <c r="S126" s="0" t="s">
        <v>81</v>
      </c>
      <c r="T126" s="0" t="s">
        <v>123</v>
      </c>
    </row>
    <row r="127" customFormat="false" ht="15" hidden="false" customHeight="false" outlineLevel="0" collapsed="false">
      <c r="A127" s="0" t="str">
        <f aca="false">B127&amp;"|"&amp;C127&amp;"|"&amp;D127&amp;"|"&amp;E127&amp;"|"&amp;F127</f>
        <v>2.8+2512|IR|delta_tenor_corr|2y|3y</v>
      </c>
      <c r="B127" s="0" t="s">
        <v>9</v>
      </c>
      <c r="C127" s="0" t="s">
        <v>68</v>
      </c>
      <c r="D127" s="0" t="s">
        <v>118</v>
      </c>
      <c r="E127" s="0" t="s">
        <v>29</v>
      </c>
      <c r="F127" s="0" t="s">
        <v>30</v>
      </c>
      <c r="G127" s="0" t="n">
        <v>0.97</v>
      </c>
      <c r="H127" s="0" t="s">
        <v>119</v>
      </c>
      <c r="I127" s="0" t="s">
        <v>72</v>
      </c>
      <c r="J127" s="0" t="s">
        <v>9</v>
      </c>
      <c r="K127" s="0" t="s">
        <v>73</v>
      </c>
      <c r="L127" s="0" t="s">
        <v>120</v>
      </c>
      <c r="M127" s="0" t="s">
        <v>121</v>
      </c>
      <c r="N127" s="0" t="s">
        <v>129</v>
      </c>
      <c r="O127" s="0" t="s">
        <v>128</v>
      </c>
      <c r="P127" s="0" t="s">
        <v>78</v>
      </c>
      <c r="Q127" s="0" t="s">
        <v>79</v>
      </c>
      <c r="R127" s="0" t="s">
        <v>80</v>
      </c>
      <c r="S127" s="0" t="s">
        <v>81</v>
      </c>
      <c r="T127" s="0" t="s">
        <v>82</v>
      </c>
    </row>
    <row r="128" customFormat="false" ht="15" hidden="false" customHeight="false" outlineLevel="0" collapsed="false">
      <c r="A128" s="0" t="str">
        <f aca="false">B128&amp;"|"&amp;C128&amp;"|"&amp;D128&amp;"|"&amp;E128&amp;"|"&amp;F128</f>
        <v>2.8+2512|IR|delta_tenor_corr|2y|5y</v>
      </c>
      <c r="B128" s="0" t="s">
        <v>9</v>
      </c>
      <c r="C128" s="0" t="s">
        <v>68</v>
      </c>
      <c r="D128" s="0" t="s">
        <v>118</v>
      </c>
      <c r="E128" s="0" t="s">
        <v>29</v>
      </c>
      <c r="F128" s="0" t="s">
        <v>31</v>
      </c>
      <c r="G128" s="0" t="n">
        <v>0.92</v>
      </c>
      <c r="H128" s="0" t="s">
        <v>119</v>
      </c>
      <c r="I128" s="0" t="s">
        <v>72</v>
      </c>
      <c r="J128" s="0" t="s">
        <v>9</v>
      </c>
      <c r="K128" s="0" t="s">
        <v>73</v>
      </c>
      <c r="L128" s="0" t="s">
        <v>120</v>
      </c>
      <c r="M128" s="0" t="s">
        <v>121</v>
      </c>
      <c r="N128" s="0" t="s">
        <v>129</v>
      </c>
      <c r="O128" s="0" t="s">
        <v>128</v>
      </c>
      <c r="P128" s="0" t="s">
        <v>78</v>
      </c>
      <c r="Q128" s="0" t="s">
        <v>79</v>
      </c>
      <c r="R128" s="0" t="s">
        <v>80</v>
      </c>
      <c r="S128" s="0" t="s">
        <v>81</v>
      </c>
      <c r="T128" s="0" t="s">
        <v>82</v>
      </c>
    </row>
    <row r="129" customFormat="false" ht="15" hidden="false" customHeight="false" outlineLevel="0" collapsed="false">
      <c r="A129" s="0" t="str">
        <f aca="false">B129&amp;"|"&amp;C129&amp;"|"&amp;D129&amp;"|"&amp;E129&amp;"|"&amp;F129</f>
        <v>2.8+2512|IR|delta_tenor_corr|2y|10y</v>
      </c>
      <c r="B129" s="0" t="s">
        <v>9</v>
      </c>
      <c r="C129" s="0" t="s">
        <v>68</v>
      </c>
      <c r="D129" s="0" t="s">
        <v>118</v>
      </c>
      <c r="E129" s="0" t="s">
        <v>29</v>
      </c>
      <c r="F129" s="0" t="s">
        <v>32</v>
      </c>
      <c r="G129" s="0" t="n">
        <v>0.86</v>
      </c>
      <c r="H129" s="0" t="s">
        <v>119</v>
      </c>
      <c r="I129" s="0" t="s">
        <v>72</v>
      </c>
      <c r="J129" s="0" t="s">
        <v>9</v>
      </c>
      <c r="K129" s="0" t="s">
        <v>73</v>
      </c>
      <c r="L129" s="0" t="s">
        <v>120</v>
      </c>
      <c r="M129" s="0" t="s">
        <v>121</v>
      </c>
      <c r="N129" s="0" t="s">
        <v>129</v>
      </c>
      <c r="O129" s="0" t="s">
        <v>128</v>
      </c>
      <c r="P129" s="0" t="s">
        <v>78</v>
      </c>
      <c r="Q129" s="0" t="s">
        <v>79</v>
      </c>
      <c r="R129" s="0" t="s">
        <v>80</v>
      </c>
      <c r="S129" s="0" t="s">
        <v>81</v>
      </c>
      <c r="T129" s="0" t="s">
        <v>82</v>
      </c>
    </row>
    <row r="130" customFormat="false" ht="15" hidden="false" customHeight="false" outlineLevel="0" collapsed="false">
      <c r="A130" s="0" t="str">
        <f aca="false">B130&amp;"|"&amp;C130&amp;"|"&amp;D130&amp;"|"&amp;E130&amp;"|"&amp;F130</f>
        <v>2.8+2512|IR|delta_tenor_corr|2y|15y</v>
      </c>
      <c r="B130" s="0" t="s">
        <v>9</v>
      </c>
      <c r="C130" s="0" t="s">
        <v>68</v>
      </c>
      <c r="D130" s="0" t="s">
        <v>118</v>
      </c>
      <c r="E130" s="0" t="s">
        <v>29</v>
      </c>
      <c r="F130" s="0" t="s">
        <v>33</v>
      </c>
      <c r="G130" s="0" t="n">
        <v>0.82</v>
      </c>
      <c r="H130" s="0" t="s">
        <v>119</v>
      </c>
      <c r="I130" s="0" t="s">
        <v>72</v>
      </c>
      <c r="J130" s="0" t="s">
        <v>9</v>
      </c>
      <c r="K130" s="0" t="s">
        <v>73</v>
      </c>
      <c r="L130" s="0" t="s">
        <v>120</v>
      </c>
      <c r="M130" s="0" t="s">
        <v>121</v>
      </c>
      <c r="N130" s="0" t="s">
        <v>129</v>
      </c>
      <c r="O130" s="0" t="s">
        <v>128</v>
      </c>
      <c r="P130" s="0" t="s">
        <v>78</v>
      </c>
      <c r="Q130" s="0" t="s">
        <v>79</v>
      </c>
      <c r="R130" s="0" t="s">
        <v>80</v>
      </c>
      <c r="S130" s="0" t="s">
        <v>81</v>
      </c>
      <c r="T130" s="0" t="s">
        <v>82</v>
      </c>
    </row>
    <row r="131" customFormat="false" ht="15" hidden="false" customHeight="false" outlineLevel="0" collapsed="false">
      <c r="A131" s="0" t="str">
        <f aca="false">B131&amp;"|"&amp;C131&amp;"|"&amp;D131&amp;"|"&amp;E131&amp;"|"&amp;F131</f>
        <v>2.8+2512|IR|delta_tenor_corr|2y|20y</v>
      </c>
      <c r="B131" s="0" t="s">
        <v>9</v>
      </c>
      <c r="C131" s="0" t="s">
        <v>68</v>
      </c>
      <c r="D131" s="0" t="s">
        <v>118</v>
      </c>
      <c r="E131" s="0" t="s">
        <v>29</v>
      </c>
      <c r="F131" s="0" t="s">
        <v>34</v>
      </c>
      <c r="G131" s="0" t="n">
        <v>0.77</v>
      </c>
      <c r="H131" s="0" t="s">
        <v>119</v>
      </c>
      <c r="I131" s="0" t="s">
        <v>72</v>
      </c>
      <c r="J131" s="0" t="s">
        <v>9</v>
      </c>
      <c r="K131" s="0" t="s">
        <v>73</v>
      </c>
      <c r="L131" s="0" t="s">
        <v>120</v>
      </c>
      <c r="M131" s="0" t="s">
        <v>121</v>
      </c>
      <c r="N131" s="0" t="s">
        <v>129</v>
      </c>
      <c r="O131" s="0" t="s">
        <v>128</v>
      </c>
      <c r="P131" s="0" t="s">
        <v>78</v>
      </c>
      <c r="Q131" s="0" t="s">
        <v>79</v>
      </c>
      <c r="R131" s="0" t="s">
        <v>80</v>
      </c>
      <c r="S131" s="0" t="s">
        <v>81</v>
      </c>
      <c r="T131" s="0" t="s">
        <v>82</v>
      </c>
    </row>
    <row r="132" customFormat="false" ht="15" hidden="false" customHeight="false" outlineLevel="0" collapsed="false">
      <c r="A132" s="0" t="str">
        <f aca="false">B132&amp;"|"&amp;C132&amp;"|"&amp;D132&amp;"|"&amp;E132&amp;"|"&amp;F132</f>
        <v>2.8+2512|IR|delta_tenor_corr|2y|30y</v>
      </c>
      <c r="B132" s="0" t="s">
        <v>9</v>
      </c>
      <c r="C132" s="0" t="s">
        <v>68</v>
      </c>
      <c r="D132" s="0" t="s">
        <v>118</v>
      </c>
      <c r="E132" s="0" t="s">
        <v>29</v>
      </c>
      <c r="F132" s="0" t="s">
        <v>35</v>
      </c>
      <c r="G132" s="0" t="n">
        <v>0.76</v>
      </c>
      <c r="H132" s="0" t="s">
        <v>119</v>
      </c>
      <c r="I132" s="0" t="s">
        <v>72</v>
      </c>
      <c r="J132" s="0" t="s">
        <v>9</v>
      </c>
      <c r="K132" s="0" t="s">
        <v>73</v>
      </c>
      <c r="L132" s="0" t="s">
        <v>120</v>
      </c>
      <c r="M132" s="0" t="s">
        <v>121</v>
      </c>
      <c r="N132" s="0" t="s">
        <v>129</v>
      </c>
      <c r="O132" s="0" t="s">
        <v>128</v>
      </c>
      <c r="P132" s="0" t="s">
        <v>78</v>
      </c>
      <c r="Q132" s="0" t="s">
        <v>79</v>
      </c>
      <c r="R132" s="0" t="s">
        <v>80</v>
      </c>
      <c r="S132" s="0" t="s">
        <v>81</v>
      </c>
      <c r="T132" s="0" t="s">
        <v>82</v>
      </c>
    </row>
    <row r="133" customFormat="false" ht="15" hidden="false" customHeight="false" outlineLevel="0" collapsed="false">
      <c r="A133" s="0" t="str">
        <f aca="false">B133&amp;"|"&amp;C133&amp;"|"&amp;D133&amp;"|"&amp;E133&amp;"|"&amp;F133</f>
        <v>2.8+2512|IR|delta_tenor_corr|3y|2w</v>
      </c>
      <c r="B133" s="0" t="s">
        <v>9</v>
      </c>
      <c r="C133" s="0" t="s">
        <v>68</v>
      </c>
      <c r="D133" s="0" t="s">
        <v>118</v>
      </c>
      <c r="E133" s="0" t="s">
        <v>30</v>
      </c>
      <c r="F133" s="0" t="s">
        <v>24</v>
      </c>
      <c r="G133" s="0" t="n">
        <v>0.25</v>
      </c>
      <c r="H133" s="0" t="s">
        <v>119</v>
      </c>
      <c r="I133" s="0" t="s">
        <v>72</v>
      </c>
      <c r="J133" s="0" t="s">
        <v>9</v>
      </c>
      <c r="K133" s="0" t="s">
        <v>73</v>
      </c>
      <c r="L133" s="0" t="s">
        <v>120</v>
      </c>
      <c r="M133" s="0" t="s">
        <v>121</v>
      </c>
      <c r="N133" s="0" t="s">
        <v>130</v>
      </c>
      <c r="O133" s="0" t="s">
        <v>128</v>
      </c>
      <c r="P133" s="0" t="s">
        <v>78</v>
      </c>
      <c r="Q133" s="0" t="s">
        <v>79</v>
      </c>
      <c r="R133" s="0" t="s">
        <v>80</v>
      </c>
      <c r="S133" s="0" t="s">
        <v>81</v>
      </c>
      <c r="T133" s="0" t="s">
        <v>82</v>
      </c>
    </row>
    <row r="134" customFormat="false" ht="15" hidden="false" customHeight="false" outlineLevel="0" collapsed="false">
      <c r="A134" s="0" t="str">
        <f aca="false">B134&amp;"|"&amp;C134&amp;"|"&amp;D134&amp;"|"&amp;E134&amp;"|"&amp;F134</f>
        <v>2.8+2512|IR|delta_tenor_corr|3y|1m</v>
      </c>
      <c r="B134" s="0" t="s">
        <v>9</v>
      </c>
      <c r="C134" s="0" t="s">
        <v>68</v>
      </c>
      <c r="D134" s="0" t="s">
        <v>118</v>
      </c>
      <c r="E134" s="0" t="s">
        <v>30</v>
      </c>
      <c r="F134" s="0" t="s">
        <v>25</v>
      </c>
      <c r="G134" s="0" t="n">
        <v>0.3</v>
      </c>
      <c r="H134" s="0" t="s">
        <v>119</v>
      </c>
      <c r="I134" s="0" t="s">
        <v>72</v>
      </c>
      <c r="J134" s="0" t="s">
        <v>9</v>
      </c>
      <c r="K134" s="0" t="s">
        <v>73</v>
      </c>
      <c r="L134" s="0" t="s">
        <v>120</v>
      </c>
      <c r="M134" s="0" t="s">
        <v>121</v>
      </c>
      <c r="N134" s="0" t="s">
        <v>130</v>
      </c>
      <c r="O134" s="0" t="s">
        <v>128</v>
      </c>
      <c r="P134" s="0" t="s">
        <v>78</v>
      </c>
      <c r="Q134" s="0" t="s">
        <v>79</v>
      </c>
      <c r="R134" s="0" t="s">
        <v>80</v>
      </c>
      <c r="S134" s="0" t="s">
        <v>81</v>
      </c>
      <c r="T134" s="0" t="s">
        <v>82</v>
      </c>
    </row>
    <row r="135" customFormat="false" ht="15" hidden="false" customHeight="false" outlineLevel="0" collapsed="false">
      <c r="A135" s="0" t="str">
        <f aca="false">B135&amp;"|"&amp;C135&amp;"|"&amp;D135&amp;"|"&amp;E135&amp;"|"&amp;F135</f>
        <v>2.8+2512|IR|delta_tenor_corr|3y|3m</v>
      </c>
      <c r="B135" s="0" t="s">
        <v>9</v>
      </c>
      <c r="C135" s="0" t="s">
        <v>68</v>
      </c>
      <c r="D135" s="0" t="s">
        <v>118</v>
      </c>
      <c r="E135" s="0" t="s">
        <v>30</v>
      </c>
      <c r="F135" s="0" t="s">
        <v>26</v>
      </c>
      <c r="G135" s="0" t="n">
        <v>0.46</v>
      </c>
      <c r="H135" s="0" t="s">
        <v>119</v>
      </c>
      <c r="I135" s="0" t="s">
        <v>72</v>
      </c>
      <c r="J135" s="0" t="s">
        <v>9</v>
      </c>
      <c r="K135" s="0" t="s">
        <v>73</v>
      </c>
      <c r="L135" s="0" t="s">
        <v>120</v>
      </c>
      <c r="M135" s="0" t="s">
        <v>121</v>
      </c>
      <c r="N135" s="0" t="s">
        <v>130</v>
      </c>
      <c r="O135" s="0" t="s">
        <v>128</v>
      </c>
      <c r="P135" s="0" t="s">
        <v>78</v>
      </c>
      <c r="Q135" s="0" t="s">
        <v>79</v>
      </c>
      <c r="R135" s="0" t="s">
        <v>80</v>
      </c>
      <c r="S135" s="0" t="s">
        <v>81</v>
      </c>
      <c r="T135" s="0" t="s">
        <v>82</v>
      </c>
    </row>
    <row r="136" customFormat="false" ht="15" hidden="false" customHeight="false" outlineLevel="0" collapsed="false">
      <c r="A136" s="0" t="str">
        <f aca="false">B136&amp;"|"&amp;C136&amp;"|"&amp;D136&amp;"|"&amp;E136&amp;"|"&amp;F136</f>
        <v>2.8+2512|IR|delta_tenor_corr|3y|6m</v>
      </c>
      <c r="B136" s="0" t="s">
        <v>9</v>
      </c>
      <c r="C136" s="0" t="s">
        <v>68</v>
      </c>
      <c r="D136" s="0" t="s">
        <v>118</v>
      </c>
      <c r="E136" s="0" t="s">
        <v>30</v>
      </c>
      <c r="F136" s="0" t="s">
        <v>27</v>
      </c>
      <c r="G136" s="0" t="n">
        <v>0.65</v>
      </c>
      <c r="H136" s="0" t="s">
        <v>119</v>
      </c>
      <c r="I136" s="0" t="s">
        <v>72</v>
      </c>
      <c r="J136" s="0" t="s">
        <v>9</v>
      </c>
      <c r="K136" s="0" t="s">
        <v>73</v>
      </c>
      <c r="L136" s="0" t="s">
        <v>120</v>
      </c>
      <c r="M136" s="0" t="s">
        <v>121</v>
      </c>
      <c r="N136" s="0" t="s">
        <v>130</v>
      </c>
      <c r="O136" s="0" t="s">
        <v>128</v>
      </c>
      <c r="P136" s="0" t="s">
        <v>78</v>
      </c>
      <c r="Q136" s="0" t="s">
        <v>79</v>
      </c>
      <c r="R136" s="0" t="s">
        <v>80</v>
      </c>
      <c r="S136" s="0" t="s">
        <v>81</v>
      </c>
      <c r="T136" s="0" t="s">
        <v>82</v>
      </c>
    </row>
    <row r="137" customFormat="false" ht="15" hidden="false" customHeight="false" outlineLevel="0" collapsed="false">
      <c r="A137" s="0" t="str">
        <f aca="false">B137&amp;"|"&amp;C137&amp;"|"&amp;D137&amp;"|"&amp;E137&amp;"|"&amp;F137</f>
        <v>2.8+2512|IR|delta_tenor_corr|3y|1y</v>
      </c>
      <c r="B137" s="0" t="s">
        <v>9</v>
      </c>
      <c r="C137" s="0" t="s">
        <v>68</v>
      </c>
      <c r="D137" s="0" t="s">
        <v>118</v>
      </c>
      <c r="E137" s="0" t="s">
        <v>30</v>
      </c>
      <c r="F137" s="0" t="s">
        <v>28</v>
      </c>
      <c r="G137" s="0" t="n">
        <v>0.87</v>
      </c>
      <c r="H137" s="0" t="s">
        <v>119</v>
      </c>
      <c r="I137" s="0" t="s">
        <v>72</v>
      </c>
      <c r="J137" s="0" t="s">
        <v>9</v>
      </c>
      <c r="K137" s="0" t="s">
        <v>73</v>
      </c>
      <c r="L137" s="0" t="s">
        <v>120</v>
      </c>
      <c r="M137" s="0" t="s">
        <v>121</v>
      </c>
      <c r="N137" s="0" t="s">
        <v>130</v>
      </c>
      <c r="O137" s="0" t="s">
        <v>128</v>
      </c>
      <c r="P137" s="0" t="s">
        <v>78</v>
      </c>
      <c r="Q137" s="0" t="s">
        <v>79</v>
      </c>
      <c r="R137" s="0" t="s">
        <v>80</v>
      </c>
      <c r="S137" s="0" t="s">
        <v>81</v>
      </c>
      <c r="T137" s="0" t="s">
        <v>82</v>
      </c>
    </row>
    <row r="138" customFormat="false" ht="15" hidden="false" customHeight="false" outlineLevel="0" collapsed="false">
      <c r="A138" s="0" t="str">
        <f aca="false">B138&amp;"|"&amp;C138&amp;"|"&amp;D138&amp;"|"&amp;E138&amp;"|"&amp;F138</f>
        <v>2.8+2512|IR|delta_tenor_corr|3y|2y</v>
      </c>
      <c r="B138" s="0" t="s">
        <v>9</v>
      </c>
      <c r="C138" s="0" t="s">
        <v>68</v>
      </c>
      <c r="D138" s="0" t="s">
        <v>118</v>
      </c>
      <c r="E138" s="0" t="s">
        <v>30</v>
      </c>
      <c r="F138" s="0" t="s">
        <v>29</v>
      </c>
      <c r="G138" s="0" t="n">
        <v>0.97</v>
      </c>
      <c r="H138" s="0" t="s">
        <v>119</v>
      </c>
      <c r="I138" s="0" t="s">
        <v>72</v>
      </c>
      <c r="J138" s="0" t="s">
        <v>9</v>
      </c>
      <c r="K138" s="0" t="s">
        <v>73</v>
      </c>
      <c r="L138" s="0" t="s">
        <v>120</v>
      </c>
      <c r="M138" s="0" t="s">
        <v>121</v>
      </c>
      <c r="N138" s="0" t="s">
        <v>130</v>
      </c>
      <c r="O138" s="0" t="s">
        <v>128</v>
      </c>
      <c r="P138" s="0" t="s">
        <v>78</v>
      </c>
      <c r="Q138" s="0" t="s">
        <v>79</v>
      </c>
      <c r="R138" s="0" t="s">
        <v>80</v>
      </c>
      <c r="S138" s="0" t="s">
        <v>81</v>
      </c>
      <c r="T138" s="0" t="s">
        <v>82</v>
      </c>
    </row>
    <row r="139" customFormat="false" ht="15" hidden="false" customHeight="false" outlineLevel="0" collapsed="false">
      <c r="A139" s="0" t="str">
        <f aca="false">B139&amp;"|"&amp;C139&amp;"|"&amp;D139&amp;"|"&amp;E139&amp;"|"&amp;F139</f>
        <v>2.8+2512|IR|delta_tenor_corr|3y|3y</v>
      </c>
      <c r="B139" s="0" t="s">
        <v>9</v>
      </c>
      <c r="C139" s="0" t="s">
        <v>68</v>
      </c>
      <c r="D139" s="0" t="s">
        <v>118</v>
      </c>
      <c r="E139" s="0" t="s">
        <v>30</v>
      </c>
      <c r="F139" s="0" t="s">
        <v>30</v>
      </c>
      <c r="G139" s="0" t="n">
        <v>1</v>
      </c>
      <c r="H139" s="0" t="s">
        <v>119</v>
      </c>
      <c r="I139" s="0" t="s">
        <v>72</v>
      </c>
      <c r="J139" s="0" t="s">
        <v>9</v>
      </c>
      <c r="K139" s="0" t="s">
        <v>73</v>
      </c>
      <c r="L139" s="0" t="s">
        <v>120</v>
      </c>
      <c r="M139" s="0" t="s">
        <v>121</v>
      </c>
      <c r="N139" s="0" t="s">
        <v>130</v>
      </c>
      <c r="O139" s="0" t="s">
        <v>128</v>
      </c>
      <c r="P139" s="0" t="s">
        <v>78</v>
      </c>
      <c r="Q139" s="0" t="s">
        <v>79</v>
      </c>
      <c r="R139" s="0" t="s">
        <v>80</v>
      </c>
      <c r="S139" s="0" t="s">
        <v>81</v>
      </c>
      <c r="T139" s="0" t="s">
        <v>123</v>
      </c>
    </row>
    <row r="140" customFormat="false" ht="15" hidden="false" customHeight="false" outlineLevel="0" collapsed="false">
      <c r="A140" s="0" t="str">
        <f aca="false">B140&amp;"|"&amp;C140&amp;"|"&amp;D140&amp;"|"&amp;E140&amp;"|"&amp;F140</f>
        <v>2.8+2512|IR|delta_tenor_corr|3y|5y</v>
      </c>
      <c r="B140" s="0" t="s">
        <v>9</v>
      </c>
      <c r="C140" s="0" t="s">
        <v>68</v>
      </c>
      <c r="D140" s="0" t="s">
        <v>118</v>
      </c>
      <c r="E140" s="0" t="s">
        <v>30</v>
      </c>
      <c r="F140" s="0" t="s">
        <v>31</v>
      </c>
      <c r="G140" s="0" t="n">
        <v>0.97</v>
      </c>
      <c r="H140" s="0" t="s">
        <v>119</v>
      </c>
      <c r="I140" s="0" t="s">
        <v>72</v>
      </c>
      <c r="J140" s="0" t="s">
        <v>9</v>
      </c>
      <c r="K140" s="0" t="s">
        <v>73</v>
      </c>
      <c r="L140" s="0" t="s">
        <v>120</v>
      </c>
      <c r="M140" s="0" t="s">
        <v>121</v>
      </c>
      <c r="N140" s="0" t="s">
        <v>130</v>
      </c>
      <c r="O140" s="0" t="s">
        <v>128</v>
      </c>
      <c r="P140" s="0" t="s">
        <v>78</v>
      </c>
      <c r="Q140" s="0" t="s">
        <v>79</v>
      </c>
      <c r="R140" s="0" t="s">
        <v>80</v>
      </c>
      <c r="S140" s="0" t="s">
        <v>81</v>
      </c>
      <c r="T140" s="0" t="s">
        <v>82</v>
      </c>
    </row>
    <row r="141" customFormat="false" ht="15" hidden="false" customHeight="false" outlineLevel="0" collapsed="false">
      <c r="A141" s="0" t="str">
        <f aca="false">B141&amp;"|"&amp;C141&amp;"|"&amp;D141&amp;"|"&amp;E141&amp;"|"&amp;F141</f>
        <v>2.8+2512|IR|delta_tenor_corr|3y|10y</v>
      </c>
      <c r="B141" s="0" t="s">
        <v>9</v>
      </c>
      <c r="C141" s="0" t="s">
        <v>68</v>
      </c>
      <c r="D141" s="0" t="s">
        <v>118</v>
      </c>
      <c r="E141" s="0" t="s">
        <v>30</v>
      </c>
      <c r="F141" s="0" t="s">
        <v>32</v>
      </c>
      <c r="G141" s="0" t="n">
        <v>0.91</v>
      </c>
      <c r="H141" s="0" t="s">
        <v>119</v>
      </c>
      <c r="I141" s="0" t="s">
        <v>72</v>
      </c>
      <c r="J141" s="0" t="s">
        <v>9</v>
      </c>
      <c r="K141" s="0" t="s">
        <v>73</v>
      </c>
      <c r="L141" s="0" t="s">
        <v>120</v>
      </c>
      <c r="M141" s="0" t="s">
        <v>121</v>
      </c>
      <c r="N141" s="0" t="s">
        <v>130</v>
      </c>
      <c r="O141" s="0" t="s">
        <v>128</v>
      </c>
      <c r="P141" s="0" t="s">
        <v>78</v>
      </c>
      <c r="Q141" s="0" t="s">
        <v>79</v>
      </c>
      <c r="R141" s="0" t="s">
        <v>80</v>
      </c>
      <c r="S141" s="0" t="s">
        <v>81</v>
      </c>
      <c r="T141" s="0" t="s">
        <v>82</v>
      </c>
    </row>
    <row r="142" customFormat="false" ht="15" hidden="false" customHeight="false" outlineLevel="0" collapsed="false">
      <c r="A142" s="0" t="str">
        <f aca="false">B142&amp;"|"&amp;C142&amp;"|"&amp;D142&amp;"|"&amp;E142&amp;"|"&amp;F142</f>
        <v>2.8+2512|IR|delta_tenor_corr|3y|15y</v>
      </c>
      <c r="B142" s="0" t="s">
        <v>9</v>
      </c>
      <c r="C142" s="0" t="s">
        <v>68</v>
      </c>
      <c r="D142" s="0" t="s">
        <v>118</v>
      </c>
      <c r="E142" s="0" t="s">
        <v>30</v>
      </c>
      <c r="F142" s="0" t="s">
        <v>33</v>
      </c>
      <c r="G142" s="0" t="n">
        <v>0.87</v>
      </c>
      <c r="H142" s="0" t="s">
        <v>119</v>
      </c>
      <c r="I142" s="0" t="s">
        <v>72</v>
      </c>
      <c r="J142" s="0" t="s">
        <v>9</v>
      </c>
      <c r="K142" s="0" t="s">
        <v>73</v>
      </c>
      <c r="L142" s="0" t="s">
        <v>120</v>
      </c>
      <c r="M142" s="0" t="s">
        <v>121</v>
      </c>
      <c r="N142" s="0" t="s">
        <v>130</v>
      </c>
      <c r="O142" s="0" t="s">
        <v>128</v>
      </c>
      <c r="P142" s="0" t="s">
        <v>78</v>
      </c>
      <c r="Q142" s="0" t="s">
        <v>79</v>
      </c>
      <c r="R142" s="0" t="s">
        <v>80</v>
      </c>
      <c r="S142" s="0" t="s">
        <v>81</v>
      </c>
      <c r="T142" s="0" t="s">
        <v>82</v>
      </c>
    </row>
    <row r="143" customFormat="false" ht="15" hidden="false" customHeight="false" outlineLevel="0" collapsed="false">
      <c r="A143" s="0" t="str">
        <f aca="false">B143&amp;"|"&amp;C143&amp;"|"&amp;D143&amp;"|"&amp;E143&amp;"|"&amp;F143</f>
        <v>2.8+2512|IR|delta_tenor_corr|3y|20y</v>
      </c>
      <c r="B143" s="0" t="s">
        <v>9</v>
      </c>
      <c r="C143" s="0" t="s">
        <v>68</v>
      </c>
      <c r="D143" s="0" t="s">
        <v>118</v>
      </c>
      <c r="E143" s="0" t="s">
        <v>30</v>
      </c>
      <c r="F143" s="0" t="s">
        <v>34</v>
      </c>
      <c r="G143" s="0" t="n">
        <v>0.82</v>
      </c>
      <c r="H143" s="0" t="s">
        <v>119</v>
      </c>
      <c r="I143" s="0" t="s">
        <v>72</v>
      </c>
      <c r="J143" s="0" t="s">
        <v>9</v>
      </c>
      <c r="K143" s="0" t="s">
        <v>73</v>
      </c>
      <c r="L143" s="0" t="s">
        <v>120</v>
      </c>
      <c r="M143" s="0" t="s">
        <v>121</v>
      </c>
      <c r="N143" s="0" t="s">
        <v>130</v>
      </c>
      <c r="O143" s="0" t="s">
        <v>128</v>
      </c>
      <c r="P143" s="0" t="s">
        <v>78</v>
      </c>
      <c r="Q143" s="0" t="s">
        <v>79</v>
      </c>
      <c r="R143" s="0" t="s">
        <v>80</v>
      </c>
      <c r="S143" s="0" t="s">
        <v>81</v>
      </c>
      <c r="T143" s="0" t="s">
        <v>82</v>
      </c>
    </row>
    <row r="144" customFormat="false" ht="15" hidden="false" customHeight="false" outlineLevel="0" collapsed="false">
      <c r="A144" s="0" t="str">
        <f aca="false">B144&amp;"|"&amp;C144&amp;"|"&amp;D144&amp;"|"&amp;E144&amp;"|"&amp;F144</f>
        <v>2.8+2512|IR|delta_tenor_corr|3y|30y</v>
      </c>
      <c r="B144" s="0" t="s">
        <v>9</v>
      </c>
      <c r="C144" s="0" t="s">
        <v>68</v>
      </c>
      <c r="D144" s="0" t="s">
        <v>118</v>
      </c>
      <c r="E144" s="0" t="s">
        <v>30</v>
      </c>
      <c r="F144" s="0" t="s">
        <v>35</v>
      </c>
      <c r="G144" s="0" t="n">
        <v>0.81</v>
      </c>
      <c r="H144" s="0" t="s">
        <v>119</v>
      </c>
      <c r="I144" s="0" t="s">
        <v>72</v>
      </c>
      <c r="J144" s="0" t="s">
        <v>9</v>
      </c>
      <c r="K144" s="0" t="s">
        <v>73</v>
      </c>
      <c r="L144" s="0" t="s">
        <v>120</v>
      </c>
      <c r="M144" s="0" t="s">
        <v>121</v>
      </c>
      <c r="N144" s="0" t="s">
        <v>130</v>
      </c>
      <c r="O144" s="0" t="s">
        <v>128</v>
      </c>
      <c r="P144" s="0" t="s">
        <v>78</v>
      </c>
      <c r="Q144" s="0" t="s">
        <v>79</v>
      </c>
      <c r="R144" s="0" t="s">
        <v>80</v>
      </c>
      <c r="S144" s="0" t="s">
        <v>81</v>
      </c>
      <c r="T144" s="0" t="s">
        <v>82</v>
      </c>
    </row>
    <row r="145" customFormat="false" ht="15" hidden="false" customHeight="false" outlineLevel="0" collapsed="false">
      <c r="A145" s="0" t="str">
        <f aca="false">B145&amp;"|"&amp;C145&amp;"|"&amp;D145&amp;"|"&amp;E145&amp;"|"&amp;F145</f>
        <v>2.8+2512|IR|delta_tenor_corr|5y|2w</v>
      </c>
      <c r="B145" s="0" t="s">
        <v>9</v>
      </c>
      <c r="C145" s="0" t="s">
        <v>68</v>
      </c>
      <c r="D145" s="0" t="s">
        <v>118</v>
      </c>
      <c r="E145" s="0" t="s">
        <v>31</v>
      </c>
      <c r="F145" s="0" t="s">
        <v>24</v>
      </c>
      <c r="G145" s="0" t="n">
        <v>0.22</v>
      </c>
      <c r="H145" s="0" t="s">
        <v>119</v>
      </c>
      <c r="I145" s="0" t="s">
        <v>72</v>
      </c>
      <c r="J145" s="0" t="s">
        <v>9</v>
      </c>
      <c r="K145" s="0" t="s">
        <v>73</v>
      </c>
      <c r="L145" s="0" t="s">
        <v>120</v>
      </c>
      <c r="M145" s="0" t="s">
        <v>121</v>
      </c>
      <c r="N145" s="0" t="s">
        <v>131</v>
      </c>
      <c r="O145" s="0" t="s">
        <v>128</v>
      </c>
      <c r="P145" s="0" t="s">
        <v>78</v>
      </c>
      <c r="Q145" s="0" t="s">
        <v>79</v>
      </c>
      <c r="R145" s="0" t="s">
        <v>80</v>
      </c>
      <c r="S145" s="0" t="s">
        <v>81</v>
      </c>
      <c r="T145" s="0" t="s">
        <v>82</v>
      </c>
    </row>
    <row r="146" customFormat="false" ht="15" hidden="false" customHeight="false" outlineLevel="0" collapsed="false">
      <c r="A146" s="0" t="str">
        <f aca="false">B146&amp;"|"&amp;C146&amp;"|"&amp;D146&amp;"|"&amp;E146&amp;"|"&amp;F146</f>
        <v>2.8+2512|IR|delta_tenor_corr|5y|1m</v>
      </c>
      <c r="B146" s="0" t="s">
        <v>9</v>
      </c>
      <c r="C146" s="0" t="s">
        <v>68</v>
      </c>
      <c r="D146" s="0" t="s">
        <v>118</v>
      </c>
      <c r="E146" s="0" t="s">
        <v>31</v>
      </c>
      <c r="F146" s="0" t="s">
        <v>25</v>
      </c>
      <c r="G146" s="0" t="n">
        <v>0.25</v>
      </c>
      <c r="H146" s="0" t="s">
        <v>119</v>
      </c>
      <c r="I146" s="0" t="s">
        <v>72</v>
      </c>
      <c r="J146" s="0" t="s">
        <v>9</v>
      </c>
      <c r="K146" s="0" t="s">
        <v>73</v>
      </c>
      <c r="L146" s="0" t="s">
        <v>120</v>
      </c>
      <c r="M146" s="0" t="s">
        <v>121</v>
      </c>
      <c r="N146" s="0" t="s">
        <v>131</v>
      </c>
      <c r="O146" s="0" t="s">
        <v>128</v>
      </c>
      <c r="P146" s="0" t="s">
        <v>78</v>
      </c>
      <c r="Q146" s="0" t="s">
        <v>79</v>
      </c>
      <c r="R146" s="0" t="s">
        <v>80</v>
      </c>
      <c r="S146" s="0" t="s">
        <v>81</v>
      </c>
      <c r="T146" s="0" t="s">
        <v>82</v>
      </c>
    </row>
    <row r="147" customFormat="false" ht="15" hidden="false" customHeight="false" outlineLevel="0" collapsed="false">
      <c r="A147" s="0" t="str">
        <f aca="false">B147&amp;"|"&amp;C147&amp;"|"&amp;D147&amp;"|"&amp;E147&amp;"|"&amp;F147</f>
        <v>2.8+2512|IR|delta_tenor_corr|5y|3m</v>
      </c>
      <c r="B147" s="0" t="s">
        <v>9</v>
      </c>
      <c r="C147" s="0" t="s">
        <v>68</v>
      </c>
      <c r="D147" s="0" t="s">
        <v>118</v>
      </c>
      <c r="E147" s="0" t="s">
        <v>31</v>
      </c>
      <c r="F147" s="0" t="s">
        <v>26</v>
      </c>
      <c r="G147" s="0" t="n">
        <v>0.4</v>
      </c>
      <c r="H147" s="0" t="s">
        <v>119</v>
      </c>
      <c r="I147" s="0" t="s">
        <v>72</v>
      </c>
      <c r="J147" s="0" t="s">
        <v>9</v>
      </c>
      <c r="K147" s="0" t="s">
        <v>73</v>
      </c>
      <c r="L147" s="0" t="s">
        <v>120</v>
      </c>
      <c r="M147" s="0" t="s">
        <v>121</v>
      </c>
      <c r="N147" s="0" t="s">
        <v>131</v>
      </c>
      <c r="O147" s="0" t="s">
        <v>128</v>
      </c>
      <c r="P147" s="0" t="s">
        <v>78</v>
      </c>
      <c r="Q147" s="0" t="s">
        <v>79</v>
      </c>
      <c r="R147" s="0" t="s">
        <v>80</v>
      </c>
      <c r="S147" s="0" t="s">
        <v>81</v>
      </c>
      <c r="T147" s="0" t="s">
        <v>82</v>
      </c>
    </row>
    <row r="148" customFormat="false" ht="15" hidden="false" customHeight="false" outlineLevel="0" collapsed="false">
      <c r="A148" s="0" t="str">
        <f aca="false">B148&amp;"|"&amp;C148&amp;"|"&amp;D148&amp;"|"&amp;E148&amp;"|"&amp;F148</f>
        <v>2.8+2512|IR|delta_tenor_corr|5y|6m</v>
      </c>
      <c r="B148" s="0" t="s">
        <v>9</v>
      </c>
      <c r="C148" s="0" t="s">
        <v>68</v>
      </c>
      <c r="D148" s="0" t="s">
        <v>118</v>
      </c>
      <c r="E148" s="0" t="s">
        <v>31</v>
      </c>
      <c r="F148" s="0" t="s">
        <v>27</v>
      </c>
      <c r="G148" s="0" t="n">
        <v>0.58</v>
      </c>
      <c r="H148" s="0" t="s">
        <v>119</v>
      </c>
      <c r="I148" s="0" t="s">
        <v>72</v>
      </c>
      <c r="J148" s="0" t="s">
        <v>9</v>
      </c>
      <c r="K148" s="0" t="s">
        <v>73</v>
      </c>
      <c r="L148" s="0" t="s">
        <v>120</v>
      </c>
      <c r="M148" s="0" t="s">
        <v>121</v>
      </c>
      <c r="N148" s="0" t="s">
        <v>131</v>
      </c>
      <c r="O148" s="0" t="s">
        <v>128</v>
      </c>
      <c r="P148" s="0" t="s">
        <v>78</v>
      </c>
      <c r="Q148" s="0" t="s">
        <v>79</v>
      </c>
      <c r="R148" s="0" t="s">
        <v>80</v>
      </c>
      <c r="S148" s="0" t="s">
        <v>81</v>
      </c>
      <c r="T148" s="0" t="s">
        <v>82</v>
      </c>
    </row>
    <row r="149" customFormat="false" ht="15" hidden="false" customHeight="false" outlineLevel="0" collapsed="false">
      <c r="A149" s="0" t="str">
        <f aca="false">B149&amp;"|"&amp;C149&amp;"|"&amp;D149&amp;"|"&amp;E149&amp;"|"&amp;F149</f>
        <v>2.8+2512|IR|delta_tenor_corr|5y|1y</v>
      </c>
      <c r="B149" s="0" t="s">
        <v>9</v>
      </c>
      <c r="C149" s="0" t="s">
        <v>68</v>
      </c>
      <c r="D149" s="0" t="s">
        <v>118</v>
      </c>
      <c r="E149" s="0" t="s">
        <v>31</v>
      </c>
      <c r="F149" s="0" t="s">
        <v>28</v>
      </c>
      <c r="G149" s="0" t="n">
        <v>0.81</v>
      </c>
      <c r="H149" s="0" t="s">
        <v>119</v>
      </c>
      <c r="I149" s="0" t="s">
        <v>72</v>
      </c>
      <c r="J149" s="0" t="s">
        <v>9</v>
      </c>
      <c r="K149" s="0" t="s">
        <v>73</v>
      </c>
      <c r="L149" s="0" t="s">
        <v>120</v>
      </c>
      <c r="M149" s="0" t="s">
        <v>121</v>
      </c>
      <c r="N149" s="0" t="s">
        <v>131</v>
      </c>
      <c r="O149" s="0" t="s">
        <v>128</v>
      </c>
      <c r="P149" s="0" t="s">
        <v>78</v>
      </c>
      <c r="Q149" s="0" t="s">
        <v>79</v>
      </c>
      <c r="R149" s="0" t="s">
        <v>80</v>
      </c>
      <c r="S149" s="0" t="s">
        <v>81</v>
      </c>
      <c r="T149" s="0" t="s">
        <v>82</v>
      </c>
    </row>
    <row r="150" customFormat="false" ht="15" hidden="false" customHeight="false" outlineLevel="0" collapsed="false">
      <c r="A150" s="0" t="str">
        <f aca="false">B150&amp;"|"&amp;C150&amp;"|"&amp;D150&amp;"|"&amp;E150&amp;"|"&amp;F150</f>
        <v>2.8+2512|IR|delta_tenor_corr|5y|2y</v>
      </c>
      <c r="B150" s="0" t="s">
        <v>9</v>
      </c>
      <c r="C150" s="0" t="s">
        <v>68</v>
      </c>
      <c r="D150" s="0" t="s">
        <v>118</v>
      </c>
      <c r="E150" s="0" t="s">
        <v>31</v>
      </c>
      <c r="F150" s="0" t="s">
        <v>29</v>
      </c>
      <c r="G150" s="0" t="n">
        <v>0.92</v>
      </c>
      <c r="H150" s="0" t="s">
        <v>119</v>
      </c>
      <c r="I150" s="0" t="s">
        <v>72</v>
      </c>
      <c r="J150" s="0" t="s">
        <v>9</v>
      </c>
      <c r="K150" s="0" t="s">
        <v>73</v>
      </c>
      <c r="L150" s="0" t="s">
        <v>120</v>
      </c>
      <c r="M150" s="0" t="s">
        <v>121</v>
      </c>
      <c r="N150" s="0" t="s">
        <v>131</v>
      </c>
      <c r="O150" s="0" t="s">
        <v>128</v>
      </c>
      <c r="P150" s="0" t="s">
        <v>78</v>
      </c>
      <c r="Q150" s="0" t="s">
        <v>79</v>
      </c>
      <c r="R150" s="0" t="s">
        <v>80</v>
      </c>
      <c r="S150" s="0" t="s">
        <v>81</v>
      </c>
      <c r="T150" s="0" t="s">
        <v>82</v>
      </c>
    </row>
    <row r="151" customFormat="false" ht="15" hidden="false" customHeight="false" outlineLevel="0" collapsed="false">
      <c r="A151" s="0" t="str">
        <f aca="false">B151&amp;"|"&amp;C151&amp;"|"&amp;D151&amp;"|"&amp;E151&amp;"|"&amp;F151</f>
        <v>2.8+2512|IR|delta_tenor_corr|5y|3y</v>
      </c>
      <c r="B151" s="0" t="s">
        <v>9</v>
      </c>
      <c r="C151" s="0" t="s">
        <v>68</v>
      </c>
      <c r="D151" s="0" t="s">
        <v>118</v>
      </c>
      <c r="E151" s="0" t="s">
        <v>31</v>
      </c>
      <c r="F151" s="0" t="s">
        <v>30</v>
      </c>
      <c r="G151" s="0" t="n">
        <v>0.97</v>
      </c>
      <c r="H151" s="0" t="s">
        <v>119</v>
      </c>
      <c r="I151" s="0" t="s">
        <v>72</v>
      </c>
      <c r="J151" s="0" t="s">
        <v>9</v>
      </c>
      <c r="K151" s="0" t="s">
        <v>73</v>
      </c>
      <c r="L151" s="0" t="s">
        <v>120</v>
      </c>
      <c r="M151" s="0" t="s">
        <v>121</v>
      </c>
      <c r="N151" s="0" t="s">
        <v>131</v>
      </c>
      <c r="O151" s="0" t="s">
        <v>128</v>
      </c>
      <c r="P151" s="0" t="s">
        <v>78</v>
      </c>
      <c r="Q151" s="0" t="s">
        <v>79</v>
      </c>
      <c r="R151" s="0" t="s">
        <v>80</v>
      </c>
      <c r="S151" s="0" t="s">
        <v>81</v>
      </c>
      <c r="T151" s="0" t="s">
        <v>82</v>
      </c>
    </row>
    <row r="152" customFormat="false" ht="15" hidden="false" customHeight="false" outlineLevel="0" collapsed="false">
      <c r="A152" s="0" t="str">
        <f aca="false">B152&amp;"|"&amp;C152&amp;"|"&amp;D152&amp;"|"&amp;E152&amp;"|"&amp;F152</f>
        <v>2.8+2512|IR|delta_tenor_corr|5y|5y</v>
      </c>
      <c r="B152" s="0" t="s">
        <v>9</v>
      </c>
      <c r="C152" s="0" t="s">
        <v>68</v>
      </c>
      <c r="D152" s="0" t="s">
        <v>118</v>
      </c>
      <c r="E152" s="0" t="s">
        <v>31</v>
      </c>
      <c r="F152" s="0" t="s">
        <v>31</v>
      </c>
      <c r="G152" s="0" t="n">
        <v>1</v>
      </c>
      <c r="H152" s="0" t="s">
        <v>119</v>
      </c>
      <c r="I152" s="0" t="s">
        <v>72</v>
      </c>
      <c r="J152" s="0" t="s">
        <v>9</v>
      </c>
      <c r="K152" s="0" t="s">
        <v>73</v>
      </c>
      <c r="L152" s="0" t="s">
        <v>120</v>
      </c>
      <c r="M152" s="0" t="s">
        <v>121</v>
      </c>
      <c r="N152" s="0" t="s">
        <v>131</v>
      </c>
      <c r="O152" s="0" t="s">
        <v>128</v>
      </c>
      <c r="P152" s="0" t="s">
        <v>78</v>
      </c>
      <c r="Q152" s="0" t="s">
        <v>79</v>
      </c>
      <c r="R152" s="0" t="s">
        <v>80</v>
      </c>
      <c r="S152" s="0" t="s">
        <v>81</v>
      </c>
      <c r="T152" s="0" t="s">
        <v>123</v>
      </c>
    </row>
    <row r="153" customFormat="false" ht="15" hidden="false" customHeight="false" outlineLevel="0" collapsed="false">
      <c r="A153" s="0" t="str">
        <f aca="false">B153&amp;"|"&amp;C153&amp;"|"&amp;D153&amp;"|"&amp;E153&amp;"|"&amp;F153</f>
        <v>2.8+2512|IR|delta_tenor_corr|5y|10y</v>
      </c>
      <c r="B153" s="0" t="s">
        <v>9</v>
      </c>
      <c r="C153" s="0" t="s">
        <v>68</v>
      </c>
      <c r="D153" s="0" t="s">
        <v>118</v>
      </c>
      <c r="E153" s="0" t="s">
        <v>31</v>
      </c>
      <c r="F153" s="0" t="s">
        <v>32</v>
      </c>
      <c r="G153" s="0" t="n">
        <v>0.96</v>
      </c>
      <c r="H153" s="0" t="s">
        <v>119</v>
      </c>
      <c r="I153" s="0" t="s">
        <v>72</v>
      </c>
      <c r="J153" s="0" t="s">
        <v>9</v>
      </c>
      <c r="K153" s="0" t="s">
        <v>73</v>
      </c>
      <c r="L153" s="0" t="s">
        <v>120</v>
      </c>
      <c r="M153" s="0" t="s">
        <v>121</v>
      </c>
      <c r="N153" s="0" t="s">
        <v>131</v>
      </c>
      <c r="O153" s="0" t="s">
        <v>128</v>
      </c>
      <c r="P153" s="0" t="s">
        <v>78</v>
      </c>
      <c r="Q153" s="0" t="s">
        <v>79</v>
      </c>
      <c r="R153" s="0" t="s">
        <v>80</v>
      </c>
      <c r="S153" s="0" t="s">
        <v>81</v>
      </c>
      <c r="T153" s="0" t="s">
        <v>82</v>
      </c>
    </row>
    <row r="154" customFormat="false" ht="15" hidden="false" customHeight="false" outlineLevel="0" collapsed="false">
      <c r="A154" s="0" t="str">
        <f aca="false">B154&amp;"|"&amp;C154&amp;"|"&amp;D154&amp;"|"&amp;E154&amp;"|"&amp;F154</f>
        <v>2.8+2512|IR|delta_tenor_corr|5y|15y</v>
      </c>
      <c r="B154" s="0" t="s">
        <v>9</v>
      </c>
      <c r="C154" s="0" t="s">
        <v>68</v>
      </c>
      <c r="D154" s="0" t="s">
        <v>118</v>
      </c>
      <c r="E154" s="0" t="s">
        <v>31</v>
      </c>
      <c r="F154" s="0" t="s">
        <v>33</v>
      </c>
      <c r="G154" s="0" t="n">
        <v>0.93</v>
      </c>
      <c r="H154" s="0" t="s">
        <v>119</v>
      </c>
      <c r="I154" s="0" t="s">
        <v>72</v>
      </c>
      <c r="J154" s="0" t="s">
        <v>9</v>
      </c>
      <c r="K154" s="0" t="s">
        <v>73</v>
      </c>
      <c r="L154" s="0" t="s">
        <v>120</v>
      </c>
      <c r="M154" s="0" t="s">
        <v>121</v>
      </c>
      <c r="N154" s="0" t="s">
        <v>131</v>
      </c>
      <c r="O154" s="0" t="s">
        <v>128</v>
      </c>
      <c r="P154" s="0" t="s">
        <v>78</v>
      </c>
      <c r="Q154" s="0" t="s">
        <v>79</v>
      </c>
      <c r="R154" s="0" t="s">
        <v>80</v>
      </c>
      <c r="S154" s="0" t="s">
        <v>81</v>
      </c>
      <c r="T154" s="0" t="s">
        <v>82</v>
      </c>
    </row>
    <row r="155" customFormat="false" ht="15" hidden="false" customHeight="false" outlineLevel="0" collapsed="false">
      <c r="A155" s="0" t="str">
        <f aca="false">B155&amp;"|"&amp;C155&amp;"|"&amp;D155&amp;"|"&amp;E155&amp;"|"&amp;F155</f>
        <v>2.8+2512|IR|delta_tenor_corr|5y|20y</v>
      </c>
      <c r="B155" s="0" t="s">
        <v>9</v>
      </c>
      <c r="C155" s="0" t="s">
        <v>68</v>
      </c>
      <c r="D155" s="0" t="s">
        <v>118</v>
      </c>
      <c r="E155" s="0" t="s">
        <v>31</v>
      </c>
      <c r="F155" s="0" t="s">
        <v>34</v>
      </c>
      <c r="G155" s="0" t="n">
        <v>0.89</v>
      </c>
      <c r="H155" s="0" t="s">
        <v>119</v>
      </c>
      <c r="I155" s="0" t="s">
        <v>72</v>
      </c>
      <c r="J155" s="0" t="s">
        <v>9</v>
      </c>
      <c r="K155" s="0" t="s">
        <v>73</v>
      </c>
      <c r="L155" s="0" t="s">
        <v>120</v>
      </c>
      <c r="M155" s="0" t="s">
        <v>121</v>
      </c>
      <c r="N155" s="0" t="s">
        <v>131</v>
      </c>
      <c r="O155" s="0" t="s">
        <v>128</v>
      </c>
      <c r="P155" s="0" t="s">
        <v>78</v>
      </c>
      <c r="Q155" s="0" t="s">
        <v>79</v>
      </c>
      <c r="R155" s="0" t="s">
        <v>80</v>
      </c>
      <c r="S155" s="0" t="s">
        <v>81</v>
      </c>
      <c r="T155" s="0" t="s">
        <v>82</v>
      </c>
    </row>
    <row r="156" customFormat="false" ht="15" hidden="false" customHeight="false" outlineLevel="0" collapsed="false">
      <c r="A156" s="0" t="str">
        <f aca="false">B156&amp;"|"&amp;C156&amp;"|"&amp;D156&amp;"|"&amp;E156&amp;"|"&amp;F156</f>
        <v>2.8+2512|IR|delta_tenor_corr|5y|30y</v>
      </c>
      <c r="B156" s="0" t="s">
        <v>9</v>
      </c>
      <c r="C156" s="0" t="s">
        <v>68</v>
      </c>
      <c r="D156" s="0" t="s">
        <v>118</v>
      </c>
      <c r="E156" s="0" t="s">
        <v>31</v>
      </c>
      <c r="F156" s="0" t="s">
        <v>35</v>
      </c>
      <c r="G156" s="0" t="n">
        <v>0.88</v>
      </c>
      <c r="H156" s="0" t="s">
        <v>119</v>
      </c>
      <c r="I156" s="0" t="s">
        <v>72</v>
      </c>
      <c r="J156" s="0" t="s">
        <v>9</v>
      </c>
      <c r="K156" s="0" t="s">
        <v>73</v>
      </c>
      <c r="L156" s="0" t="s">
        <v>120</v>
      </c>
      <c r="M156" s="0" t="s">
        <v>121</v>
      </c>
      <c r="N156" s="0" t="s">
        <v>131</v>
      </c>
      <c r="O156" s="0" t="s">
        <v>128</v>
      </c>
      <c r="P156" s="0" t="s">
        <v>78</v>
      </c>
      <c r="Q156" s="0" t="s">
        <v>79</v>
      </c>
      <c r="R156" s="0" t="s">
        <v>80</v>
      </c>
      <c r="S156" s="0" t="s">
        <v>81</v>
      </c>
      <c r="T156" s="0" t="s">
        <v>82</v>
      </c>
    </row>
    <row r="157" customFormat="false" ht="15" hidden="false" customHeight="false" outlineLevel="0" collapsed="false">
      <c r="A157" s="0" t="str">
        <f aca="false">B157&amp;"|"&amp;C157&amp;"|"&amp;D157&amp;"|"&amp;E157&amp;"|"&amp;F157</f>
        <v>2.8+2512|IR|delta_tenor_corr|10y|2w</v>
      </c>
      <c r="B157" s="0" t="s">
        <v>9</v>
      </c>
      <c r="C157" s="0" t="s">
        <v>68</v>
      </c>
      <c r="D157" s="0" t="s">
        <v>118</v>
      </c>
      <c r="E157" s="0" t="s">
        <v>32</v>
      </c>
      <c r="F157" s="0" t="s">
        <v>24</v>
      </c>
      <c r="G157" s="0" t="n">
        <v>0.17</v>
      </c>
      <c r="H157" s="0" t="s">
        <v>119</v>
      </c>
      <c r="I157" s="0" t="s">
        <v>72</v>
      </c>
      <c r="J157" s="0" t="s">
        <v>9</v>
      </c>
      <c r="K157" s="0" t="s">
        <v>73</v>
      </c>
      <c r="L157" s="0" t="s">
        <v>120</v>
      </c>
      <c r="M157" s="0" t="s">
        <v>121</v>
      </c>
      <c r="N157" s="0" t="s">
        <v>132</v>
      </c>
      <c r="O157" s="0" t="s">
        <v>128</v>
      </c>
      <c r="P157" s="0" t="s">
        <v>78</v>
      </c>
      <c r="Q157" s="0" t="s">
        <v>79</v>
      </c>
      <c r="R157" s="0" t="s">
        <v>80</v>
      </c>
      <c r="S157" s="0" t="s">
        <v>81</v>
      </c>
      <c r="T157" s="0" t="s">
        <v>82</v>
      </c>
    </row>
    <row r="158" customFormat="false" ht="15" hidden="false" customHeight="false" outlineLevel="0" collapsed="false">
      <c r="A158" s="0" t="str">
        <f aca="false">B158&amp;"|"&amp;C158&amp;"|"&amp;D158&amp;"|"&amp;E158&amp;"|"&amp;F158</f>
        <v>2.8+2512|IR|delta_tenor_corr|10y|1m</v>
      </c>
      <c r="B158" s="0" t="s">
        <v>9</v>
      </c>
      <c r="C158" s="0" t="s">
        <v>68</v>
      </c>
      <c r="D158" s="0" t="s">
        <v>118</v>
      </c>
      <c r="E158" s="0" t="s">
        <v>32</v>
      </c>
      <c r="F158" s="0" t="s">
        <v>25</v>
      </c>
      <c r="G158" s="0" t="n">
        <v>0.2</v>
      </c>
      <c r="H158" s="0" t="s">
        <v>119</v>
      </c>
      <c r="I158" s="0" t="s">
        <v>72</v>
      </c>
      <c r="J158" s="0" t="s">
        <v>9</v>
      </c>
      <c r="K158" s="0" t="s">
        <v>73</v>
      </c>
      <c r="L158" s="0" t="s">
        <v>120</v>
      </c>
      <c r="M158" s="0" t="s">
        <v>121</v>
      </c>
      <c r="N158" s="0" t="s">
        <v>132</v>
      </c>
      <c r="O158" s="0" t="s">
        <v>128</v>
      </c>
      <c r="P158" s="0" t="s">
        <v>78</v>
      </c>
      <c r="Q158" s="0" t="s">
        <v>79</v>
      </c>
      <c r="R158" s="0" t="s">
        <v>80</v>
      </c>
      <c r="S158" s="0" t="s">
        <v>81</v>
      </c>
      <c r="T158" s="0" t="s">
        <v>82</v>
      </c>
    </row>
    <row r="159" customFormat="false" ht="15" hidden="false" customHeight="false" outlineLevel="0" collapsed="false">
      <c r="A159" s="0" t="str">
        <f aca="false">B159&amp;"|"&amp;C159&amp;"|"&amp;D159&amp;"|"&amp;E159&amp;"|"&amp;F159</f>
        <v>2.8+2512|IR|delta_tenor_corr|10y|3m</v>
      </c>
      <c r="B159" s="0" t="s">
        <v>9</v>
      </c>
      <c r="C159" s="0" t="s">
        <v>68</v>
      </c>
      <c r="D159" s="0" t="s">
        <v>118</v>
      </c>
      <c r="E159" s="0" t="s">
        <v>32</v>
      </c>
      <c r="F159" s="0" t="s">
        <v>26</v>
      </c>
      <c r="G159" s="0" t="n">
        <v>0.34</v>
      </c>
      <c r="H159" s="0" t="s">
        <v>119</v>
      </c>
      <c r="I159" s="0" t="s">
        <v>72</v>
      </c>
      <c r="J159" s="0" t="s">
        <v>9</v>
      </c>
      <c r="K159" s="0" t="s">
        <v>73</v>
      </c>
      <c r="L159" s="0" t="s">
        <v>120</v>
      </c>
      <c r="M159" s="0" t="s">
        <v>121</v>
      </c>
      <c r="N159" s="0" t="s">
        <v>132</v>
      </c>
      <c r="O159" s="0" t="s">
        <v>128</v>
      </c>
      <c r="P159" s="0" t="s">
        <v>78</v>
      </c>
      <c r="Q159" s="0" t="s">
        <v>79</v>
      </c>
      <c r="R159" s="0" t="s">
        <v>80</v>
      </c>
      <c r="S159" s="0" t="s">
        <v>81</v>
      </c>
      <c r="T159" s="0" t="s">
        <v>82</v>
      </c>
    </row>
    <row r="160" customFormat="false" ht="15" hidden="false" customHeight="false" outlineLevel="0" collapsed="false">
      <c r="A160" s="0" t="str">
        <f aca="false">B160&amp;"|"&amp;C160&amp;"|"&amp;D160&amp;"|"&amp;E160&amp;"|"&amp;F160</f>
        <v>2.8+2512|IR|delta_tenor_corr|10y|6m</v>
      </c>
      <c r="B160" s="0" t="s">
        <v>9</v>
      </c>
      <c r="C160" s="0" t="s">
        <v>68</v>
      </c>
      <c r="D160" s="0" t="s">
        <v>118</v>
      </c>
      <c r="E160" s="0" t="s">
        <v>32</v>
      </c>
      <c r="F160" s="0" t="s">
        <v>27</v>
      </c>
      <c r="G160" s="0" t="n">
        <v>0.52</v>
      </c>
      <c r="H160" s="0" t="s">
        <v>119</v>
      </c>
      <c r="I160" s="0" t="s">
        <v>72</v>
      </c>
      <c r="J160" s="0" t="s">
        <v>9</v>
      </c>
      <c r="K160" s="0" t="s">
        <v>73</v>
      </c>
      <c r="L160" s="0" t="s">
        <v>120</v>
      </c>
      <c r="M160" s="0" t="s">
        <v>121</v>
      </c>
      <c r="N160" s="0" t="s">
        <v>132</v>
      </c>
      <c r="O160" s="0" t="s">
        <v>128</v>
      </c>
      <c r="P160" s="0" t="s">
        <v>78</v>
      </c>
      <c r="Q160" s="0" t="s">
        <v>79</v>
      </c>
      <c r="R160" s="0" t="s">
        <v>80</v>
      </c>
      <c r="S160" s="0" t="s">
        <v>81</v>
      </c>
      <c r="T160" s="0" t="s">
        <v>82</v>
      </c>
    </row>
    <row r="161" customFormat="false" ht="15" hidden="false" customHeight="false" outlineLevel="0" collapsed="false">
      <c r="A161" s="0" t="str">
        <f aca="false">B161&amp;"|"&amp;C161&amp;"|"&amp;D161&amp;"|"&amp;E161&amp;"|"&amp;F161</f>
        <v>2.8+2512|IR|delta_tenor_corr|10y|1y</v>
      </c>
      <c r="B161" s="0" t="s">
        <v>9</v>
      </c>
      <c r="C161" s="0" t="s">
        <v>68</v>
      </c>
      <c r="D161" s="0" t="s">
        <v>118</v>
      </c>
      <c r="E161" s="0" t="s">
        <v>32</v>
      </c>
      <c r="F161" s="0" t="s">
        <v>28</v>
      </c>
      <c r="G161" s="0" t="n">
        <v>0.73</v>
      </c>
      <c r="H161" s="0" t="s">
        <v>119</v>
      </c>
      <c r="I161" s="0" t="s">
        <v>72</v>
      </c>
      <c r="J161" s="0" t="s">
        <v>9</v>
      </c>
      <c r="K161" s="0" t="s">
        <v>73</v>
      </c>
      <c r="L161" s="0" t="s">
        <v>120</v>
      </c>
      <c r="M161" s="0" t="s">
        <v>121</v>
      </c>
      <c r="N161" s="0" t="s">
        <v>132</v>
      </c>
      <c r="O161" s="0" t="s">
        <v>128</v>
      </c>
      <c r="P161" s="0" t="s">
        <v>78</v>
      </c>
      <c r="Q161" s="0" t="s">
        <v>79</v>
      </c>
      <c r="R161" s="0" t="s">
        <v>80</v>
      </c>
      <c r="S161" s="0" t="s">
        <v>81</v>
      </c>
      <c r="T161" s="0" t="s">
        <v>82</v>
      </c>
    </row>
    <row r="162" customFormat="false" ht="15" hidden="false" customHeight="false" outlineLevel="0" collapsed="false">
      <c r="A162" s="0" t="str">
        <f aca="false">B162&amp;"|"&amp;C162&amp;"|"&amp;D162&amp;"|"&amp;E162&amp;"|"&amp;F162</f>
        <v>2.8+2512|IR|delta_tenor_corr|10y|2y</v>
      </c>
      <c r="B162" s="0" t="s">
        <v>9</v>
      </c>
      <c r="C162" s="0" t="s">
        <v>68</v>
      </c>
      <c r="D162" s="0" t="s">
        <v>118</v>
      </c>
      <c r="E162" s="0" t="s">
        <v>32</v>
      </c>
      <c r="F162" s="0" t="s">
        <v>29</v>
      </c>
      <c r="G162" s="0" t="n">
        <v>0.86</v>
      </c>
      <c r="H162" s="0" t="s">
        <v>119</v>
      </c>
      <c r="I162" s="0" t="s">
        <v>72</v>
      </c>
      <c r="J162" s="0" t="s">
        <v>9</v>
      </c>
      <c r="K162" s="0" t="s">
        <v>73</v>
      </c>
      <c r="L162" s="0" t="s">
        <v>120</v>
      </c>
      <c r="M162" s="0" t="s">
        <v>121</v>
      </c>
      <c r="N162" s="0" t="s">
        <v>132</v>
      </c>
      <c r="O162" s="0" t="s">
        <v>128</v>
      </c>
      <c r="P162" s="0" t="s">
        <v>78</v>
      </c>
      <c r="Q162" s="0" t="s">
        <v>79</v>
      </c>
      <c r="R162" s="0" t="s">
        <v>80</v>
      </c>
      <c r="S162" s="0" t="s">
        <v>81</v>
      </c>
      <c r="T162" s="0" t="s">
        <v>82</v>
      </c>
    </row>
    <row r="163" customFormat="false" ht="15" hidden="false" customHeight="false" outlineLevel="0" collapsed="false">
      <c r="A163" s="0" t="str">
        <f aca="false">B163&amp;"|"&amp;C163&amp;"|"&amp;D163&amp;"|"&amp;E163&amp;"|"&amp;F163</f>
        <v>2.8+2512|IR|delta_tenor_corr|10y|3y</v>
      </c>
      <c r="B163" s="0" t="s">
        <v>9</v>
      </c>
      <c r="C163" s="0" t="s">
        <v>68</v>
      </c>
      <c r="D163" s="0" t="s">
        <v>118</v>
      </c>
      <c r="E163" s="0" t="s">
        <v>32</v>
      </c>
      <c r="F163" s="0" t="s">
        <v>30</v>
      </c>
      <c r="G163" s="0" t="n">
        <v>0.91</v>
      </c>
      <c r="H163" s="0" t="s">
        <v>119</v>
      </c>
      <c r="I163" s="0" t="s">
        <v>72</v>
      </c>
      <c r="J163" s="0" t="s">
        <v>9</v>
      </c>
      <c r="K163" s="0" t="s">
        <v>73</v>
      </c>
      <c r="L163" s="0" t="s">
        <v>120</v>
      </c>
      <c r="M163" s="0" t="s">
        <v>121</v>
      </c>
      <c r="N163" s="0" t="s">
        <v>132</v>
      </c>
      <c r="O163" s="0" t="s">
        <v>128</v>
      </c>
      <c r="P163" s="0" t="s">
        <v>78</v>
      </c>
      <c r="Q163" s="0" t="s">
        <v>79</v>
      </c>
      <c r="R163" s="0" t="s">
        <v>80</v>
      </c>
      <c r="S163" s="0" t="s">
        <v>81</v>
      </c>
      <c r="T163" s="0" t="s">
        <v>82</v>
      </c>
    </row>
    <row r="164" customFormat="false" ht="15" hidden="false" customHeight="false" outlineLevel="0" collapsed="false">
      <c r="A164" s="0" t="str">
        <f aca="false">B164&amp;"|"&amp;C164&amp;"|"&amp;D164&amp;"|"&amp;E164&amp;"|"&amp;F164</f>
        <v>2.8+2512|IR|delta_tenor_corr|10y|5y</v>
      </c>
      <c r="B164" s="0" t="s">
        <v>9</v>
      </c>
      <c r="C164" s="0" t="s">
        <v>68</v>
      </c>
      <c r="D164" s="0" t="s">
        <v>118</v>
      </c>
      <c r="E164" s="0" t="s">
        <v>32</v>
      </c>
      <c r="F164" s="0" t="s">
        <v>31</v>
      </c>
      <c r="G164" s="0" t="n">
        <v>0.96</v>
      </c>
      <c r="H164" s="0" t="s">
        <v>119</v>
      </c>
      <c r="I164" s="0" t="s">
        <v>72</v>
      </c>
      <c r="J164" s="0" t="s">
        <v>9</v>
      </c>
      <c r="K164" s="0" t="s">
        <v>73</v>
      </c>
      <c r="L164" s="0" t="s">
        <v>120</v>
      </c>
      <c r="M164" s="0" t="s">
        <v>121</v>
      </c>
      <c r="N164" s="0" t="s">
        <v>132</v>
      </c>
      <c r="O164" s="0" t="s">
        <v>128</v>
      </c>
      <c r="P164" s="0" t="s">
        <v>78</v>
      </c>
      <c r="Q164" s="0" t="s">
        <v>79</v>
      </c>
      <c r="R164" s="0" t="s">
        <v>80</v>
      </c>
      <c r="S164" s="0" t="s">
        <v>81</v>
      </c>
      <c r="T164" s="0" t="s">
        <v>82</v>
      </c>
    </row>
    <row r="165" customFormat="false" ht="15" hidden="false" customHeight="false" outlineLevel="0" collapsed="false">
      <c r="A165" s="0" t="str">
        <f aca="false">B165&amp;"|"&amp;C165&amp;"|"&amp;D165&amp;"|"&amp;E165&amp;"|"&amp;F165</f>
        <v>2.8+2512|IR|delta_tenor_corr|10y|10y</v>
      </c>
      <c r="B165" s="0" t="s">
        <v>9</v>
      </c>
      <c r="C165" s="0" t="s">
        <v>68</v>
      </c>
      <c r="D165" s="0" t="s">
        <v>118</v>
      </c>
      <c r="E165" s="0" t="s">
        <v>32</v>
      </c>
      <c r="F165" s="0" t="s">
        <v>32</v>
      </c>
      <c r="G165" s="0" t="n">
        <v>1</v>
      </c>
      <c r="H165" s="0" t="s">
        <v>119</v>
      </c>
      <c r="I165" s="0" t="s">
        <v>72</v>
      </c>
      <c r="J165" s="0" t="s">
        <v>9</v>
      </c>
      <c r="K165" s="0" t="s">
        <v>73</v>
      </c>
      <c r="L165" s="0" t="s">
        <v>120</v>
      </c>
      <c r="M165" s="0" t="s">
        <v>121</v>
      </c>
      <c r="N165" s="0" t="s">
        <v>132</v>
      </c>
      <c r="O165" s="0" t="s">
        <v>128</v>
      </c>
      <c r="P165" s="0" t="s">
        <v>78</v>
      </c>
      <c r="Q165" s="0" t="s">
        <v>79</v>
      </c>
      <c r="R165" s="0" t="s">
        <v>80</v>
      </c>
      <c r="S165" s="0" t="s">
        <v>81</v>
      </c>
      <c r="T165" s="0" t="s">
        <v>123</v>
      </c>
    </row>
    <row r="166" customFormat="false" ht="15" hidden="false" customHeight="false" outlineLevel="0" collapsed="false">
      <c r="A166" s="0" t="str">
        <f aca="false">B166&amp;"|"&amp;C166&amp;"|"&amp;D166&amp;"|"&amp;E166&amp;"|"&amp;F166</f>
        <v>2.8+2512|IR|delta_tenor_corr|10y|15y</v>
      </c>
      <c r="B166" s="0" t="s">
        <v>9</v>
      </c>
      <c r="C166" s="0" t="s">
        <v>68</v>
      </c>
      <c r="D166" s="0" t="s">
        <v>118</v>
      </c>
      <c r="E166" s="0" t="s">
        <v>32</v>
      </c>
      <c r="F166" s="0" t="s">
        <v>33</v>
      </c>
      <c r="G166" s="0" t="n">
        <v>0.98</v>
      </c>
      <c r="H166" s="0" t="s">
        <v>119</v>
      </c>
      <c r="I166" s="0" t="s">
        <v>72</v>
      </c>
      <c r="J166" s="0" t="s">
        <v>9</v>
      </c>
      <c r="K166" s="0" t="s">
        <v>73</v>
      </c>
      <c r="L166" s="0" t="s">
        <v>120</v>
      </c>
      <c r="M166" s="0" t="s">
        <v>121</v>
      </c>
      <c r="N166" s="0" t="s">
        <v>132</v>
      </c>
      <c r="O166" s="0" t="s">
        <v>128</v>
      </c>
      <c r="P166" s="0" t="s">
        <v>78</v>
      </c>
      <c r="Q166" s="0" t="s">
        <v>79</v>
      </c>
      <c r="R166" s="0" t="s">
        <v>80</v>
      </c>
      <c r="S166" s="0" t="s">
        <v>81</v>
      </c>
      <c r="T166" s="0" t="s">
        <v>82</v>
      </c>
    </row>
    <row r="167" customFormat="false" ht="15" hidden="false" customHeight="false" outlineLevel="0" collapsed="false">
      <c r="A167" s="0" t="str">
        <f aca="false">B167&amp;"|"&amp;C167&amp;"|"&amp;D167&amp;"|"&amp;E167&amp;"|"&amp;F167</f>
        <v>2.8+2512|IR|delta_tenor_corr|10y|20y</v>
      </c>
      <c r="B167" s="0" t="s">
        <v>9</v>
      </c>
      <c r="C167" s="0" t="s">
        <v>68</v>
      </c>
      <c r="D167" s="0" t="s">
        <v>118</v>
      </c>
      <c r="E167" s="0" t="s">
        <v>32</v>
      </c>
      <c r="F167" s="0" t="s">
        <v>34</v>
      </c>
      <c r="G167" s="0" t="n">
        <v>0.95</v>
      </c>
      <c r="H167" s="0" t="s">
        <v>119</v>
      </c>
      <c r="I167" s="0" t="s">
        <v>72</v>
      </c>
      <c r="J167" s="0" t="s">
        <v>9</v>
      </c>
      <c r="K167" s="0" t="s">
        <v>73</v>
      </c>
      <c r="L167" s="0" t="s">
        <v>120</v>
      </c>
      <c r="M167" s="0" t="s">
        <v>121</v>
      </c>
      <c r="N167" s="0" t="s">
        <v>132</v>
      </c>
      <c r="O167" s="0" t="s">
        <v>128</v>
      </c>
      <c r="P167" s="0" t="s">
        <v>78</v>
      </c>
      <c r="Q167" s="0" t="s">
        <v>79</v>
      </c>
      <c r="R167" s="0" t="s">
        <v>80</v>
      </c>
      <c r="S167" s="0" t="s">
        <v>81</v>
      </c>
      <c r="T167" s="0" t="s">
        <v>82</v>
      </c>
    </row>
    <row r="168" customFormat="false" ht="15" hidden="false" customHeight="false" outlineLevel="0" collapsed="false">
      <c r="A168" s="0" t="str">
        <f aca="false">B168&amp;"|"&amp;C168&amp;"|"&amp;D168&amp;"|"&amp;E168&amp;"|"&amp;F168</f>
        <v>2.8+2512|IR|delta_tenor_corr|10y|30y</v>
      </c>
      <c r="B168" s="0" t="s">
        <v>9</v>
      </c>
      <c r="C168" s="0" t="s">
        <v>68</v>
      </c>
      <c r="D168" s="0" t="s">
        <v>118</v>
      </c>
      <c r="E168" s="0" t="s">
        <v>32</v>
      </c>
      <c r="F168" s="0" t="s">
        <v>35</v>
      </c>
      <c r="G168" s="0" t="n">
        <v>0.95</v>
      </c>
      <c r="H168" s="0" t="s">
        <v>119</v>
      </c>
      <c r="I168" s="0" t="s">
        <v>72</v>
      </c>
      <c r="J168" s="0" t="s">
        <v>9</v>
      </c>
      <c r="K168" s="0" t="s">
        <v>73</v>
      </c>
      <c r="L168" s="0" t="s">
        <v>120</v>
      </c>
      <c r="M168" s="0" t="s">
        <v>121</v>
      </c>
      <c r="N168" s="0" t="s">
        <v>132</v>
      </c>
      <c r="O168" s="0" t="s">
        <v>128</v>
      </c>
      <c r="P168" s="0" t="s">
        <v>78</v>
      </c>
      <c r="Q168" s="0" t="s">
        <v>79</v>
      </c>
      <c r="R168" s="0" t="s">
        <v>80</v>
      </c>
      <c r="S168" s="0" t="s">
        <v>81</v>
      </c>
      <c r="T168" s="0" t="s">
        <v>82</v>
      </c>
    </row>
    <row r="169" customFormat="false" ht="15" hidden="false" customHeight="false" outlineLevel="0" collapsed="false">
      <c r="A169" s="0" t="str">
        <f aca="false">B169&amp;"|"&amp;C169&amp;"|"&amp;D169&amp;"|"&amp;E169&amp;"|"&amp;F169</f>
        <v>2.8+2512|IR|delta_tenor_corr|15y|2w</v>
      </c>
      <c r="B169" s="0" t="s">
        <v>9</v>
      </c>
      <c r="C169" s="0" t="s">
        <v>68</v>
      </c>
      <c r="D169" s="0" t="s">
        <v>118</v>
      </c>
      <c r="E169" s="0" t="s">
        <v>33</v>
      </c>
      <c r="F169" s="0" t="s">
        <v>24</v>
      </c>
      <c r="G169" s="0" t="n">
        <v>0.16</v>
      </c>
      <c r="H169" s="0" t="s">
        <v>119</v>
      </c>
      <c r="I169" s="0" t="s">
        <v>72</v>
      </c>
      <c r="J169" s="0" t="s">
        <v>9</v>
      </c>
      <c r="K169" s="0" t="s">
        <v>73</v>
      </c>
      <c r="L169" s="0" t="s">
        <v>120</v>
      </c>
      <c r="M169" s="0" t="s">
        <v>121</v>
      </c>
      <c r="N169" s="0" t="s">
        <v>133</v>
      </c>
      <c r="O169" s="0" t="s">
        <v>128</v>
      </c>
      <c r="P169" s="0" t="s">
        <v>78</v>
      </c>
      <c r="Q169" s="0" t="s">
        <v>79</v>
      </c>
      <c r="R169" s="0" t="s">
        <v>80</v>
      </c>
      <c r="S169" s="0" t="s">
        <v>81</v>
      </c>
      <c r="T169" s="0" t="s">
        <v>82</v>
      </c>
    </row>
    <row r="170" customFormat="false" ht="15" hidden="false" customHeight="false" outlineLevel="0" collapsed="false">
      <c r="A170" s="0" t="str">
        <f aca="false">B170&amp;"|"&amp;C170&amp;"|"&amp;D170&amp;"|"&amp;E170&amp;"|"&amp;F170</f>
        <v>2.8+2512|IR|delta_tenor_corr|15y|1m</v>
      </c>
      <c r="B170" s="0" t="s">
        <v>9</v>
      </c>
      <c r="C170" s="0" t="s">
        <v>68</v>
      </c>
      <c r="D170" s="0" t="s">
        <v>118</v>
      </c>
      <c r="E170" s="0" t="s">
        <v>33</v>
      </c>
      <c r="F170" s="0" t="s">
        <v>25</v>
      </c>
      <c r="G170" s="0" t="n">
        <v>0.16</v>
      </c>
      <c r="H170" s="0" t="s">
        <v>119</v>
      </c>
      <c r="I170" s="0" t="s">
        <v>72</v>
      </c>
      <c r="J170" s="0" t="s">
        <v>9</v>
      </c>
      <c r="K170" s="0" t="s">
        <v>73</v>
      </c>
      <c r="L170" s="0" t="s">
        <v>120</v>
      </c>
      <c r="M170" s="0" t="s">
        <v>121</v>
      </c>
      <c r="N170" s="0" t="s">
        <v>133</v>
      </c>
      <c r="O170" s="0" t="s">
        <v>128</v>
      </c>
      <c r="P170" s="0" t="s">
        <v>78</v>
      </c>
      <c r="Q170" s="0" t="s">
        <v>79</v>
      </c>
      <c r="R170" s="0" t="s">
        <v>80</v>
      </c>
      <c r="S170" s="0" t="s">
        <v>81</v>
      </c>
      <c r="T170" s="0" t="s">
        <v>82</v>
      </c>
    </row>
    <row r="171" customFormat="false" ht="15" hidden="false" customHeight="false" outlineLevel="0" collapsed="false">
      <c r="A171" s="0" t="str">
        <f aca="false">B171&amp;"|"&amp;C171&amp;"|"&amp;D171&amp;"|"&amp;E171&amp;"|"&amp;F171</f>
        <v>2.8+2512|IR|delta_tenor_corr|15y|3m</v>
      </c>
      <c r="B171" s="0" t="s">
        <v>9</v>
      </c>
      <c r="C171" s="0" t="s">
        <v>68</v>
      </c>
      <c r="D171" s="0" t="s">
        <v>118</v>
      </c>
      <c r="E171" s="0" t="s">
        <v>33</v>
      </c>
      <c r="F171" s="0" t="s">
        <v>26</v>
      </c>
      <c r="G171" s="0" t="n">
        <v>0.27</v>
      </c>
      <c r="H171" s="0" t="s">
        <v>119</v>
      </c>
      <c r="I171" s="0" t="s">
        <v>72</v>
      </c>
      <c r="J171" s="0" t="s">
        <v>9</v>
      </c>
      <c r="K171" s="0" t="s">
        <v>73</v>
      </c>
      <c r="L171" s="0" t="s">
        <v>120</v>
      </c>
      <c r="M171" s="0" t="s">
        <v>121</v>
      </c>
      <c r="N171" s="0" t="s">
        <v>133</v>
      </c>
      <c r="O171" s="0" t="s">
        <v>128</v>
      </c>
      <c r="P171" s="0" t="s">
        <v>78</v>
      </c>
      <c r="Q171" s="0" t="s">
        <v>79</v>
      </c>
      <c r="R171" s="0" t="s">
        <v>80</v>
      </c>
      <c r="S171" s="0" t="s">
        <v>81</v>
      </c>
      <c r="T171" s="0" t="s">
        <v>82</v>
      </c>
    </row>
    <row r="172" customFormat="false" ht="15" hidden="false" customHeight="false" outlineLevel="0" collapsed="false">
      <c r="A172" s="0" t="str">
        <f aca="false">B172&amp;"|"&amp;C172&amp;"|"&amp;D172&amp;"|"&amp;E172&amp;"|"&amp;F172</f>
        <v>2.8+2512|IR|delta_tenor_corr|15y|6m</v>
      </c>
      <c r="B172" s="0" t="s">
        <v>9</v>
      </c>
      <c r="C172" s="0" t="s">
        <v>68</v>
      </c>
      <c r="D172" s="0" t="s">
        <v>118</v>
      </c>
      <c r="E172" s="0" t="s">
        <v>33</v>
      </c>
      <c r="F172" s="0" t="s">
        <v>27</v>
      </c>
      <c r="G172" s="0" t="n">
        <v>0.47</v>
      </c>
      <c r="H172" s="0" t="s">
        <v>119</v>
      </c>
      <c r="I172" s="0" t="s">
        <v>72</v>
      </c>
      <c r="J172" s="0" t="s">
        <v>9</v>
      </c>
      <c r="K172" s="0" t="s">
        <v>73</v>
      </c>
      <c r="L172" s="0" t="s">
        <v>120</v>
      </c>
      <c r="M172" s="0" t="s">
        <v>121</v>
      </c>
      <c r="N172" s="0" t="s">
        <v>133</v>
      </c>
      <c r="O172" s="0" t="s">
        <v>128</v>
      </c>
      <c r="P172" s="0" t="s">
        <v>78</v>
      </c>
      <c r="Q172" s="0" t="s">
        <v>79</v>
      </c>
      <c r="R172" s="0" t="s">
        <v>80</v>
      </c>
      <c r="S172" s="0" t="s">
        <v>81</v>
      </c>
      <c r="T172" s="0" t="s">
        <v>82</v>
      </c>
    </row>
    <row r="173" customFormat="false" ht="15" hidden="false" customHeight="false" outlineLevel="0" collapsed="false">
      <c r="A173" s="0" t="str">
        <f aca="false">B173&amp;"|"&amp;C173&amp;"|"&amp;D173&amp;"|"&amp;E173&amp;"|"&amp;F173</f>
        <v>2.8+2512|IR|delta_tenor_corr|15y|1y</v>
      </c>
      <c r="B173" s="0" t="s">
        <v>9</v>
      </c>
      <c r="C173" s="0" t="s">
        <v>68</v>
      </c>
      <c r="D173" s="0" t="s">
        <v>118</v>
      </c>
      <c r="E173" s="0" t="s">
        <v>33</v>
      </c>
      <c r="F173" s="0" t="s">
        <v>28</v>
      </c>
      <c r="G173" s="0" t="n">
        <v>0.69</v>
      </c>
      <c r="H173" s="0" t="s">
        <v>119</v>
      </c>
      <c r="I173" s="0" t="s">
        <v>72</v>
      </c>
      <c r="J173" s="0" t="s">
        <v>9</v>
      </c>
      <c r="K173" s="0" t="s">
        <v>73</v>
      </c>
      <c r="L173" s="0" t="s">
        <v>120</v>
      </c>
      <c r="M173" s="0" t="s">
        <v>121</v>
      </c>
      <c r="N173" s="0" t="s">
        <v>133</v>
      </c>
      <c r="O173" s="0" t="s">
        <v>128</v>
      </c>
      <c r="P173" s="0" t="s">
        <v>78</v>
      </c>
      <c r="Q173" s="0" t="s">
        <v>79</v>
      </c>
      <c r="R173" s="0" t="s">
        <v>80</v>
      </c>
      <c r="S173" s="0" t="s">
        <v>81</v>
      </c>
      <c r="T173" s="0" t="s">
        <v>82</v>
      </c>
    </row>
    <row r="174" customFormat="false" ht="15" hidden="false" customHeight="false" outlineLevel="0" collapsed="false">
      <c r="A174" s="0" t="str">
        <f aca="false">B174&amp;"|"&amp;C174&amp;"|"&amp;D174&amp;"|"&amp;E174&amp;"|"&amp;F174</f>
        <v>2.8+2512|IR|delta_tenor_corr|15y|2y</v>
      </c>
      <c r="B174" s="0" t="s">
        <v>9</v>
      </c>
      <c r="C174" s="0" t="s">
        <v>68</v>
      </c>
      <c r="D174" s="0" t="s">
        <v>118</v>
      </c>
      <c r="E174" s="0" t="s">
        <v>33</v>
      </c>
      <c r="F174" s="0" t="s">
        <v>29</v>
      </c>
      <c r="G174" s="0" t="n">
        <v>0.82</v>
      </c>
      <c r="H174" s="0" t="s">
        <v>119</v>
      </c>
      <c r="I174" s="0" t="s">
        <v>72</v>
      </c>
      <c r="J174" s="0" t="s">
        <v>9</v>
      </c>
      <c r="K174" s="0" t="s">
        <v>73</v>
      </c>
      <c r="L174" s="0" t="s">
        <v>120</v>
      </c>
      <c r="M174" s="0" t="s">
        <v>121</v>
      </c>
      <c r="N174" s="0" t="s">
        <v>133</v>
      </c>
      <c r="O174" s="0" t="s">
        <v>128</v>
      </c>
      <c r="P174" s="0" t="s">
        <v>78</v>
      </c>
      <c r="Q174" s="0" t="s">
        <v>79</v>
      </c>
      <c r="R174" s="0" t="s">
        <v>80</v>
      </c>
      <c r="S174" s="0" t="s">
        <v>81</v>
      </c>
      <c r="T174" s="0" t="s">
        <v>82</v>
      </c>
    </row>
    <row r="175" customFormat="false" ht="15" hidden="false" customHeight="false" outlineLevel="0" collapsed="false">
      <c r="A175" s="0" t="str">
        <f aca="false">B175&amp;"|"&amp;C175&amp;"|"&amp;D175&amp;"|"&amp;E175&amp;"|"&amp;F175</f>
        <v>2.8+2512|IR|delta_tenor_corr|15y|3y</v>
      </c>
      <c r="B175" s="0" t="s">
        <v>9</v>
      </c>
      <c r="C175" s="0" t="s">
        <v>68</v>
      </c>
      <c r="D175" s="0" t="s">
        <v>118</v>
      </c>
      <c r="E175" s="0" t="s">
        <v>33</v>
      </c>
      <c r="F175" s="0" t="s">
        <v>30</v>
      </c>
      <c r="G175" s="0" t="n">
        <v>0.87</v>
      </c>
      <c r="H175" s="0" t="s">
        <v>119</v>
      </c>
      <c r="I175" s="0" t="s">
        <v>72</v>
      </c>
      <c r="J175" s="0" t="s">
        <v>9</v>
      </c>
      <c r="K175" s="0" t="s">
        <v>73</v>
      </c>
      <c r="L175" s="0" t="s">
        <v>120</v>
      </c>
      <c r="M175" s="0" t="s">
        <v>121</v>
      </c>
      <c r="N175" s="0" t="s">
        <v>133</v>
      </c>
      <c r="O175" s="0" t="s">
        <v>128</v>
      </c>
      <c r="P175" s="0" t="s">
        <v>78</v>
      </c>
      <c r="Q175" s="0" t="s">
        <v>79</v>
      </c>
      <c r="R175" s="0" t="s">
        <v>80</v>
      </c>
      <c r="S175" s="0" t="s">
        <v>81</v>
      </c>
      <c r="T175" s="0" t="s">
        <v>82</v>
      </c>
    </row>
    <row r="176" customFormat="false" ht="15" hidden="false" customHeight="false" outlineLevel="0" collapsed="false">
      <c r="A176" s="0" t="str">
        <f aca="false">B176&amp;"|"&amp;C176&amp;"|"&amp;D176&amp;"|"&amp;E176&amp;"|"&amp;F176</f>
        <v>2.8+2512|IR|delta_tenor_corr|15y|5y</v>
      </c>
      <c r="B176" s="0" t="s">
        <v>9</v>
      </c>
      <c r="C176" s="0" t="s">
        <v>68</v>
      </c>
      <c r="D176" s="0" t="s">
        <v>118</v>
      </c>
      <c r="E176" s="0" t="s">
        <v>33</v>
      </c>
      <c r="F176" s="0" t="s">
        <v>31</v>
      </c>
      <c r="G176" s="0" t="n">
        <v>0.93</v>
      </c>
      <c r="H176" s="0" t="s">
        <v>119</v>
      </c>
      <c r="I176" s="0" t="s">
        <v>72</v>
      </c>
      <c r="J176" s="0" t="s">
        <v>9</v>
      </c>
      <c r="K176" s="0" t="s">
        <v>73</v>
      </c>
      <c r="L176" s="0" t="s">
        <v>120</v>
      </c>
      <c r="M176" s="0" t="s">
        <v>121</v>
      </c>
      <c r="N176" s="0" t="s">
        <v>133</v>
      </c>
      <c r="O176" s="0" t="s">
        <v>128</v>
      </c>
      <c r="P176" s="0" t="s">
        <v>78</v>
      </c>
      <c r="Q176" s="0" t="s">
        <v>79</v>
      </c>
      <c r="R176" s="0" t="s">
        <v>80</v>
      </c>
      <c r="S176" s="0" t="s">
        <v>81</v>
      </c>
      <c r="T176" s="0" t="s">
        <v>82</v>
      </c>
    </row>
    <row r="177" customFormat="false" ht="15" hidden="false" customHeight="false" outlineLevel="0" collapsed="false">
      <c r="A177" s="0" t="str">
        <f aca="false">B177&amp;"|"&amp;C177&amp;"|"&amp;D177&amp;"|"&amp;E177&amp;"|"&amp;F177</f>
        <v>2.8+2512|IR|delta_tenor_corr|15y|10y</v>
      </c>
      <c r="B177" s="0" t="s">
        <v>9</v>
      </c>
      <c r="C177" s="0" t="s">
        <v>68</v>
      </c>
      <c r="D177" s="0" t="s">
        <v>118</v>
      </c>
      <c r="E177" s="0" t="s">
        <v>33</v>
      </c>
      <c r="F177" s="0" t="s">
        <v>32</v>
      </c>
      <c r="G177" s="0" t="n">
        <v>0.98</v>
      </c>
      <c r="H177" s="0" t="s">
        <v>119</v>
      </c>
      <c r="I177" s="0" t="s">
        <v>72</v>
      </c>
      <c r="J177" s="0" t="s">
        <v>9</v>
      </c>
      <c r="K177" s="0" t="s">
        <v>73</v>
      </c>
      <c r="L177" s="0" t="s">
        <v>120</v>
      </c>
      <c r="M177" s="0" t="s">
        <v>121</v>
      </c>
      <c r="N177" s="0" t="s">
        <v>133</v>
      </c>
      <c r="O177" s="0" t="s">
        <v>128</v>
      </c>
      <c r="P177" s="0" t="s">
        <v>78</v>
      </c>
      <c r="Q177" s="0" t="s">
        <v>79</v>
      </c>
      <c r="R177" s="0" t="s">
        <v>80</v>
      </c>
      <c r="S177" s="0" t="s">
        <v>81</v>
      </c>
      <c r="T177" s="0" t="s">
        <v>82</v>
      </c>
    </row>
    <row r="178" customFormat="false" ht="15" hidden="false" customHeight="false" outlineLevel="0" collapsed="false">
      <c r="A178" s="0" t="str">
        <f aca="false">B178&amp;"|"&amp;C178&amp;"|"&amp;D178&amp;"|"&amp;E178&amp;"|"&amp;F178</f>
        <v>2.8+2512|IR|delta_tenor_corr|15y|15y</v>
      </c>
      <c r="B178" s="0" t="s">
        <v>9</v>
      </c>
      <c r="C178" s="0" t="s">
        <v>68</v>
      </c>
      <c r="D178" s="0" t="s">
        <v>118</v>
      </c>
      <c r="E178" s="0" t="s">
        <v>33</v>
      </c>
      <c r="F178" s="0" t="s">
        <v>33</v>
      </c>
      <c r="G178" s="0" t="n">
        <v>1</v>
      </c>
      <c r="H178" s="0" t="s">
        <v>119</v>
      </c>
      <c r="I178" s="0" t="s">
        <v>72</v>
      </c>
      <c r="J178" s="0" t="s">
        <v>9</v>
      </c>
      <c r="K178" s="0" t="s">
        <v>73</v>
      </c>
      <c r="L178" s="0" t="s">
        <v>120</v>
      </c>
      <c r="M178" s="0" t="s">
        <v>121</v>
      </c>
      <c r="N178" s="0" t="s">
        <v>133</v>
      </c>
      <c r="O178" s="0" t="s">
        <v>128</v>
      </c>
      <c r="P178" s="0" t="s">
        <v>78</v>
      </c>
      <c r="Q178" s="0" t="s">
        <v>79</v>
      </c>
      <c r="R178" s="0" t="s">
        <v>80</v>
      </c>
      <c r="S178" s="0" t="s">
        <v>81</v>
      </c>
      <c r="T178" s="0" t="s">
        <v>123</v>
      </c>
    </row>
    <row r="179" customFormat="false" ht="15" hidden="false" customHeight="false" outlineLevel="0" collapsed="false">
      <c r="A179" s="0" t="str">
        <f aca="false">B179&amp;"|"&amp;C179&amp;"|"&amp;D179&amp;"|"&amp;E179&amp;"|"&amp;F179</f>
        <v>2.8+2512|IR|delta_tenor_corr|15y|20y</v>
      </c>
      <c r="B179" s="0" t="s">
        <v>9</v>
      </c>
      <c r="C179" s="0" t="s">
        <v>68</v>
      </c>
      <c r="D179" s="0" t="s">
        <v>118</v>
      </c>
      <c r="E179" s="0" t="s">
        <v>33</v>
      </c>
      <c r="F179" s="0" t="s">
        <v>34</v>
      </c>
      <c r="G179" s="0" t="n">
        <v>0.98</v>
      </c>
      <c r="H179" s="0" t="s">
        <v>119</v>
      </c>
      <c r="I179" s="0" t="s">
        <v>72</v>
      </c>
      <c r="J179" s="0" t="s">
        <v>9</v>
      </c>
      <c r="K179" s="0" t="s">
        <v>73</v>
      </c>
      <c r="L179" s="0" t="s">
        <v>120</v>
      </c>
      <c r="M179" s="0" t="s">
        <v>121</v>
      </c>
      <c r="N179" s="0" t="s">
        <v>133</v>
      </c>
      <c r="O179" s="0" t="s">
        <v>128</v>
      </c>
      <c r="P179" s="0" t="s">
        <v>78</v>
      </c>
      <c r="Q179" s="0" t="s">
        <v>79</v>
      </c>
      <c r="R179" s="0" t="s">
        <v>80</v>
      </c>
      <c r="S179" s="0" t="s">
        <v>81</v>
      </c>
      <c r="T179" s="0" t="s">
        <v>82</v>
      </c>
    </row>
    <row r="180" customFormat="false" ht="15" hidden="false" customHeight="false" outlineLevel="0" collapsed="false">
      <c r="A180" s="0" t="str">
        <f aca="false">B180&amp;"|"&amp;C180&amp;"|"&amp;D180&amp;"|"&amp;E180&amp;"|"&amp;F180</f>
        <v>2.8+2512|IR|delta_tenor_corr|15y|30y</v>
      </c>
      <c r="B180" s="0" t="s">
        <v>9</v>
      </c>
      <c r="C180" s="0" t="s">
        <v>68</v>
      </c>
      <c r="D180" s="0" t="s">
        <v>118</v>
      </c>
      <c r="E180" s="0" t="s">
        <v>33</v>
      </c>
      <c r="F180" s="0" t="s">
        <v>35</v>
      </c>
      <c r="G180" s="0" t="n">
        <v>0.97</v>
      </c>
      <c r="H180" s="0" t="s">
        <v>119</v>
      </c>
      <c r="I180" s="0" t="s">
        <v>72</v>
      </c>
      <c r="J180" s="0" t="s">
        <v>9</v>
      </c>
      <c r="K180" s="0" t="s">
        <v>73</v>
      </c>
      <c r="L180" s="0" t="s">
        <v>120</v>
      </c>
      <c r="M180" s="0" t="s">
        <v>121</v>
      </c>
      <c r="N180" s="0" t="s">
        <v>133</v>
      </c>
      <c r="O180" s="0" t="s">
        <v>128</v>
      </c>
      <c r="P180" s="0" t="s">
        <v>78</v>
      </c>
      <c r="Q180" s="0" t="s">
        <v>79</v>
      </c>
      <c r="R180" s="0" t="s">
        <v>80</v>
      </c>
      <c r="S180" s="0" t="s">
        <v>81</v>
      </c>
      <c r="T180" s="0" t="s">
        <v>82</v>
      </c>
    </row>
    <row r="181" customFormat="false" ht="15" hidden="false" customHeight="false" outlineLevel="0" collapsed="false">
      <c r="A181" s="0" t="str">
        <f aca="false">B181&amp;"|"&amp;C181&amp;"|"&amp;D181&amp;"|"&amp;E181&amp;"|"&amp;F181</f>
        <v>2.8+2512|IR|delta_tenor_corr|20y|2w</v>
      </c>
      <c r="B181" s="0" t="s">
        <v>9</v>
      </c>
      <c r="C181" s="0" t="s">
        <v>68</v>
      </c>
      <c r="D181" s="0" t="s">
        <v>118</v>
      </c>
      <c r="E181" s="0" t="s">
        <v>34</v>
      </c>
      <c r="F181" s="0" t="s">
        <v>24</v>
      </c>
      <c r="G181" s="0" t="n">
        <v>0.14</v>
      </c>
      <c r="H181" s="0" t="s">
        <v>119</v>
      </c>
      <c r="I181" s="0" t="s">
        <v>72</v>
      </c>
      <c r="J181" s="0" t="s">
        <v>9</v>
      </c>
      <c r="K181" s="0" t="s">
        <v>73</v>
      </c>
      <c r="L181" s="0" t="s">
        <v>120</v>
      </c>
      <c r="M181" s="0" t="s">
        <v>121</v>
      </c>
      <c r="N181" s="0" t="s">
        <v>134</v>
      </c>
      <c r="O181" s="0" t="s">
        <v>128</v>
      </c>
      <c r="P181" s="0" t="s">
        <v>78</v>
      </c>
      <c r="Q181" s="0" t="s">
        <v>79</v>
      </c>
      <c r="R181" s="0" t="s">
        <v>80</v>
      </c>
      <c r="S181" s="0" t="s">
        <v>81</v>
      </c>
      <c r="T181" s="0" t="s">
        <v>82</v>
      </c>
    </row>
    <row r="182" customFormat="false" ht="15" hidden="false" customHeight="false" outlineLevel="0" collapsed="false">
      <c r="A182" s="0" t="str">
        <f aca="false">B182&amp;"|"&amp;C182&amp;"|"&amp;D182&amp;"|"&amp;E182&amp;"|"&amp;F182</f>
        <v>2.8+2512|IR|delta_tenor_corr|20y|1m</v>
      </c>
      <c r="B182" s="0" t="s">
        <v>9</v>
      </c>
      <c r="C182" s="0" t="s">
        <v>68</v>
      </c>
      <c r="D182" s="0" t="s">
        <v>118</v>
      </c>
      <c r="E182" s="0" t="s">
        <v>34</v>
      </c>
      <c r="F182" s="0" t="s">
        <v>25</v>
      </c>
      <c r="G182" s="0" t="n">
        <v>0.14</v>
      </c>
      <c r="H182" s="0" t="s">
        <v>119</v>
      </c>
      <c r="I182" s="0" t="s">
        <v>72</v>
      </c>
      <c r="J182" s="0" t="s">
        <v>9</v>
      </c>
      <c r="K182" s="0" t="s">
        <v>73</v>
      </c>
      <c r="L182" s="0" t="s">
        <v>120</v>
      </c>
      <c r="M182" s="0" t="s">
        <v>121</v>
      </c>
      <c r="N182" s="0" t="s">
        <v>134</v>
      </c>
      <c r="O182" s="0" t="s">
        <v>128</v>
      </c>
      <c r="P182" s="0" t="s">
        <v>78</v>
      </c>
      <c r="Q182" s="0" t="s">
        <v>79</v>
      </c>
      <c r="R182" s="0" t="s">
        <v>80</v>
      </c>
      <c r="S182" s="0" t="s">
        <v>81</v>
      </c>
      <c r="T182" s="0" t="s">
        <v>82</v>
      </c>
    </row>
    <row r="183" customFormat="false" ht="15" hidden="false" customHeight="false" outlineLevel="0" collapsed="false">
      <c r="A183" s="0" t="str">
        <f aca="false">B183&amp;"|"&amp;C183&amp;"|"&amp;D183&amp;"|"&amp;E183&amp;"|"&amp;F183</f>
        <v>2.8+2512|IR|delta_tenor_corr|20y|3m</v>
      </c>
      <c r="B183" s="0" t="s">
        <v>9</v>
      </c>
      <c r="C183" s="0" t="s">
        <v>68</v>
      </c>
      <c r="D183" s="0" t="s">
        <v>118</v>
      </c>
      <c r="E183" s="0" t="s">
        <v>34</v>
      </c>
      <c r="F183" s="0" t="s">
        <v>26</v>
      </c>
      <c r="G183" s="0" t="n">
        <v>0.25</v>
      </c>
      <c r="H183" s="0" t="s">
        <v>119</v>
      </c>
      <c r="I183" s="0" t="s">
        <v>72</v>
      </c>
      <c r="J183" s="0" t="s">
        <v>9</v>
      </c>
      <c r="K183" s="0" t="s">
        <v>73</v>
      </c>
      <c r="L183" s="0" t="s">
        <v>120</v>
      </c>
      <c r="M183" s="0" t="s">
        <v>121</v>
      </c>
      <c r="N183" s="0" t="s">
        <v>134</v>
      </c>
      <c r="O183" s="0" t="s">
        <v>128</v>
      </c>
      <c r="P183" s="0" t="s">
        <v>78</v>
      </c>
      <c r="Q183" s="0" t="s">
        <v>79</v>
      </c>
      <c r="R183" s="0" t="s">
        <v>80</v>
      </c>
      <c r="S183" s="0" t="s">
        <v>81</v>
      </c>
      <c r="T183" s="0" t="s">
        <v>82</v>
      </c>
    </row>
    <row r="184" customFormat="false" ht="15" hidden="false" customHeight="false" outlineLevel="0" collapsed="false">
      <c r="A184" s="0" t="str">
        <f aca="false">B184&amp;"|"&amp;C184&amp;"|"&amp;D184&amp;"|"&amp;E184&amp;"|"&amp;F184</f>
        <v>2.8+2512|IR|delta_tenor_corr|20y|6m</v>
      </c>
      <c r="B184" s="0" t="s">
        <v>9</v>
      </c>
      <c r="C184" s="0" t="s">
        <v>68</v>
      </c>
      <c r="D184" s="0" t="s">
        <v>118</v>
      </c>
      <c r="E184" s="0" t="s">
        <v>34</v>
      </c>
      <c r="F184" s="0" t="s">
        <v>27</v>
      </c>
      <c r="G184" s="0" t="n">
        <v>0.44</v>
      </c>
      <c r="H184" s="0" t="s">
        <v>119</v>
      </c>
      <c r="I184" s="0" t="s">
        <v>72</v>
      </c>
      <c r="J184" s="0" t="s">
        <v>9</v>
      </c>
      <c r="K184" s="0" t="s">
        <v>73</v>
      </c>
      <c r="L184" s="0" t="s">
        <v>120</v>
      </c>
      <c r="M184" s="0" t="s">
        <v>121</v>
      </c>
      <c r="N184" s="0" t="s">
        <v>134</v>
      </c>
      <c r="O184" s="0" t="s">
        <v>128</v>
      </c>
      <c r="P184" s="0" t="s">
        <v>78</v>
      </c>
      <c r="Q184" s="0" t="s">
        <v>79</v>
      </c>
      <c r="R184" s="0" t="s">
        <v>80</v>
      </c>
      <c r="S184" s="0" t="s">
        <v>81</v>
      </c>
      <c r="T184" s="0" t="s">
        <v>82</v>
      </c>
    </row>
    <row r="185" customFormat="false" ht="15" hidden="false" customHeight="false" outlineLevel="0" collapsed="false">
      <c r="A185" s="0" t="str">
        <f aca="false">B185&amp;"|"&amp;C185&amp;"|"&amp;D185&amp;"|"&amp;E185&amp;"|"&amp;F185</f>
        <v>2.8+2512|IR|delta_tenor_corr|20y|1y</v>
      </c>
      <c r="B185" s="0" t="s">
        <v>9</v>
      </c>
      <c r="C185" s="0" t="s">
        <v>68</v>
      </c>
      <c r="D185" s="0" t="s">
        <v>118</v>
      </c>
      <c r="E185" s="0" t="s">
        <v>34</v>
      </c>
      <c r="F185" s="0" t="s">
        <v>28</v>
      </c>
      <c r="G185" s="0" t="n">
        <v>0.64</v>
      </c>
      <c r="H185" s="0" t="s">
        <v>119</v>
      </c>
      <c r="I185" s="0" t="s">
        <v>72</v>
      </c>
      <c r="J185" s="0" t="s">
        <v>9</v>
      </c>
      <c r="K185" s="0" t="s">
        <v>73</v>
      </c>
      <c r="L185" s="0" t="s">
        <v>120</v>
      </c>
      <c r="M185" s="0" t="s">
        <v>121</v>
      </c>
      <c r="N185" s="0" t="s">
        <v>134</v>
      </c>
      <c r="O185" s="0" t="s">
        <v>128</v>
      </c>
      <c r="P185" s="0" t="s">
        <v>78</v>
      </c>
      <c r="Q185" s="0" t="s">
        <v>79</v>
      </c>
      <c r="R185" s="0" t="s">
        <v>80</v>
      </c>
      <c r="S185" s="0" t="s">
        <v>81</v>
      </c>
      <c r="T185" s="0" t="s">
        <v>82</v>
      </c>
    </row>
    <row r="186" customFormat="false" ht="15" hidden="false" customHeight="false" outlineLevel="0" collapsed="false">
      <c r="A186" s="0" t="str">
        <f aca="false">B186&amp;"|"&amp;C186&amp;"|"&amp;D186&amp;"|"&amp;E186&amp;"|"&amp;F186</f>
        <v>2.8+2512|IR|delta_tenor_corr|20y|2y</v>
      </c>
      <c r="B186" s="0" t="s">
        <v>9</v>
      </c>
      <c r="C186" s="0" t="s">
        <v>68</v>
      </c>
      <c r="D186" s="0" t="s">
        <v>118</v>
      </c>
      <c r="E186" s="0" t="s">
        <v>34</v>
      </c>
      <c r="F186" s="0" t="s">
        <v>29</v>
      </c>
      <c r="G186" s="0" t="n">
        <v>0.77</v>
      </c>
      <c r="H186" s="0" t="s">
        <v>119</v>
      </c>
      <c r="I186" s="0" t="s">
        <v>72</v>
      </c>
      <c r="J186" s="0" t="s">
        <v>9</v>
      </c>
      <c r="K186" s="0" t="s">
        <v>73</v>
      </c>
      <c r="L186" s="0" t="s">
        <v>120</v>
      </c>
      <c r="M186" s="0" t="s">
        <v>121</v>
      </c>
      <c r="N186" s="0" t="s">
        <v>134</v>
      </c>
      <c r="O186" s="0" t="s">
        <v>128</v>
      </c>
      <c r="P186" s="0" t="s">
        <v>78</v>
      </c>
      <c r="Q186" s="0" t="s">
        <v>79</v>
      </c>
      <c r="R186" s="0" t="s">
        <v>80</v>
      </c>
      <c r="S186" s="0" t="s">
        <v>81</v>
      </c>
      <c r="T186" s="0" t="s">
        <v>82</v>
      </c>
    </row>
    <row r="187" customFormat="false" ht="15" hidden="false" customHeight="false" outlineLevel="0" collapsed="false">
      <c r="A187" s="0" t="str">
        <f aca="false">B187&amp;"|"&amp;C187&amp;"|"&amp;D187&amp;"|"&amp;E187&amp;"|"&amp;F187</f>
        <v>2.8+2512|IR|delta_tenor_corr|20y|3y</v>
      </c>
      <c r="B187" s="0" t="s">
        <v>9</v>
      </c>
      <c r="C187" s="0" t="s">
        <v>68</v>
      </c>
      <c r="D187" s="0" t="s">
        <v>118</v>
      </c>
      <c r="E187" s="0" t="s">
        <v>34</v>
      </c>
      <c r="F187" s="0" t="s">
        <v>30</v>
      </c>
      <c r="G187" s="0" t="n">
        <v>0.82</v>
      </c>
      <c r="H187" s="0" t="s">
        <v>119</v>
      </c>
      <c r="I187" s="0" t="s">
        <v>72</v>
      </c>
      <c r="J187" s="0" t="s">
        <v>9</v>
      </c>
      <c r="K187" s="0" t="s">
        <v>73</v>
      </c>
      <c r="L187" s="0" t="s">
        <v>120</v>
      </c>
      <c r="M187" s="0" t="s">
        <v>121</v>
      </c>
      <c r="N187" s="0" t="s">
        <v>134</v>
      </c>
      <c r="O187" s="0" t="s">
        <v>128</v>
      </c>
      <c r="P187" s="0" t="s">
        <v>78</v>
      </c>
      <c r="Q187" s="0" t="s">
        <v>79</v>
      </c>
      <c r="R187" s="0" t="s">
        <v>80</v>
      </c>
      <c r="S187" s="0" t="s">
        <v>81</v>
      </c>
      <c r="T187" s="0" t="s">
        <v>82</v>
      </c>
    </row>
    <row r="188" customFormat="false" ht="15" hidden="false" customHeight="false" outlineLevel="0" collapsed="false">
      <c r="A188" s="0" t="str">
        <f aca="false">B188&amp;"|"&amp;C188&amp;"|"&amp;D188&amp;"|"&amp;E188&amp;"|"&amp;F188</f>
        <v>2.8+2512|IR|delta_tenor_corr|20y|5y</v>
      </c>
      <c r="B188" s="0" t="s">
        <v>9</v>
      </c>
      <c r="C188" s="0" t="s">
        <v>68</v>
      </c>
      <c r="D188" s="0" t="s">
        <v>118</v>
      </c>
      <c r="E188" s="0" t="s">
        <v>34</v>
      </c>
      <c r="F188" s="0" t="s">
        <v>31</v>
      </c>
      <c r="G188" s="0" t="n">
        <v>0.89</v>
      </c>
      <c r="H188" s="0" t="s">
        <v>119</v>
      </c>
      <c r="I188" s="0" t="s">
        <v>72</v>
      </c>
      <c r="J188" s="0" t="s">
        <v>9</v>
      </c>
      <c r="K188" s="0" t="s">
        <v>73</v>
      </c>
      <c r="L188" s="0" t="s">
        <v>120</v>
      </c>
      <c r="M188" s="0" t="s">
        <v>121</v>
      </c>
      <c r="N188" s="0" t="s">
        <v>134</v>
      </c>
      <c r="O188" s="0" t="s">
        <v>128</v>
      </c>
      <c r="P188" s="0" t="s">
        <v>78</v>
      </c>
      <c r="Q188" s="0" t="s">
        <v>79</v>
      </c>
      <c r="R188" s="0" t="s">
        <v>80</v>
      </c>
      <c r="S188" s="0" t="s">
        <v>81</v>
      </c>
      <c r="T188" s="0" t="s">
        <v>82</v>
      </c>
    </row>
    <row r="189" customFormat="false" ht="15" hidden="false" customHeight="false" outlineLevel="0" collapsed="false">
      <c r="A189" s="0" t="str">
        <f aca="false">B189&amp;"|"&amp;C189&amp;"|"&amp;D189&amp;"|"&amp;E189&amp;"|"&amp;F189</f>
        <v>2.8+2512|IR|delta_tenor_corr|20y|10y</v>
      </c>
      <c r="B189" s="0" t="s">
        <v>9</v>
      </c>
      <c r="C189" s="0" t="s">
        <v>68</v>
      </c>
      <c r="D189" s="0" t="s">
        <v>118</v>
      </c>
      <c r="E189" s="0" t="s">
        <v>34</v>
      </c>
      <c r="F189" s="0" t="s">
        <v>32</v>
      </c>
      <c r="G189" s="0" t="n">
        <v>0.95</v>
      </c>
      <c r="H189" s="0" t="s">
        <v>119</v>
      </c>
      <c r="I189" s="0" t="s">
        <v>72</v>
      </c>
      <c r="J189" s="0" t="s">
        <v>9</v>
      </c>
      <c r="K189" s="0" t="s">
        <v>73</v>
      </c>
      <c r="L189" s="0" t="s">
        <v>120</v>
      </c>
      <c r="M189" s="0" t="s">
        <v>121</v>
      </c>
      <c r="N189" s="0" t="s">
        <v>134</v>
      </c>
      <c r="O189" s="0" t="s">
        <v>128</v>
      </c>
      <c r="P189" s="0" t="s">
        <v>78</v>
      </c>
      <c r="Q189" s="0" t="s">
        <v>79</v>
      </c>
      <c r="R189" s="0" t="s">
        <v>80</v>
      </c>
      <c r="S189" s="0" t="s">
        <v>81</v>
      </c>
      <c r="T189" s="0" t="s">
        <v>82</v>
      </c>
    </row>
    <row r="190" customFormat="false" ht="15" hidden="false" customHeight="false" outlineLevel="0" collapsed="false">
      <c r="A190" s="0" t="str">
        <f aca="false">B190&amp;"|"&amp;C190&amp;"|"&amp;D190&amp;"|"&amp;E190&amp;"|"&amp;F190</f>
        <v>2.8+2512|IR|delta_tenor_corr|20y|15y</v>
      </c>
      <c r="B190" s="0" t="s">
        <v>9</v>
      </c>
      <c r="C190" s="0" t="s">
        <v>68</v>
      </c>
      <c r="D190" s="0" t="s">
        <v>118</v>
      </c>
      <c r="E190" s="0" t="s">
        <v>34</v>
      </c>
      <c r="F190" s="0" t="s">
        <v>33</v>
      </c>
      <c r="G190" s="0" t="n">
        <v>0.98</v>
      </c>
      <c r="H190" s="0" t="s">
        <v>119</v>
      </c>
      <c r="I190" s="0" t="s">
        <v>72</v>
      </c>
      <c r="J190" s="0" t="s">
        <v>9</v>
      </c>
      <c r="K190" s="0" t="s">
        <v>73</v>
      </c>
      <c r="L190" s="0" t="s">
        <v>120</v>
      </c>
      <c r="M190" s="0" t="s">
        <v>121</v>
      </c>
      <c r="N190" s="0" t="s">
        <v>134</v>
      </c>
      <c r="O190" s="0" t="s">
        <v>128</v>
      </c>
      <c r="P190" s="0" t="s">
        <v>78</v>
      </c>
      <c r="Q190" s="0" t="s">
        <v>79</v>
      </c>
      <c r="R190" s="0" t="s">
        <v>80</v>
      </c>
      <c r="S190" s="0" t="s">
        <v>81</v>
      </c>
      <c r="T190" s="0" t="s">
        <v>82</v>
      </c>
    </row>
    <row r="191" customFormat="false" ht="15" hidden="false" customHeight="false" outlineLevel="0" collapsed="false">
      <c r="A191" s="0" t="str">
        <f aca="false">B191&amp;"|"&amp;C191&amp;"|"&amp;D191&amp;"|"&amp;E191&amp;"|"&amp;F191</f>
        <v>2.8+2512|IR|delta_tenor_corr|20y|20y</v>
      </c>
      <c r="B191" s="0" t="s">
        <v>9</v>
      </c>
      <c r="C191" s="0" t="s">
        <v>68</v>
      </c>
      <c r="D191" s="0" t="s">
        <v>118</v>
      </c>
      <c r="E191" s="0" t="s">
        <v>34</v>
      </c>
      <c r="F191" s="0" t="s">
        <v>34</v>
      </c>
      <c r="G191" s="0" t="n">
        <v>1</v>
      </c>
      <c r="H191" s="0" t="s">
        <v>119</v>
      </c>
      <c r="I191" s="0" t="s">
        <v>72</v>
      </c>
      <c r="J191" s="0" t="s">
        <v>9</v>
      </c>
      <c r="K191" s="0" t="s">
        <v>73</v>
      </c>
      <c r="L191" s="0" t="s">
        <v>120</v>
      </c>
      <c r="M191" s="0" t="s">
        <v>121</v>
      </c>
      <c r="N191" s="0" t="s">
        <v>134</v>
      </c>
      <c r="O191" s="0" t="s">
        <v>128</v>
      </c>
      <c r="P191" s="0" t="s">
        <v>78</v>
      </c>
      <c r="Q191" s="0" t="s">
        <v>79</v>
      </c>
      <c r="R191" s="0" t="s">
        <v>80</v>
      </c>
      <c r="S191" s="0" t="s">
        <v>81</v>
      </c>
      <c r="T191" s="0" t="s">
        <v>123</v>
      </c>
    </row>
    <row r="192" customFormat="false" ht="15" hidden="false" customHeight="false" outlineLevel="0" collapsed="false">
      <c r="A192" s="0" t="str">
        <f aca="false">B192&amp;"|"&amp;C192&amp;"|"&amp;D192&amp;"|"&amp;E192&amp;"|"&amp;F192</f>
        <v>2.8+2512|IR|delta_tenor_corr|20y|30y</v>
      </c>
      <c r="B192" s="0" t="s">
        <v>9</v>
      </c>
      <c r="C192" s="0" t="s">
        <v>68</v>
      </c>
      <c r="D192" s="0" t="s">
        <v>118</v>
      </c>
      <c r="E192" s="0" t="s">
        <v>34</v>
      </c>
      <c r="F192" s="0" t="s">
        <v>35</v>
      </c>
      <c r="G192" s="0" t="n">
        <v>0.98</v>
      </c>
      <c r="H192" s="0" t="s">
        <v>119</v>
      </c>
      <c r="I192" s="0" t="s">
        <v>72</v>
      </c>
      <c r="J192" s="0" t="s">
        <v>9</v>
      </c>
      <c r="K192" s="0" t="s">
        <v>73</v>
      </c>
      <c r="L192" s="0" t="s">
        <v>120</v>
      </c>
      <c r="M192" s="0" t="s">
        <v>121</v>
      </c>
      <c r="N192" s="0" t="s">
        <v>134</v>
      </c>
      <c r="O192" s="0" t="s">
        <v>128</v>
      </c>
      <c r="P192" s="0" t="s">
        <v>78</v>
      </c>
      <c r="Q192" s="0" t="s">
        <v>79</v>
      </c>
      <c r="R192" s="0" t="s">
        <v>80</v>
      </c>
      <c r="S192" s="0" t="s">
        <v>81</v>
      </c>
      <c r="T192" s="0" t="s">
        <v>82</v>
      </c>
    </row>
    <row r="193" customFormat="false" ht="15" hidden="false" customHeight="false" outlineLevel="0" collapsed="false">
      <c r="A193" s="0" t="str">
        <f aca="false">B193&amp;"|"&amp;C193&amp;"|"&amp;D193&amp;"|"&amp;E193&amp;"|"&amp;F193</f>
        <v>2.8+2512|IR|delta_tenor_corr|30y|2w</v>
      </c>
      <c r="B193" s="0" t="s">
        <v>9</v>
      </c>
      <c r="C193" s="0" t="s">
        <v>68</v>
      </c>
      <c r="D193" s="0" t="s">
        <v>118</v>
      </c>
      <c r="E193" s="0" t="s">
        <v>35</v>
      </c>
      <c r="F193" s="0" t="s">
        <v>24</v>
      </c>
      <c r="G193" s="0" t="n">
        <v>0.14</v>
      </c>
      <c r="H193" s="0" t="s">
        <v>119</v>
      </c>
      <c r="I193" s="0" t="s">
        <v>72</v>
      </c>
      <c r="J193" s="0" t="s">
        <v>9</v>
      </c>
      <c r="K193" s="0" t="s">
        <v>73</v>
      </c>
      <c r="L193" s="0" t="s">
        <v>120</v>
      </c>
      <c r="M193" s="0" t="s">
        <v>121</v>
      </c>
      <c r="N193" s="0" t="s">
        <v>135</v>
      </c>
      <c r="O193" s="0" t="s">
        <v>128</v>
      </c>
      <c r="P193" s="0" t="s">
        <v>78</v>
      </c>
      <c r="Q193" s="0" t="s">
        <v>79</v>
      </c>
      <c r="R193" s="0" t="s">
        <v>80</v>
      </c>
      <c r="S193" s="0" t="s">
        <v>81</v>
      </c>
      <c r="T193" s="0" t="s">
        <v>82</v>
      </c>
    </row>
    <row r="194" customFormat="false" ht="15" hidden="false" customHeight="false" outlineLevel="0" collapsed="false">
      <c r="A194" s="0" t="str">
        <f aca="false">B194&amp;"|"&amp;C194&amp;"|"&amp;D194&amp;"|"&amp;E194&amp;"|"&amp;F194</f>
        <v>2.8+2512|IR|delta_tenor_corr|30y|1m</v>
      </c>
      <c r="B194" s="0" t="s">
        <v>9</v>
      </c>
      <c r="C194" s="0" t="s">
        <v>68</v>
      </c>
      <c r="D194" s="0" t="s">
        <v>118</v>
      </c>
      <c r="E194" s="0" t="s">
        <v>35</v>
      </c>
      <c r="F194" s="0" t="s">
        <v>25</v>
      </c>
      <c r="G194" s="0" t="n">
        <v>0.14</v>
      </c>
      <c r="H194" s="0" t="s">
        <v>119</v>
      </c>
      <c r="I194" s="0" t="s">
        <v>72</v>
      </c>
      <c r="J194" s="0" t="s">
        <v>9</v>
      </c>
      <c r="K194" s="0" t="s">
        <v>73</v>
      </c>
      <c r="L194" s="0" t="s">
        <v>120</v>
      </c>
      <c r="M194" s="0" t="s">
        <v>121</v>
      </c>
      <c r="N194" s="0" t="s">
        <v>135</v>
      </c>
      <c r="O194" s="0" t="s">
        <v>128</v>
      </c>
      <c r="P194" s="0" t="s">
        <v>78</v>
      </c>
      <c r="Q194" s="0" t="s">
        <v>79</v>
      </c>
      <c r="R194" s="0" t="s">
        <v>80</v>
      </c>
      <c r="S194" s="0" t="s">
        <v>81</v>
      </c>
      <c r="T194" s="0" t="s">
        <v>82</v>
      </c>
    </row>
    <row r="195" customFormat="false" ht="15" hidden="false" customHeight="false" outlineLevel="0" collapsed="false">
      <c r="A195" s="0" t="str">
        <f aca="false">B195&amp;"|"&amp;C195&amp;"|"&amp;D195&amp;"|"&amp;E195&amp;"|"&amp;F195</f>
        <v>2.8+2512|IR|delta_tenor_corr|30y|3m</v>
      </c>
      <c r="B195" s="0" t="s">
        <v>9</v>
      </c>
      <c r="C195" s="0" t="s">
        <v>68</v>
      </c>
      <c r="D195" s="0" t="s">
        <v>118</v>
      </c>
      <c r="E195" s="0" t="s">
        <v>35</v>
      </c>
      <c r="F195" s="0" t="s">
        <v>26</v>
      </c>
      <c r="G195" s="0" t="n">
        <v>0.25</v>
      </c>
      <c r="H195" s="0" t="s">
        <v>119</v>
      </c>
      <c r="I195" s="0" t="s">
        <v>72</v>
      </c>
      <c r="J195" s="0" t="s">
        <v>9</v>
      </c>
      <c r="K195" s="0" t="s">
        <v>73</v>
      </c>
      <c r="L195" s="0" t="s">
        <v>120</v>
      </c>
      <c r="M195" s="0" t="s">
        <v>121</v>
      </c>
      <c r="N195" s="0" t="s">
        <v>135</v>
      </c>
      <c r="O195" s="0" t="s">
        <v>128</v>
      </c>
      <c r="P195" s="0" t="s">
        <v>78</v>
      </c>
      <c r="Q195" s="0" t="s">
        <v>79</v>
      </c>
      <c r="R195" s="0" t="s">
        <v>80</v>
      </c>
      <c r="S195" s="0" t="s">
        <v>81</v>
      </c>
      <c r="T195" s="0" t="s">
        <v>82</v>
      </c>
    </row>
    <row r="196" customFormat="false" ht="15" hidden="false" customHeight="false" outlineLevel="0" collapsed="false">
      <c r="A196" s="0" t="str">
        <f aca="false">B196&amp;"|"&amp;C196&amp;"|"&amp;D196&amp;"|"&amp;E196&amp;"|"&amp;F196</f>
        <v>2.8+2512|IR|delta_tenor_corr|30y|6m</v>
      </c>
      <c r="B196" s="0" t="s">
        <v>9</v>
      </c>
      <c r="C196" s="0" t="s">
        <v>68</v>
      </c>
      <c r="D196" s="0" t="s">
        <v>118</v>
      </c>
      <c r="E196" s="0" t="s">
        <v>35</v>
      </c>
      <c r="F196" s="0" t="s">
        <v>27</v>
      </c>
      <c r="G196" s="0" t="n">
        <v>0.42</v>
      </c>
      <c r="H196" s="0" t="s">
        <v>119</v>
      </c>
      <c r="I196" s="0" t="s">
        <v>72</v>
      </c>
      <c r="J196" s="0" t="s">
        <v>9</v>
      </c>
      <c r="K196" s="0" t="s">
        <v>73</v>
      </c>
      <c r="L196" s="0" t="s">
        <v>120</v>
      </c>
      <c r="M196" s="0" t="s">
        <v>121</v>
      </c>
      <c r="N196" s="0" t="s">
        <v>135</v>
      </c>
      <c r="O196" s="0" t="s">
        <v>128</v>
      </c>
      <c r="P196" s="0" t="s">
        <v>78</v>
      </c>
      <c r="Q196" s="0" t="s">
        <v>79</v>
      </c>
      <c r="R196" s="0" t="s">
        <v>80</v>
      </c>
      <c r="S196" s="0" t="s">
        <v>81</v>
      </c>
      <c r="T196" s="0" t="s">
        <v>82</v>
      </c>
    </row>
    <row r="197" customFormat="false" ht="15" hidden="false" customHeight="false" outlineLevel="0" collapsed="false">
      <c r="A197" s="0" t="str">
        <f aca="false">B197&amp;"|"&amp;C197&amp;"|"&amp;D197&amp;"|"&amp;E197&amp;"|"&amp;F197</f>
        <v>2.8+2512|IR|delta_tenor_corr|30y|1y</v>
      </c>
      <c r="B197" s="0" t="s">
        <v>9</v>
      </c>
      <c r="C197" s="0" t="s">
        <v>68</v>
      </c>
      <c r="D197" s="0" t="s">
        <v>118</v>
      </c>
      <c r="E197" s="0" t="s">
        <v>35</v>
      </c>
      <c r="F197" s="0" t="s">
        <v>28</v>
      </c>
      <c r="G197" s="0" t="n">
        <v>0.63</v>
      </c>
      <c r="H197" s="0" t="s">
        <v>119</v>
      </c>
      <c r="I197" s="0" t="s">
        <v>72</v>
      </c>
      <c r="J197" s="0" t="s">
        <v>9</v>
      </c>
      <c r="K197" s="0" t="s">
        <v>73</v>
      </c>
      <c r="L197" s="0" t="s">
        <v>120</v>
      </c>
      <c r="M197" s="0" t="s">
        <v>121</v>
      </c>
      <c r="N197" s="0" t="s">
        <v>135</v>
      </c>
      <c r="O197" s="0" t="s">
        <v>128</v>
      </c>
      <c r="P197" s="0" t="s">
        <v>78</v>
      </c>
      <c r="Q197" s="0" t="s">
        <v>79</v>
      </c>
      <c r="R197" s="0" t="s">
        <v>80</v>
      </c>
      <c r="S197" s="0" t="s">
        <v>81</v>
      </c>
      <c r="T197" s="0" t="s">
        <v>82</v>
      </c>
    </row>
    <row r="198" customFormat="false" ht="15" hidden="false" customHeight="false" outlineLevel="0" collapsed="false">
      <c r="A198" s="0" t="str">
        <f aca="false">B198&amp;"|"&amp;C198&amp;"|"&amp;D198&amp;"|"&amp;E198&amp;"|"&amp;F198</f>
        <v>2.8+2512|IR|delta_tenor_corr|30y|2y</v>
      </c>
      <c r="B198" s="0" t="s">
        <v>9</v>
      </c>
      <c r="C198" s="0" t="s">
        <v>68</v>
      </c>
      <c r="D198" s="0" t="s">
        <v>118</v>
      </c>
      <c r="E198" s="0" t="s">
        <v>35</v>
      </c>
      <c r="F198" s="0" t="s">
        <v>29</v>
      </c>
      <c r="G198" s="0" t="n">
        <v>0.76</v>
      </c>
      <c r="H198" s="0" t="s">
        <v>119</v>
      </c>
      <c r="I198" s="0" t="s">
        <v>72</v>
      </c>
      <c r="J198" s="0" t="s">
        <v>9</v>
      </c>
      <c r="K198" s="0" t="s">
        <v>73</v>
      </c>
      <c r="L198" s="0" t="s">
        <v>120</v>
      </c>
      <c r="M198" s="0" t="s">
        <v>121</v>
      </c>
      <c r="N198" s="0" t="s">
        <v>135</v>
      </c>
      <c r="O198" s="0" t="s">
        <v>128</v>
      </c>
      <c r="P198" s="0" t="s">
        <v>78</v>
      </c>
      <c r="Q198" s="0" t="s">
        <v>79</v>
      </c>
      <c r="R198" s="0" t="s">
        <v>80</v>
      </c>
      <c r="S198" s="0" t="s">
        <v>81</v>
      </c>
      <c r="T198" s="0" t="s">
        <v>82</v>
      </c>
    </row>
    <row r="199" customFormat="false" ht="15" hidden="false" customHeight="false" outlineLevel="0" collapsed="false">
      <c r="A199" s="0" t="str">
        <f aca="false">B199&amp;"|"&amp;C199&amp;"|"&amp;D199&amp;"|"&amp;E199&amp;"|"&amp;F199</f>
        <v>2.8+2512|IR|delta_tenor_corr|30y|3y</v>
      </c>
      <c r="B199" s="0" t="s">
        <v>9</v>
      </c>
      <c r="C199" s="0" t="s">
        <v>68</v>
      </c>
      <c r="D199" s="0" t="s">
        <v>118</v>
      </c>
      <c r="E199" s="0" t="s">
        <v>35</v>
      </c>
      <c r="F199" s="0" t="s">
        <v>30</v>
      </c>
      <c r="G199" s="0" t="n">
        <v>0.81</v>
      </c>
      <c r="H199" s="0" t="s">
        <v>119</v>
      </c>
      <c r="I199" s="0" t="s">
        <v>72</v>
      </c>
      <c r="J199" s="0" t="s">
        <v>9</v>
      </c>
      <c r="K199" s="0" t="s">
        <v>73</v>
      </c>
      <c r="L199" s="0" t="s">
        <v>120</v>
      </c>
      <c r="M199" s="0" t="s">
        <v>121</v>
      </c>
      <c r="N199" s="0" t="s">
        <v>135</v>
      </c>
      <c r="O199" s="0" t="s">
        <v>128</v>
      </c>
      <c r="P199" s="0" t="s">
        <v>78</v>
      </c>
      <c r="Q199" s="0" t="s">
        <v>79</v>
      </c>
      <c r="R199" s="0" t="s">
        <v>80</v>
      </c>
      <c r="S199" s="0" t="s">
        <v>81</v>
      </c>
      <c r="T199" s="0" t="s">
        <v>82</v>
      </c>
    </row>
    <row r="200" customFormat="false" ht="15" hidden="false" customHeight="false" outlineLevel="0" collapsed="false">
      <c r="A200" s="0" t="str">
        <f aca="false">B200&amp;"|"&amp;C200&amp;"|"&amp;D200&amp;"|"&amp;E200&amp;"|"&amp;F200</f>
        <v>2.8+2512|IR|delta_tenor_corr|30y|5y</v>
      </c>
      <c r="B200" s="0" t="s">
        <v>9</v>
      </c>
      <c r="C200" s="0" t="s">
        <v>68</v>
      </c>
      <c r="D200" s="0" t="s">
        <v>118</v>
      </c>
      <c r="E200" s="0" t="s">
        <v>35</v>
      </c>
      <c r="F200" s="0" t="s">
        <v>31</v>
      </c>
      <c r="G200" s="0" t="n">
        <v>0.88</v>
      </c>
      <c r="H200" s="0" t="s">
        <v>119</v>
      </c>
      <c r="I200" s="0" t="s">
        <v>72</v>
      </c>
      <c r="J200" s="0" t="s">
        <v>9</v>
      </c>
      <c r="K200" s="0" t="s">
        <v>73</v>
      </c>
      <c r="L200" s="0" t="s">
        <v>120</v>
      </c>
      <c r="M200" s="0" t="s">
        <v>121</v>
      </c>
      <c r="N200" s="0" t="s">
        <v>135</v>
      </c>
      <c r="O200" s="0" t="s">
        <v>128</v>
      </c>
      <c r="P200" s="0" t="s">
        <v>78</v>
      </c>
      <c r="Q200" s="0" t="s">
        <v>79</v>
      </c>
      <c r="R200" s="0" t="s">
        <v>80</v>
      </c>
      <c r="S200" s="0" t="s">
        <v>81</v>
      </c>
      <c r="T200" s="0" t="s">
        <v>82</v>
      </c>
    </row>
    <row r="201" customFormat="false" ht="15" hidden="false" customHeight="false" outlineLevel="0" collapsed="false">
      <c r="A201" s="0" t="str">
        <f aca="false">B201&amp;"|"&amp;C201&amp;"|"&amp;D201&amp;"|"&amp;E201&amp;"|"&amp;F201</f>
        <v>2.8+2512|IR|delta_tenor_corr|30y|10y</v>
      </c>
      <c r="B201" s="0" t="s">
        <v>9</v>
      </c>
      <c r="C201" s="0" t="s">
        <v>68</v>
      </c>
      <c r="D201" s="0" t="s">
        <v>118</v>
      </c>
      <c r="E201" s="0" t="s">
        <v>35</v>
      </c>
      <c r="F201" s="0" t="s">
        <v>32</v>
      </c>
      <c r="G201" s="0" t="n">
        <v>0.95</v>
      </c>
      <c r="H201" s="0" t="s">
        <v>119</v>
      </c>
      <c r="I201" s="0" t="s">
        <v>72</v>
      </c>
      <c r="J201" s="0" t="s">
        <v>9</v>
      </c>
      <c r="K201" s="0" t="s">
        <v>73</v>
      </c>
      <c r="L201" s="0" t="s">
        <v>120</v>
      </c>
      <c r="M201" s="0" t="s">
        <v>121</v>
      </c>
      <c r="N201" s="0" t="s">
        <v>135</v>
      </c>
      <c r="O201" s="0" t="s">
        <v>128</v>
      </c>
      <c r="P201" s="0" t="s">
        <v>78</v>
      </c>
      <c r="Q201" s="0" t="s">
        <v>79</v>
      </c>
      <c r="R201" s="0" t="s">
        <v>80</v>
      </c>
      <c r="S201" s="0" t="s">
        <v>81</v>
      </c>
      <c r="T201" s="0" t="s">
        <v>82</v>
      </c>
    </row>
    <row r="202" customFormat="false" ht="15" hidden="false" customHeight="false" outlineLevel="0" collapsed="false">
      <c r="A202" s="0" t="str">
        <f aca="false">B202&amp;"|"&amp;C202&amp;"|"&amp;D202&amp;"|"&amp;E202&amp;"|"&amp;F202</f>
        <v>2.8+2512|IR|delta_tenor_corr|30y|15y</v>
      </c>
      <c r="B202" s="0" t="s">
        <v>9</v>
      </c>
      <c r="C202" s="0" t="s">
        <v>68</v>
      </c>
      <c r="D202" s="0" t="s">
        <v>118</v>
      </c>
      <c r="E202" s="0" t="s">
        <v>35</v>
      </c>
      <c r="F202" s="0" t="s">
        <v>33</v>
      </c>
      <c r="G202" s="0" t="n">
        <v>0.97</v>
      </c>
      <c r="H202" s="0" t="s">
        <v>119</v>
      </c>
      <c r="I202" s="0" t="s">
        <v>72</v>
      </c>
      <c r="J202" s="0" t="s">
        <v>9</v>
      </c>
      <c r="K202" s="0" t="s">
        <v>73</v>
      </c>
      <c r="L202" s="0" t="s">
        <v>120</v>
      </c>
      <c r="M202" s="0" t="s">
        <v>121</v>
      </c>
      <c r="N202" s="0" t="s">
        <v>135</v>
      </c>
      <c r="O202" s="0" t="s">
        <v>128</v>
      </c>
      <c r="P202" s="0" t="s">
        <v>78</v>
      </c>
      <c r="Q202" s="0" t="s">
        <v>79</v>
      </c>
      <c r="R202" s="0" t="s">
        <v>80</v>
      </c>
      <c r="S202" s="0" t="s">
        <v>81</v>
      </c>
      <c r="T202" s="0" t="s">
        <v>82</v>
      </c>
    </row>
    <row r="203" customFormat="false" ht="15" hidden="false" customHeight="false" outlineLevel="0" collapsed="false">
      <c r="A203" s="0" t="str">
        <f aca="false">B203&amp;"|"&amp;C203&amp;"|"&amp;D203&amp;"|"&amp;E203&amp;"|"&amp;F203</f>
        <v>2.8+2512|IR|delta_tenor_corr|30y|20y</v>
      </c>
      <c r="B203" s="0" t="s">
        <v>9</v>
      </c>
      <c r="C203" s="0" t="s">
        <v>68</v>
      </c>
      <c r="D203" s="0" t="s">
        <v>118</v>
      </c>
      <c r="E203" s="0" t="s">
        <v>35</v>
      </c>
      <c r="F203" s="0" t="s">
        <v>34</v>
      </c>
      <c r="G203" s="0" t="n">
        <v>0.98</v>
      </c>
      <c r="H203" s="0" t="s">
        <v>119</v>
      </c>
      <c r="I203" s="0" t="s">
        <v>72</v>
      </c>
      <c r="J203" s="0" t="s">
        <v>9</v>
      </c>
      <c r="K203" s="0" t="s">
        <v>73</v>
      </c>
      <c r="L203" s="0" t="s">
        <v>120</v>
      </c>
      <c r="M203" s="0" t="s">
        <v>121</v>
      </c>
      <c r="N203" s="0" t="s">
        <v>135</v>
      </c>
      <c r="O203" s="0" t="s">
        <v>128</v>
      </c>
      <c r="P203" s="0" t="s">
        <v>78</v>
      </c>
      <c r="Q203" s="0" t="s">
        <v>79</v>
      </c>
      <c r="R203" s="0" t="s">
        <v>80</v>
      </c>
      <c r="S203" s="0" t="s">
        <v>81</v>
      </c>
      <c r="T203" s="0" t="s">
        <v>82</v>
      </c>
    </row>
    <row r="204" customFormat="false" ht="15" hidden="false" customHeight="false" outlineLevel="0" collapsed="false">
      <c r="A204" s="0" t="str">
        <f aca="false">B204&amp;"|"&amp;C204&amp;"|"&amp;D204&amp;"|"&amp;E204&amp;"|"&amp;F204</f>
        <v>2.8+2512|IR|delta_tenor_corr|30y|30y</v>
      </c>
      <c r="B204" s="0" t="s">
        <v>9</v>
      </c>
      <c r="C204" s="0" t="s">
        <v>68</v>
      </c>
      <c r="D204" s="0" t="s">
        <v>118</v>
      </c>
      <c r="E204" s="0" t="s">
        <v>35</v>
      </c>
      <c r="F204" s="0" t="s">
        <v>35</v>
      </c>
      <c r="G204" s="0" t="n">
        <v>1</v>
      </c>
      <c r="H204" s="0" t="s">
        <v>119</v>
      </c>
      <c r="I204" s="0" t="s">
        <v>72</v>
      </c>
      <c r="J204" s="0" t="s">
        <v>9</v>
      </c>
      <c r="K204" s="0" t="s">
        <v>73</v>
      </c>
      <c r="L204" s="0" t="s">
        <v>120</v>
      </c>
      <c r="M204" s="0" t="s">
        <v>121</v>
      </c>
      <c r="N204" s="0" t="s">
        <v>135</v>
      </c>
      <c r="O204" s="0" t="s">
        <v>128</v>
      </c>
      <c r="P204" s="0" t="s">
        <v>78</v>
      </c>
      <c r="Q204" s="0" t="s">
        <v>79</v>
      </c>
      <c r="R204" s="0" t="s">
        <v>80</v>
      </c>
      <c r="S204" s="0" t="s">
        <v>81</v>
      </c>
      <c r="T204" s="0" t="s">
        <v>123</v>
      </c>
    </row>
    <row r="205" customFormat="false" ht="15" hidden="false" customHeight="false" outlineLevel="0" collapsed="false">
      <c r="A205" s="0" t="str">
        <f aca="false">B205&amp;"|"&amp;C205&amp;"|"&amp;D205&amp;"|"&amp;E205&amp;"|"&amp;F205</f>
        <v>2.8+2512|IR|subcurve_phi||</v>
      </c>
      <c r="B205" s="0" t="s">
        <v>9</v>
      </c>
      <c r="C205" s="0" t="s">
        <v>68</v>
      </c>
      <c r="D205" s="0" t="s">
        <v>136</v>
      </c>
      <c r="G205" s="0" t="n">
        <v>0.981</v>
      </c>
      <c r="H205" s="0" t="s">
        <v>119</v>
      </c>
      <c r="I205" s="0" t="s">
        <v>72</v>
      </c>
      <c r="J205" s="0" t="s">
        <v>9</v>
      </c>
      <c r="K205" s="0" t="s">
        <v>73</v>
      </c>
      <c r="L205" s="0" t="s">
        <v>120</v>
      </c>
      <c r="M205" s="0" t="s">
        <v>121</v>
      </c>
      <c r="N205" s="0" t="s">
        <v>137</v>
      </c>
      <c r="O205" s="0" t="s">
        <v>128</v>
      </c>
      <c r="P205" s="0" t="s">
        <v>78</v>
      </c>
      <c r="Q205" s="0" t="s">
        <v>79</v>
      </c>
      <c r="R205" s="0" t="s">
        <v>80</v>
      </c>
      <c r="S205" s="0" t="s">
        <v>81</v>
      </c>
      <c r="T205" s="0" t="s">
        <v>82</v>
      </c>
    </row>
    <row r="206" customFormat="false" ht="15" hidden="false" customHeight="false" outlineLevel="0" collapsed="false">
      <c r="A206" s="0" t="str">
        <f aca="false">B206&amp;"|"&amp;C206&amp;"|"&amp;D206&amp;"|"&amp;E206&amp;"|"&amp;F206</f>
        <v>2.8+2512|IR|inflation_yield_corr||</v>
      </c>
      <c r="B206" s="0" t="s">
        <v>9</v>
      </c>
      <c r="C206" s="0" t="s">
        <v>68</v>
      </c>
      <c r="D206" s="0" t="s">
        <v>138</v>
      </c>
      <c r="G206" s="0" t="n">
        <v>0.42</v>
      </c>
      <c r="H206" s="0" t="s">
        <v>119</v>
      </c>
      <c r="I206" s="0" t="s">
        <v>72</v>
      </c>
      <c r="J206" s="0" t="s">
        <v>9</v>
      </c>
      <c r="K206" s="0" t="s">
        <v>73</v>
      </c>
      <c r="L206" s="0" t="s">
        <v>120</v>
      </c>
      <c r="M206" s="0" t="s">
        <v>121</v>
      </c>
      <c r="N206" s="0" t="s">
        <v>139</v>
      </c>
      <c r="O206" s="0" t="s">
        <v>128</v>
      </c>
      <c r="P206" s="0" t="s">
        <v>78</v>
      </c>
      <c r="Q206" s="0" t="s">
        <v>79</v>
      </c>
      <c r="R206" s="0" t="s">
        <v>80</v>
      </c>
      <c r="S206" s="0" t="s">
        <v>81</v>
      </c>
      <c r="T206" s="0" t="s">
        <v>82</v>
      </c>
    </row>
    <row r="207" customFormat="false" ht="15" hidden="false" customHeight="false" outlineLevel="0" collapsed="false">
      <c r="A207" s="0" t="str">
        <f aca="false">B207&amp;"|"&amp;C207&amp;"|"&amp;D207&amp;"|"&amp;E207&amp;"|"&amp;F207</f>
        <v>2.8+2512|IR|inflation_vol_ir_vol_corr||</v>
      </c>
      <c r="B207" s="0" t="s">
        <v>9</v>
      </c>
      <c r="C207" s="0" t="s">
        <v>68</v>
      </c>
      <c r="D207" s="0" t="s">
        <v>140</v>
      </c>
      <c r="G207" s="0" t="n">
        <v>0.42</v>
      </c>
      <c r="H207" s="0" t="s">
        <v>119</v>
      </c>
      <c r="I207" s="0" t="s">
        <v>72</v>
      </c>
      <c r="J207" s="0" t="s">
        <v>9</v>
      </c>
      <c r="K207" s="0" t="s">
        <v>73</v>
      </c>
      <c r="L207" s="0" t="s">
        <v>120</v>
      </c>
      <c r="M207" s="0" t="s">
        <v>121</v>
      </c>
      <c r="N207" s="0" t="s">
        <v>141</v>
      </c>
      <c r="O207" s="0" t="s">
        <v>128</v>
      </c>
      <c r="P207" s="0" t="s">
        <v>78</v>
      </c>
      <c r="Q207" s="0" t="s">
        <v>79</v>
      </c>
      <c r="R207" s="0" t="s">
        <v>80</v>
      </c>
      <c r="S207" s="0" t="s">
        <v>81</v>
      </c>
      <c r="T207" s="0" t="s">
        <v>82</v>
      </c>
    </row>
    <row r="208" customFormat="false" ht="15" hidden="false" customHeight="false" outlineLevel="0" collapsed="false">
      <c r="A208" s="0" t="str">
        <f aca="false">B208&amp;"|"&amp;C208&amp;"|"&amp;D208&amp;"|"&amp;E208&amp;"|"&amp;F208</f>
        <v>2.8+2512|IR|xccy_basis_yield_corr||</v>
      </c>
      <c r="B208" s="0" t="s">
        <v>9</v>
      </c>
      <c r="C208" s="0" t="s">
        <v>68</v>
      </c>
      <c r="D208" s="0" t="s">
        <v>142</v>
      </c>
      <c r="G208" s="0" t="n">
        <v>-0.01</v>
      </c>
      <c r="H208" s="0" t="s">
        <v>119</v>
      </c>
      <c r="I208" s="0" t="s">
        <v>72</v>
      </c>
      <c r="J208" s="0" t="s">
        <v>9</v>
      </c>
      <c r="K208" s="0" t="s">
        <v>73</v>
      </c>
      <c r="L208" s="0" t="s">
        <v>120</v>
      </c>
      <c r="M208" s="0" t="s">
        <v>121</v>
      </c>
      <c r="N208" s="0" t="s">
        <v>143</v>
      </c>
      <c r="O208" s="0" t="s">
        <v>128</v>
      </c>
      <c r="P208" s="0" t="s">
        <v>78</v>
      </c>
      <c r="Q208" s="0" t="s">
        <v>79</v>
      </c>
      <c r="R208" s="0" t="s">
        <v>80</v>
      </c>
      <c r="S208" s="0" t="s">
        <v>81</v>
      </c>
      <c r="T208" s="0" t="s">
        <v>82</v>
      </c>
    </row>
    <row r="209" customFormat="false" ht="15" hidden="false" customHeight="false" outlineLevel="0" collapsed="false">
      <c r="A209" s="0" t="str">
        <f aca="false">B209&amp;"|"&amp;C209&amp;"|"&amp;D209&amp;"|"&amp;E209&amp;"|"&amp;F209</f>
        <v>2.8+2512|IR|gamma||</v>
      </c>
      <c r="B209" s="0" t="s">
        <v>9</v>
      </c>
      <c r="C209" s="0" t="s">
        <v>68</v>
      </c>
      <c r="D209" s="0" t="s">
        <v>144</v>
      </c>
      <c r="G209" s="0" t="n">
        <v>0.35</v>
      </c>
      <c r="H209" s="0" t="s">
        <v>119</v>
      </c>
      <c r="I209" s="0" t="s">
        <v>72</v>
      </c>
      <c r="J209" s="0" t="s">
        <v>9</v>
      </c>
      <c r="K209" s="0" t="s">
        <v>73</v>
      </c>
      <c r="L209" s="0" t="s">
        <v>120</v>
      </c>
      <c r="M209" s="0" t="s">
        <v>145</v>
      </c>
      <c r="N209" s="0" t="s">
        <v>146</v>
      </c>
      <c r="O209" s="0" t="s">
        <v>128</v>
      </c>
      <c r="P209" s="0" t="s">
        <v>78</v>
      </c>
      <c r="Q209" s="0" t="s">
        <v>79</v>
      </c>
      <c r="R209" s="0" t="s">
        <v>80</v>
      </c>
      <c r="S209" s="0" t="s">
        <v>81</v>
      </c>
      <c r="T209" s="0" t="s">
        <v>82</v>
      </c>
    </row>
    <row r="210" customFormat="false" ht="15" hidden="false" customHeight="false" outlineLevel="0" collapsed="false">
      <c r="A210" s="0" t="str">
        <f aca="false">B210&amp;"|"&amp;C210&amp;"|"&amp;D210&amp;"|"&amp;E210&amp;"|"&amp;F210</f>
        <v>2.8+2512|IR|delta_ct|high|</v>
      </c>
      <c r="B210" s="0" t="s">
        <v>9</v>
      </c>
      <c r="C210" s="0" t="s">
        <v>68</v>
      </c>
      <c r="D210" s="0" t="s">
        <v>147</v>
      </c>
      <c r="E210" s="0" t="s">
        <v>85</v>
      </c>
      <c r="G210" s="0" t="n">
        <v>71</v>
      </c>
      <c r="H210" s="0" t="s">
        <v>148</v>
      </c>
      <c r="I210" s="0" t="s">
        <v>72</v>
      </c>
      <c r="J210" s="0" t="s">
        <v>9</v>
      </c>
      <c r="K210" s="0" t="s">
        <v>73</v>
      </c>
      <c r="L210" s="0" t="s">
        <v>149</v>
      </c>
      <c r="M210" s="0" t="s">
        <v>150</v>
      </c>
      <c r="N210" s="0" t="s">
        <v>151</v>
      </c>
      <c r="O210" s="0" t="s">
        <v>152</v>
      </c>
      <c r="P210" s="0" t="s">
        <v>78</v>
      </c>
      <c r="Q210" s="0" t="s">
        <v>79</v>
      </c>
      <c r="R210" s="0" t="s">
        <v>80</v>
      </c>
      <c r="S210" s="0" t="s">
        <v>81</v>
      </c>
      <c r="T210" s="0" t="s">
        <v>82</v>
      </c>
    </row>
    <row r="211" customFormat="false" ht="15" hidden="false" customHeight="false" outlineLevel="0" collapsed="false">
      <c r="A211" s="0" t="str">
        <f aca="false">B211&amp;"|"&amp;C211&amp;"|"&amp;D211&amp;"|"&amp;E211&amp;"|"&amp;F211</f>
        <v>2.8+2512|IR|delta_ct|regular_well_traded|</v>
      </c>
      <c r="B211" s="0" t="s">
        <v>9</v>
      </c>
      <c r="C211" s="0" t="s">
        <v>68</v>
      </c>
      <c r="D211" s="0" t="s">
        <v>147</v>
      </c>
      <c r="E211" s="0" t="s">
        <v>153</v>
      </c>
      <c r="G211" s="0" t="n">
        <v>220</v>
      </c>
      <c r="H211" s="0" t="s">
        <v>148</v>
      </c>
      <c r="I211" s="0" t="s">
        <v>72</v>
      </c>
      <c r="J211" s="0" t="s">
        <v>9</v>
      </c>
      <c r="K211" s="0" t="s">
        <v>73</v>
      </c>
      <c r="L211" s="0" t="s">
        <v>149</v>
      </c>
      <c r="M211" s="0" t="s">
        <v>150</v>
      </c>
      <c r="N211" s="0" t="s">
        <v>151</v>
      </c>
      <c r="O211" s="0" t="s">
        <v>152</v>
      </c>
      <c r="P211" s="0" t="s">
        <v>78</v>
      </c>
      <c r="Q211" s="0" t="s">
        <v>79</v>
      </c>
      <c r="R211" s="0" t="s">
        <v>80</v>
      </c>
      <c r="S211" s="0" t="s">
        <v>81</v>
      </c>
      <c r="T211" s="0" t="s">
        <v>82</v>
      </c>
    </row>
    <row r="212" customFormat="false" ht="15" hidden="false" customHeight="false" outlineLevel="0" collapsed="false">
      <c r="A212" s="0" t="str">
        <f aca="false">B212&amp;"|"&amp;C212&amp;"|"&amp;D212&amp;"|"&amp;E212&amp;"|"&amp;F212</f>
        <v>2.8+2512|IR|delta_ct|regular_less_well_traded|</v>
      </c>
      <c r="B212" s="0" t="s">
        <v>9</v>
      </c>
      <c r="C212" s="0" t="s">
        <v>68</v>
      </c>
      <c r="D212" s="0" t="s">
        <v>147</v>
      </c>
      <c r="E212" s="0" t="s">
        <v>154</v>
      </c>
      <c r="G212" s="0" t="n">
        <v>110</v>
      </c>
      <c r="H212" s="0" t="s">
        <v>148</v>
      </c>
      <c r="I212" s="0" t="s">
        <v>72</v>
      </c>
      <c r="J212" s="0" t="s">
        <v>9</v>
      </c>
      <c r="K212" s="0" t="s">
        <v>73</v>
      </c>
      <c r="L212" s="0" t="s">
        <v>149</v>
      </c>
      <c r="M212" s="0" t="s">
        <v>150</v>
      </c>
      <c r="N212" s="0" t="s">
        <v>151</v>
      </c>
      <c r="O212" s="0" t="s">
        <v>152</v>
      </c>
      <c r="P212" s="0" t="s">
        <v>78</v>
      </c>
      <c r="Q212" s="0" t="s">
        <v>79</v>
      </c>
      <c r="R212" s="0" t="s">
        <v>80</v>
      </c>
      <c r="S212" s="0" t="s">
        <v>81</v>
      </c>
      <c r="T212" s="0" t="s">
        <v>82</v>
      </c>
    </row>
    <row r="213" customFormat="false" ht="15" hidden="false" customHeight="false" outlineLevel="0" collapsed="false">
      <c r="A213" s="0" t="str">
        <f aca="false">B213&amp;"|"&amp;C213&amp;"|"&amp;D213&amp;"|"&amp;E213&amp;"|"&amp;F213</f>
        <v>2.8+2512|IR|delta_ct|low|</v>
      </c>
      <c r="B213" s="0" t="s">
        <v>9</v>
      </c>
      <c r="C213" s="0" t="s">
        <v>68</v>
      </c>
      <c r="D213" s="0" t="s">
        <v>147</v>
      </c>
      <c r="E213" s="0" t="s">
        <v>83</v>
      </c>
      <c r="G213" s="0" t="n">
        <v>370</v>
      </c>
      <c r="H213" s="0" t="s">
        <v>148</v>
      </c>
      <c r="I213" s="0" t="s">
        <v>72</v>
      </c>
      <c r="J213" s="0" t="s">
        <v>9</v>
      </c>
      <c r="K213" s="0" t="s">
        <v>73</v>
      </c>
      <c r="L213" s="0" t="s">
        <v>149</v>
      </c>
      <c r="M213" s="0" t="s">
        <v>150</v>
      </c>
      <c r="N213" s="0" t="s">
        <v>151</v>
      </c>
      <c r="O213" s="0" t="s">
        <v>152</v>
      </c>
      <c r="P213" s="0" t="s">
        <v>78</v>
      </c>
      <c r="Q213" s="0" t="s">
        <v>79</v>
      </c>
      <c r="R213" s="0" t="s">
        <v>80</v>
      </c>
      <c r="S213" s="0" t="s">
        <v>81</v>
      </c>
      <c r="T213" s="0" t="s">
        <v>82</v>
      </c>
    </row>
    <row r="214" customFormat="false" ht="15" hidden="false" customHeight="false" outlineLevel="0" collapsed="false">
      <c r="A214" s="0" t="str">
        <f aca="false">B214&amp;"|"&amp;C214&amp;"|"&amp;D214&amp;"|"&amp;E214&amp;"|"&amp;F214</f>
        <v>2.8+2512|IR|vega_ct|high|</v>
      </c>
      <c r="B214" s="0" t="s">
        <v>9</v>
      </c>
      <c r="C214" s="0" t="s">
        <v>68</v>
      </c>
      <c r="D214" s="0" t="s">
        <v>155</v>
      </c>
      <c r="E214" s="0" t="s">
        <v>85</v>
      </c>
      <c r="G214" s="0" t="n">
        <v>160</v>
      </c>
      <c r="H214" s="0" t="s">
        <v>156</v>
      </c>
      <c r="I214" s="0" t="s">
        <v>72</v>
      </c>
      <c r="J214" s="0" t="s">
        <v>9</v>
      </c>
      <c r="K214" s="0" t="s">
        <v>73</v>
      </c>
      <c r="L214" s="0" t="s">
        <v>157</v>
      </c>
      <c r="M214" s="0" t="s">
        <v>158</v>
      </c>
      <c r="N214" s="0" t="s">
        <v>159</v>
      </c>
      <c r="O214" s="0" t="s">
        <v>160</v>
      </c>
      <c r="P214" s="0" t="s">
        <v>78</v>
      </c>
      <c r="Q214" s="0" t="s">
        <v>79</v>
      </c>
      <c r="R214" s="0" t="s">
        <v>80</v>
      </c>
      <c r="S214" s="0" t="s">
        <v>81</v>
      </c>
      <c r="T214" s="0" t="s">
        <v>82</v>
      </c>
    </row>
    <row r="215" customFormat="false" ht="15" hidden="false" customHeight="false" outlineLevel="0" collapsed="false">
      <c r="A215" s="0" t="str">
        <f aca="false">B215&amp;"|"&amp;C215&amp;"|"&amp;D215&amp;"|"&amp;E215&amp;"|"&amp;F215</f>
        <v>2.8+2512|IR|vega_ct|regular_well_traded|</v>
      </c>
      <c r="B215" s="0" t="s">
        <v>9</v>
      </c>
      <c r="C215" s="0" t="s">
        <v>68</v>
      </c>
      <c r="D215" s="0" t="s">
        <v>155</v>
      </c>
      <c r="E215" s="0" t="s">
        <v>153</v>
      </c>
      <c r="G215" s="0" t="n">
        <v>3800</v>
      </c>
      <c r="H215" s="0" t="s">
        <v>156</v>
      </c>
      <c r="I215" s="0" t="s">
        <v>72</v>
      </c>
      <c r="J215" s="0" t="s">
        <v>9</v>
      </c>
      <c r="K215" s="0" t="s">
        <v>73</v>
      </c>
      <c r="L215" s="0" t="s">
        <v>157</v>
      </c>
      <c r="M215" s="0" t="s">
        <v>158</v>
      </c>
      <c r="N215" s="0" t="s">
        <v>159</v>
      </c>
      <c r="O215" s="0" t="s">
        <v>160</v>
      </c>
      <c r="P215" s="0" t="s">
        <v>78</v>
      </c>
      <c r="Q215" s="0" t="s">
        <v>79</v>
      </c>
      <c r="R215" s="0" t="s">
        <v>80</v>
      </c>
      <c r="S215" s="0" t="s">
        <v>81</v>
      </c>
      <c r="T215" s="0" t="s">
        <v>82</v>
      </c>
    </row>
    <row r="216" customFormat="false" ht="15" hidden="false" customHeight="false" outlineLevel="0" collapsed="false">
      <c r="A216" s="0" t="str">
        <f aca="false">B216&amp;"|"&amp;C216&amp;"|"&amp;D216&amp;"|"&amp;E216&amp;"|"&amp;F216</f>
        <v>2.8+2512|IR|vega_ct|regular_less_well_traded|</v>
      </c>
      <c r="B216" s="0" t="s">
        <v>9</v>
      </c>
      <c r="C216" s="0" t="s">
        <v>68</v>
      </c>
      <c r="D216" s="0" t="s">
        <v>155</v>
      </c>
      <c r="E216" s="0" t="s">
        <v>154</v>
      </c>
      <c r="G216" s="0" t="n">
        <v>520</v>
      </c>
      <c r="H216" s="0" t="s">
        <v>156</v>
      </c>
      <c r="I216" s="0" t="s">
        <v>72</v>
      </c>
      <c r="J216" s="0" t="s">
        <v>9</v>
      </c>
      <c r="K216" s="0" t="s">
        <v>73</v>
      </c>
      <c r="L216" s="0" t="s">
        <v>157</v>
      </c>
      <c r="M216" s="0" t="s">
        <v>158</v>
      </c>
      <c r="N216" s="0" t="s">
        <v>159</v>
      </c>
      <c r="O216" s="0" t="s">
        <v>160</v>
      </c>
      <c r="P216" s="0" t="s">
        <v>78</v>
      </c>
      <c r="Q216" s="0" t="s">
        <v>79</v>
      </c>
      <c r="R216" s="0" t="s">
        <v>80</v>
      </c>
      <c r="S216" s="0" t="s">
        <v>81</v>
      </c>
      <c r="T216" s="0" t="s">
        <v>82</v>
      </c>
    </row>
    <row r="217" customFormat="false" ht="15" hidden="false" customHeight="false" outlineLevel="0" collapsed="false">
      <c r="A217" s="0" t="str">
        <f aca="false">B217&amp;"|"&amp;C217&amp;"|"&amp;D217&amp;"|"&amp;E217&amp;"|"&amp;F217</f>
        <v>2.8+2512|IR|vega_ct|low|</v>
      </c>
      <c r="B217" s="0" t="s">
        <v>9</v>
      </c>
      <c r="C217" s="0" t="s">
        <v>68</v>
      </c>
      <c r="D217" s="0" t="s">
        <v>155</v>
      </c>
      <c r="E217" s="0" t="s">
        <v>83</v>
      </c>
      <c r="G217" s="0" t="n">
        <v>1100</v>
      </c>
      <c r="H217" s="0" t="s">
        <v>156</v>
      </c>
      <c r="I217" s="0" t="s">
        <v>72</v>
      </c>
      <c r="J217" s="0" t="s">
        <v>9</v>
      </c>
      <c r="K217" s="0" t="s">
        <v>73</v>
      </c>
      <c r="L217" s="0" t="s">
        <v>157</v>
      </c>
      <c r="M217" s="0" t="s">
        <v>158</v>
      </c>
      <c r="N217" s="0" t="s">
        <v>159</v>
      </c>
      <c r="O217" s="0" t="s">
        <v>160</v>
      </c>
      <c r="P217" s="0" t="s">
        <v>78</v>
      </c>
      <c r="Q217" s="0" t="s">
        <v>79</v>
      </c>
      <c r="R217" s="0" t="s">
        <v>80</v>
      </c>
      <c r="S217" s="0" t="s">
        <v>81</v>
      </c>
      <c r="T217" s="0" t="s">
        <v>82</v>
      </c>
    </row>
    <row r="218" customFormat="false" ht="15" hidden="false" customHeight="false" outlineLevel="0" collapsed="false">
      <c r="A218" s="0" t="str">
        <f aca="false">B218&amp;"|"&amp;C218&amp;"|"&amp;D218&amp;"|"&amp;E218&amp;"|"&amp;F218</f>
        <v>2.8+2512|IR|ct_group_member|regular_well_traded|USD</v>
      </c>
      <c r="B218" s="0" t="s">
        <v>9</v>
      </c>
      <c r="C218" s="0" t="s">
        <v>68</v>
      </c>
      <c r="D218" s="0" t="s">
        <v>161</v>
      </c>
      <c r="E218" s="0" t="s">
        <v>153</v>
      </c>
      <c r="F218" s="0" t="s">
        <v>11</v>
      </c>
      <c r="G218" s="0" t="n">
        <v>1</v>
      </c>
      <c r="H218" s="0" t="s">
        <v>99</v>
      </c>
      <c r="I218" s="0" t="s">
        <v>72</v>
      </c>
      <c r="J218" s="0" t="s">
        <v>9</v>
      </c>
      <c r="K218" s="0" t="s">
        <v>73</v>
      </c>
      <c r="L218" s="0" t="s">
        <v>149</v>
      </c>
      <c r="M218" s="0" t="s">
        <v>162</v>
      </c>
      <c r="N218" s="0" t="s">
        <v>163</v>
      </c>
      <c r="O218" s="0" t="s">
        <v>152</v>
      </c>
      <c r="P218" s="0" t="s">
        <v>78</v>
      </c>
      <c r="Q218" s="0" t="s">
        <v>79</v>
      </c>
      <c r="R218" s="0" t="s">
        <v>80</v>
      </c>
      <c r="S218" s="0" t="s">
        <v>81</v>
      </c>
      <c r="T218" s="0" t="s">
        <v>82</v>
      </c>
    </row>
    <row r="219" customFormat="false" ht="15" hidden="false" customHeight="false" outlineLevel="0" collapsed="false">
      <c r="A219" s="0" t="str">
        <f aca="false">B219&amp;"|"&amp;C219&amp;"|"&amp;D219&amp;"|"&amp;E219&amp;"|"&amp;F219</f>
        <v>2.8+2512|IR|ct_group_member|regular_well_traded|EUR</v>
      </c>
      <c r="B219" s="0" t="s">
        <v>9</v>
      </c>
      <c r="C219" s="0" t="s">
        <v>68</v>
      </c>
      <c r="D219" s="0" t="s">
        <v>161</v>
      </c>
      <c r="E219" s="0" t="s">
        <v>153</v>
      </c>
      <c r="F219" s="0" t="s">
        <v>19</v>
      </c>
      <c r="G219" s="0" t="n">
        <v>1</v>
      </c>
      <c r="H219" s="0" t="s">
        <v>99</v>
      </c>
      <c r="I219" s="0" t="s">
        <v>72</v>
      </c>
      <c r="J219" s="0" t="s">
        <v>9</v>
      </c>
      <c r="K219" s="0" t="s">
        <v>73</v>
      </c>
      <c r="L219" s="0" t="s">
        <v>149</v>
      </c>
      <c r="M219" s="0" t="s">
        <v>162</v>
      </c>
      <c r="N219" s="0" t="s">
        <v>163</v>
      </c>
      <c r="O219" s="0" t="s">
        <v>152</v>
      </c>
      <c r="P219" s="0" t="s">
        <v>78</v>
      </c>
      <c r="Q219" s="0" t="s">
        <v>79</v>
      </c>
      <c r="R219" s="0" t="s">
        <v>80</v>
      </c>
      <c r="S219" s="0" t="s">
        <v>81</v>
      </c>
      <c r="T219" s="0" t="s">
        <v>82</v>
      </c>
    </row>
    <row r="220" customFormat="false" ht="15" hidden="false" customHeight="false" outlineLevel="0" collapsed="false">
      <c r="A220" s="0" t="str">
        <f aca="false">B220&amp;"|"&amp;C220&amp;"|"&amp;D220&amp;"|"&amp;E220&amp;"|"&amp;F220</f>
        <v>2.8+2512|IR|ct_group_member|regular_well_traded|GBP</v>
      </c>
      <c r="B220" s="0" t="s">
        <v>9</v>
      </c>
      <c r="C220" s="0" t="s">
        <v>68</v>
      </c>
      <c r="D220" s="0" t="s">
        <v>161</v>
      </c>
      <c r="E220" s="0" t="s">
        <v>153</v>
      </c>
      <c r="F220" s="0" t="s">
        <v>20</v>
      </c>
      <c r="G220" s="0" t="n">
        <v>1</v>
      </c>
      <c r="H220" s="0" t="s">
        <v>99</v>
      </c>
      <c r="I220" s="0" t="s">
        <v>72</v>
      </c>
      <c r="J220" s="0" t="s">
        <v>9</v>
      </c>
      <c r="K220" s="0" t="s">
        <v>73</v>
      </c>
      <c r="L220" s="0" t="s">
        <v>149</v>
      </c>
      <c r="M220" s="0" t="s">
        <v>162</v>
      </c>
      <c r="N220" s="0" t="s">
        <v>163</v>
      </c>
      <c r="O220" s="0" t="s">
        <v>152</v>
      </c>
      <c r="P220" s="0" t="s">
        <v>78</v>
      </c>
      <c r="Q220" s="0" t="s">
        <v>79</v>
      </c>
      <c r="R220" s="0" t="s">
        <v>80</v>
      </c>
      <c r="S220" s="0" t="s">
        <v>81</v>
      </c>
      <c r="T220" s="0" t="s">
        <v>82</v>
      </c>
    </row>
    <row r="221" customFormat="false" ht="15" hidden="false" customHeight="false" outlineLevel="0" collapsed="false">
      <c r="A221" s="0" t="str">
        <f aca="false">B221&amp;"|"&amp;C221&amp;"|"&amp;D221&amp;"|"&amp;E221&amp;"|"&amp;F221</f>
        <v>2.8+2512|IR|ct_group_member|regular_less_well_traded|AUD</v>
      </c>
      <c r="B221" s="0" t="s">
        <v>9</v>
      </c>
      <c r="C221" s="0" t="s">
        <v>68</v>
      </c>
      <c r="D221" s="0" t="s">
        <v>161</v>
      </c>
      <c r="E221" s="0" t="s">
        <v>154</v>
      </c>
      <c r="F221" s="0" t="s">
        <v>103</v>
      </c>
      <c r="G221" s="0" t="n">
        <v>1</v>
      </c>
      <c r="H221" s="0" t="s">
        <v>99</v>
      </c>
      <c r="I221" s="0" t="s">
        <v>72</v>
      </c>
      <c r="J221" s="0" t="s">
        <v>9</v>
      </c>
      <c r="K221" s="0" t="s">
        <v>73</v>
      </c>
      <c r="L221" s="0" t="s">
        <v>149</v>
      </c>
      <c r="M221" s="0" t="s">
        <v>164</v>
      </c>
      <c r="N221" s="0" t="s">
        <v>165</v>
      </c>
      <c r="O221" s="0" t="s">
        <v>152</v>
      </c>
      <c r="P221" s="0" t="s">
        <v>78</v>
      </c>
      <c r="Q221" s="0" t="s">
        <v>79</v>
      </c>
      <c r="R221" s="0" t="s">
        <v>80</v>
      </c>
      <c r="S221" s="0" t="s">
        <v>81</v>
      </c>
      <c r="T221" s="0" t="s">
        <v>82</v>
      </c>
    </row>
    <row r="222" customFormat="false" ht="15" hidden="false" customHeight="false" outlineLevel="0" collapsed="false">
      <c r="A222" s="0" t="str">
        <f aca="false">B222&amp;"|"&amp;C222&amp;"|"&amp;D222&amp;"|"&amp;E222&amp;"|"&amp;F222</f>
        <v>2.8+2512|IR|ct_group_member|regular_less_well_traded|CAD</v>
      </c>
      <c r="B222" s="0" t="s">
        <v>9</v>
      </c>
      <c r="C222" s="0" t="s">
        <v>68</v>
      </c>
      <c r="D222" s="0" t="s">
        <v>161</v>
      </c>
      <c r="E222" s="0" t="s">
        <v>154</v>
      </c>
      <c r="F222" s="0" t="s">
        <v>105</v>
      </c>
      <c r="G222" s="0" t="n">
        <v>1</v>
      </c>
      <c r="H222" s="0" t="s">
        <v>99</v>
      </c>
      <c r="I222" s="0" t="s">
        <v>72</v>
      </c>
      <c r="J222" s="0" t="s">
        <v>9</v>
      </c>
      <c r="K222" s="0" t="s">
        <v>73</v>
      </c>
      <c r="L222" s="0" t="s">
        <v>149</v>
      </c>
      <c r="M222" s="0" t="s">
        <v>164</v>
      </c>
      <c r="N222" s="0" t="s">
        <v>165</v>
      </c>
      <c r="O222" s="0" t="s">
        <v>152</v>
      </c>
      <c r="P222" s="0" t="s">
        <v>78</v>
      </c>
      <c r="Q222" s="0" t="s">
        <v>79</v>
      </c>
      <c r="R222" s="0" t="s">
        <v>80</v>
      </c>
      <c r="S222" s="0" t="s">
        <v>81</v>
      </c>
      <c r="T222" s="0" t="s">
        <v>82</v>
      </c>
    </row>
    <row r="223" customFormat="false" ht="15" hidden="false" customHeight="false" outlineLevel="0" collapsed="false">
      <c r="A223" s="0" t="str">
        <f aca="false">B223&amp;"|"&amp;C223&amp;"|"&amp;D223&amp;"|"&amp;E223&amp;"|"&amp;F223</f>
        <v>2.8+2512|IR|ct_group_member|regular_less_well_traded|CHF</v>
      </c>
      <c r="B223" s="0" t="s">
        <v>9</v>
      </c>
      <c r="C223" s="0" t="s">
        <v>68</v>
      </c>
      <c r="D223" s="0" t="s">
        <v>161</v>
      </c>
      <c r="E223" s="0" t="s">
        <v>154</v>
      </c>
      <c r="F223" s="0" t="s">
        <v>102</v>
      </c>
      <c r="G223" s="0" t="n">
        <v>1</v>
      </c>
      <c r="H223" s="0" t="s">
        <v>99</v>
      </c>
      <c r="I223" s="0" t="s">
        <v>72</v>
      </c>
      <c r="J223" s="0" t="s">
        <v>9</v>
      </c>
      <c r="K223" s="0" t="s">
        <v>73</v>
      </c>
      <c r="L223" s="0" t="s">
        <v>149</v>
      </c>
      <c r="M223" s="0" t="s">
        <v>164</v>
      </c>
      <c r="N223" s="0" t="s">
        <v>165</v>
      </c>
      <c r="O223" s="0" t="s">
        <v>152</v>
      </c>
      <c r="P223" s="0" t="s">
        <v>78</v>
      </c>
      <c r="Q223" s="0" t="s">
        <v>79</v>
      </c>
      <c r="R223" s="0" t="s">
        <v>80</v>
      </c>
      <c r="S223" s="0" t="s">
        <v>81</v>
      </c>
      <c r="T223" s="0" t="s">
        <v>82</v>
      </c>
    </row>
    <row r="224" customFormat="false" ht="15" hidden="false" customHeight="false" outlineLevel="0" collapsed="false">
      <c r="A224" s="0" t="str">
        <f aca="false">B224&amp;"|"&amp;C224&amp;"|"&amp;D224&amp;"|"&amp;E224&amp;"|"&amp;F224</f>
        <v>2.8+2512|IR|ct_group_member|regular_less_well_traded|DKK</v>
      </c>
      <c r="B224" s="0" t="s">
        <v>9</v>
      </c>
      <c r="C224" s="0" t="s">
        <v>68</v>
      </c>
      <c r="D224" s="0" t="s">
        <v>161</v>
      </c>
      <c r="E224" s="0" t="s">
        <v>154</v>
      </c>
      <c r="F224" s="0" t="s">
        <v>108</v>
      </c>
      <c r="G224" s="0" t="n">
        <v>1</v>
      </c>
      <c r="H224" s="0" t="s">
        <v>99</v>
      </c>
      <c r="I224" s="0" t="s">
        <v>72</v>
      </c>
      <c r="J224" s="0" t="s">
        <v>9</v>
      </c>
      <c r="K224" s="0" t="s">
        <v>73</v>
      </c>
      <c r="L224" s="0" t="s">
        <v>149</v>
      </c>
      <c r="M224" s="0" t="s">
        <v>164</v>
      </c>
      <c r="N224" s="0" t="s">
        <v>165</v>
      </c>
      <c r="O224" s="0" t="s">
        <v>152</v>
      </c>
      <c r="P224" s="0" t="s">
        <v>78</v>
      </c>
      <c r="Q224" s="0" t="s">
        <v>79</v>
      </c>
      <c r="R224" s="0" t="s">
        <v>80</v>
      </c>
      <c r="S224" s="0" t="s">
        <v>81</v>
      </c>
      <c r="T224" s="0" t="s">
        <v>82</v>
      </c>
    </row>
    <row r="225" customFormat="false" ht="15" hidden="false" customHeight="false" outlineLevel="0" collapsed="false">
      <c r="A225" s="0" t="str">
        <f aca="false">B225&amp;"|"&amp;C225&amp;"|"&amp;D225&amp;"|"&amp;E225&amp;"|"&amp;F225</f>
        <v>2.8+2512|IR|ct_group_member|regular_less_well_traded|HKD</v>
      </c>
      <c r="B225" s="0" t="s">
        <v>9</v>
      </c>
      <c r="C225" s="0" t="s">
        <v>68</v>
      </c>
      <c r="D225" s="0" t="s">
        <v>161</v>
      </c>
      <c r="E225" s="0" t="s">
        <v>154</v>
      </c>
      <c r="F225" s="0" t="s">
        <v>109</v>
      </c>
      <c r="G225" s="0" t="n">
        <v>1</v>
      </c>
      <c r="H225" s="0" t="s">
        <v>99</v>
      </c>
      <c r="I225" s="0" t="s">
        <v>72</v>
      </c>
      <c r="J225" s="0" t="s">
        <v>9</v>
      </c>
      <c r="K225" s="0" t="s">
        <v>73</v>
      </c>
      <c r="L225" s="0" t="s">
        <v>149</v>
      </c>
      <c r="M225" s="0" t="s">
        <v>164</v>
      </c>
      <c r="N225" s="0" t="s">
        <v>165</v>
      </c>
      <c r="O225" s="0" t="s">
        <v>152</v>
      </c>
      <c r="P225" s="0" t="s">
        <v>78</v>
      </c>
      <c r="Q225" s="0" t="s">
        <v>79</v>
      </c>
      <c r="R225" s="0" t="s">
        <v>80</v>
      </c>
      <c r="S225" s="0" t="s">
        <v>81</v>
      </c>
      <c r="T225" s="0" t="s">
        <v>82</v>
      </c>
    </row>
    <row r="226" customFormat="false" ht="15" hidden="false" customHeight="false" outlineLevel="0" collapsed="false">
      <c r="A226" s="0" t="str">
        <f aca="false">B226&amp;"|"&amp;C226&amp;"|"&amp;D226&amp;"|"&amp;E226&amp;"|"&amp;F226</f>
        <v>2.8+2512|IR|ct_group_member|regular_less_well_traded|KRW</v>
      </c>
      <c r="B226" s="0" t="s">
        <v>9</v>
      </c>
      <c r="C226" s="0" t="s">
        <v>68</v>
      </c>
      <c r="D226" s="0" t="s">
        <v>161</v>
      </c>
      <c r="E226" s="0" t="s">
        <v>154</v>
      </c>
      <c r="F226" s="0" t="s">
        <v>110</v>
      </c>
      <c r="G226" s="0" t="n">
        <v>1</v>
      </c>
      <c r="H226" s="0" t="s">
        <v>99</v>
      </c>
      <c r="I226" s="0" t="s">
        <v>72</v>
      </c>
      <c r="J226" s="0" t="s">
        <v>9</v>
      </c>
      <c r="K226" s="0" t="s">
        <v>73</v>
      </c>
      <c r="L226" s="0" t="s">
        <v>149</v>
      </c>
      <c r="M226" s="0" t="s">
        <v>164</v>
      </c>
      <c r="N226" s="0" t="s">
        <v>165</v>
      </c>
      <c r="O226" s="0" t="s">
        <v>152</v>
      </c>
      <c r="P226" s="0" t="s">
        <v>78</v>
      </c>
      <c r="Q226" s="0" t="s">
        <v>79</v>
      </c>
      <c r="R226" s="0" t="s">
        <v>80</v>
      </c>
      <c r="S226" s="0" t="s">
        <v>81</v>
      </c>
      <c r="T226" s="0" t="s">
        <v>82</v>
      </c>
    </row>
    <row r="227" customFormat="false" ht="15" hidden="false" customHeight="false" outlineLevel="0" collapsed="false">
      <c r="A227" s="0" t="str">
        <f aca="false">B227&amp;"|"&amp;C227&amp;"|"&amp;D227&amp;"|"&amp;E227&amp;"|"&amp;F227</f>
        <v>2.8+2512|IR|ct_group_member|regular_less_well_traded|NOK</v>
      </c>
      <c r="B227" s="0" t="s">
        <v>9</v>
      </c>
      <c r="C227" s="0" t="s">
        <v>68</v>
      </c>
      <c r="D227" s="0" t="s">
        <v>161</v>
      </c>
      <c r="E227" s="0" t="s">
        <v>154</v>
      </c>
      <c r="F227" s="0" t="s">
        <v>107</v>
      </c>
      <c r="G227" s="0" t="n">
        <v>1</v>
      </c>
      <c r="H227" s="0" t="s">
        <v>99</v>
      </c>
      <c r="I227" s="0" t="s">
        <v>72</v>
      </c>
      <c r="J227" s="0" t="s">
        <v>9</v>
      </c>
      <c r="K227" s="0" t="s">
        <v>73</v>
      </c>
      <c r="L227" s="0" t="s">
        <v>149</v>
      </c>
      <c r="M227" s="0" t="s">
        <v>164</v>
      </c>
      <c r="N227" s="0" t="s">
        <v>165</v>
      </c>
      <c r="O227" s="0" t="s">
        <v>152</v>
      </c>
      <c r="P227" s="0" t="s">
        <v>78</v>
      </c>
      <c r="Q227" s="0" t="s">
        <v>79</v>
      </c>
      <c r="R227" s="0" t="s">
        <v>80</v>
      </c>
      <c r="S227" s="0" t="s">
        <v>81</v>
      </c>
      <c r="T227" s="0" t="s">
        <v>82</v>
      </c>
    </row>
    <row r="228" customFormat="false" ht="15" hidden="false" customHeight="false" outlineLevel="0" collapsed="false">
      <c r="A228" s="0" t="str">
        <f aca="false">B228&amp;"|"&amp;C228&amp;"|"&amp;D228&amp;"|"&amp;E228&amp;"|"&amp;F228</f>
        <v>2.8+2512|IR|ct_group_member|regular_less_well_traded|NZD</v>
      </c>
      <c r="B228" s="0" t="s">
        <v>9</v>
      </c>
      <c r="C228" s="0" t="s">
        <v>68</v>
      </c>
      <c r="D228" s="0" t="s">
        <v>161</v>
      </c>
      <c r="E228" s="0" t="s">
        <v>154</v>
      </c>
      <c r="F228" s="0" t="s">
        <v>104</v>
      </c>
      <c r="G228" s="0" t="n">
        <v>1</v>
      </c>
      <c r="H228" s="0" t="s">
        <v>99</v>
      </c>
      <c r="I228" s="0" t="s">
        <v>72</v>
      </c>
      <c r="J228" s="0" t="s">
        <v>9</v>
      </c>
      <c r="K228" s="0" t="s">
        <v>73</v>
      </c>
      <c r="L228" s="0" t="s">
        <v>149</v>
      </c>
      <c r="M228" s="0" t="s">
        <v>164</v>
      </c>
      <c r="N228" s="0" t="s">
        <v>165</v>
      </c>
      <c r="O228" s="0" t="s">
        <v>152</v>
      </c>
      <c r="P228" s="0" t="s">
        <v>78</v>
      </c>
      <c r="Q228" s="0" t="s">
        <v>79</v>
      </c>
      <c r="R228" s="0" t="s">
        <v>80</v>
      </c>
      <c r="S228" s="0" t="s">
        <v>81</v>
      </c>
      <c r="T228" s="0" t="s">
        <v>82</v>
      </c>
    </row>
    <row r="229" customFormat="false" ht="15" hidden="false" customHeight="false" outlineLevel="0" collapsed="false">
      <c r="A229" s="0" t="str">
        <f aca="false">B229&amp;"|"&amp;C229&amp;"|"&amp;D229&amp;"|"&amp;E229&amp;"|"&amp;F229</f>
        <v>2.8+2512|IR|ct_group_member|regular_less_well_traded|SEK</v>
      </c>
      <c r="B229" s="0" t="s">
        <v>9</v>
      </c>
      <c r="C229" s="0" t="s">
        <v>68</v>
      </c>
      <c r="D229" s="0" t="s">
        <v>161</v>
      </c>
      <c r="E229" s="0" t="s">
        <v>154</v>
      </c>
      <c r="F229" s="0" t="s">
        <v>106</v>
      </c>
      <c r="G229" s="0" t="n">
        <v>1</v>
      </c>
      <c r="H229" s="0" t="s">
        <v>99</v>
      </c>
      <c r="I229" s="0" t="s">
        <v>72</v>
      </c>
      <c r="J229" s="0" t="s">
        <v>9</v>
      </c>
      <c r="K229" s="0" t="s">
        <v>73</v>
      </c>
      <c r="L229" s="0" t="s">
        <v>149</v>
      </c>
      <c r="M229" s="0" t="s">
        <v>164</v>
      </c>
      <c r="N229" s="0" t="s">
        <v>165</v>
      </c>
      <c r="O229" s="0" t="s">
        <v>152</v>
      </c>
      <c r="P229" s="0" t="s">
        <v>78</v>
      </c>
      <c r="Q229" s="0" t="s">
        <v>79</v>
      </c>
      <c r="R229" s="0" t="s">
        <v>80</v>
      </c>
      <c r="S229" s="0" t="s">
        <v>81</v>
      </c>
      <c r="T229" s="0" t="s">
        <v>82</v>
      </c>
    </row>
    <row r="230" customFormat="false" ht="15" hidden="false" customHeight="false" outlineLevel="0" collapsed="false">
      <c r="A230" s="0" t="str">
        <f aca="false">B230&amp;"|"&amp;C230&amp;"|"&amp;D230&amp;"|"&amp;E230&amp;"|"&amp;F230</f>
        <v>2.8+2512|IR|ct_group_member|regular_less_well_traded|SGD</v>
      </c>
      <c r="B230" s="0" t="s">
        <v>9</v>
      </c>
      <c r="C230" s="0" t="s">
        <v>68</v>
      </c>
      <c r="D230" s="0" t="s">
        <v>161</v>
      </c>
      <c r="E230" s="0" t="s">
        <v>154</v>
      </c>
      <c r="F230" s="0" t="s">
        <v>111</v>
      </c>
      <c r="G230" s="0" t="n">
        <v>1</v>
      </c>
      <c r="H230" s="0" t="s">
        <v>99</v>
      </c>
      <c r="I230" s="0" t="s">
        <v>72</v>
      </c>
      <c r="J230" s="0" t="s">
        <v>9</v>
      </c>
      <c r="K230" s="0" t="s">
        <v>73</v>
      </c>
      <c r="L230" s="0" t="s">
        <v>149</v>
      </c>
      <c r="M230" s="0" t="s">
        <v>164</v>
      </c>
      <c r="N230" s="0" t="s">
        <v>165</v>
      </c>
      <c r="O230" s="0" t="s">
        <v>152</v>
      </c>
      <c r="P230" s="0" t="s">
        <v>78</v>
      </c>
      <c r="Q230" s="0" t="s">
        <v>79</v>
      </c>
      <c r="R230" s="0" t="s">
        <v>80</v>
      </c>
      <c r="S230" s="0" t="s">
        <v>81</v>
      </c>
      <c r="T230" s="0" t="s">
        <v>82</v>
      </c>
    </row>
    <row r="231" customFormat="false" ht="15" hidden="false" customHeight="false" outlineLevel="0" collapsed="false">
      <c r="A231" s="0" t="str">
        <f aca="false">B231&amp;"|"&amp;C231&amp;"|"&amp;D231&amp;"|"&amp;E231&amp;"|"&amp;F231</f>
        <v>2.8+2512|IR|ct_group_member|regular_less_well_traded|TWD</v>
      </c>
      <c r="B231" s="0" t="s">
        <v>9</v>
      </c>
      <c r="C231" s="0" t="s">
        <v>68</v>
      </c>
      <c r="D231" s="0" t="s">
        <v>161</v>
      </c>
      <c r="E231" s="0" t="s">
        <v>154</v>
      </c>
      <c r="F231" s="0" t="s">
        <v>112</v>
      </c>
      <c r="G231" s="0" t="n">
        <v>1</v>
      </c>
      <c r="H231" s="0" t="s">
        <v>99</v>
      </c>
      <c r="I231" s="0" t="s">
        <v>72</v>
      </c>
      <c r="J231" s="0" t="s">
        <v>9</v>
      </c>
      <c r="K231" s="0" t="s">
        <v>73</v>
      </c>
      <c r="L231" s="0" t="s">
        <v>149</v>
      </c>
      <c r="M231" s="0" t="s">
        <v>164</v>
      </c>
      <c r="N231" s="0" t="s">
        <v>165</v>
      </c>
      <c r="O231" s="0" t="s">
        <v>152</v>
      </c>
      <c r="P231" s="0" t="s">
        <v>78</v>
      </c>
      <c r="Q231" s="0" t="s">
        <v>79</v>
      </c>
      <c r="R231" s="0" t="s">
        <v>80</v>
      </c>
      <c r="S231" s="0" t="s">
        <v>81</v>
      </c>
      <c r="T231" s="0" t="s">
        <v>82</v>
      </c>
    </row>
    <row r="232" customFormat="false" ht="15" hidden="false" customHeight="false" outlineLevel="0" collapsed="false">
      <c r="A232" s="0" t="str">
        <f aca="false">B232&amp;"|"&amp;C232&amp;"|"&amp;D232&amp;"|"&amp;E232&amp;"|"&amp;F232</f>
        <v>2.8+2512|IR|ct_group_member|low|JPY</v>
      </c>
      <c r="B232" s="0" t="s">
        <v>9</v>
      </c>
      <c r="C232" s="0" t="s">
        <v>68</v>
      </c>
      <c r="D232" s="0" t="s">
        <v>161</v>
      </c>
      <c r="E232" s="0" t="s">
        <v>83</v>
      </c>
      <c r="F232" s="0" t="s">
        <v>21</v>
      </c>
      <c r="G232" s="0" t="n">
        <v>1</v>
      </c>
      <c r="H232" s="0" t="s">
        <v>99</v>
      </c>
      <c r="I232" s="0" t="s">
        <v>72</v>
      </c>
      <c r="J232" s="0" t="s">
        <v>9</v>
      </c>
      <c r="K232" s="0" t="s">
        <v>73</v>
      </c>
      <c r="L232" s="0" t="s">
        <v>149</v>
      </c>
      <c r="M232" s="0" t="s">
        <v>166</v>
      </c>
      <c r="N232" s="0" t="s">
        <v>167</v>
      </c>
      <c r="O232" s="0" t="s">
        <v>152</v>
      </c>
      <c r="P232" s="0" t="s">
        <v>78</v>
      </c>
      <c r="Q232" s="0" t="s">
        <v>79</v>
      </c>
      <c r="R232" s="0" t="s">
        <v>80</v>
      </c>
      <c r="S232" s="0" t="s">
        <v>81</v>
      </c>
      <c r="T232" s="0" t="s">
        <v>82</v>
      </c>
    </row>
    <row r="233" customFormat="false" ht="15" hidden="false" customHeight="false" outlineLevel="0" collapsed="false">
      <c r="A233" s="0" t="str">
        <f aca="false">B233&amp;"|"&amp;C233&amp;"|"&amp;D233&amp;"|"&amp;E233&amp;"|"&amp;F233</f>
        <v>2.8+2512|IR|ct_group_member|high|ALL_OTHER</v>
      </c>
      <c r="B233" s="0" t="s">
        <v>9</v>
      </c>
      <c r="C233" s="0" t="s">
        <v>68</v>
      </c>
      <c r="D233" s="0" t="s">
        <v>161</v>
      </c>
      <c r="E233" s="0" t="s">
        <v>85</v>
      </c>
      <c r="F233" s="0" t="s">
        <v>115</v>
      </c>
      <c r="G233" s="0" t="n">
        <v>1</v>
      </c>
      <c r="H233" s="0" t="s">
        <v>99</v>
      </c>
      <c r="I233" s="0" t="s">
        <v>72</v>
      </c>
      <c r="J233" s="0" t="s">
        <v>9</v>
      </c>
      <c r="K233" s="0" t="s">
        <v>73</v>
      </c>
      <c r="L233" s="0" t="s">
        <v>149</v>
      </c>
      <c r="M233" s="0" t="s">
        <v>168</v>
      </c>
      <c r="N233" s="0" t="s">
        <v>169</v>
      </c>
      <c r="O233" s="0" t="s">
        <v>152</v>
      </c>
      <c r="P233" s="0" t="s">
        <v>78</v>
      </c>
      <c r="Q233" s="0" t="s">
        <v>79</v>
      </c>
      <c r="R233" s="0" t="s">
        <v>80</v>
      </c>
      <c r="S233" s="0" t="s">
        <v>81</v>
      </c>
      <c r="T233" s="0" t="s">
        <v>82</v>
      </c>
    </row>
    <row r="234" customFormat="false" ht="15" hidden="false" customHeight="false" outlineLevel="0" collapsed="false">
      <c r="A234" s="0" t="str">
        <f aca="false">B234&amp;"|"&amp;C234&amp;"|"&amp;D234&amp;"|"&amp;E234&amp;"|"&amp;F234</f>
        <v>2.8+2512|FX|high_vol_member|high|ARS</v>
      </c>
      <c r="B234" s="0" t="s">
        <v>9</v>
      </c>
      <c r="C234" s="0" t="s">
        <v>170</v>
      </c>
      <c r="D234" s="0" t="s">
        <v>171</v>
      </c>
      <c r="E234" s="0" t="s">
        <v>85</v>
      </c>
      <c r="F234" s="0" t="s">
        <v>172</v>
      </c>
      <c r="G234" s="0" t="n">
        <v>1</v>
      </c>
      <c r="H234" s="0" t="s">
        <v>99</v>
      </c>
      <c r="I234" s="0" t="s">
        <v>72</v>
      </c>
      <c r="J234" s="0" t="s">
        <v>9</v>
      </c>
      <c r="K234" s="0" t="s">
        <v>73</v>
      </c>
      <c r="L234" s="0" t="s">
        <v>173</v>
      </c>
      <c r="M234" s="0" t="s">
        <v>174</v>
      </c>
      <c r="N234" s="0" t="s">
        <v>175</v>
      </c>
      <c r="O234" s="0" t="s">
        <v>176</v>
      </c>
      <c r="P234" s="0" t="s">
        <v>78</v>
      </c>
      <c r="Q234" s="0" t="s">
        <v>79</v>
      </c>
      <c r="R234" s="0" t="s">
        <v>80</v>
      </c>
      <c r="S234" s="0" t="s">
        <v>81</v>
      </c>
      <c r="T234" s="0" t="s">
        <v>82</v>
      </c>
    </row>
    <row r="235" customFormat="false" ht="15" hidden="false" customHeight="false" outlineLevel="0" collapsed="false">
      <c r="A235" s="0" t="str">
        <f aca="false">B235&amp;"|"&amp;C235&amp;"|"&amp;D235&amp;"|"&amp;E235&amp;"|"&amp;F235</f>
        <v>2.8+2512|FX|high_vol_member|high|EGP</v>
      </c>
      <c r="B235" s="0" t="s">
        <v>9</v>
      </c>
      <c r="C235" s="0" t="s">
        <v>170</v>
      </c>
      <c r="D235" s="0" t="s">
        <v>171</v>
      </c>
      <c r="E235" s="0" t="s">
        <v>85</v>
      </c>
      <c r="F235" s="0" t="s">
        <v>177</v>
      </c>
      <c r="G235" s="0" t="n">
        <v>1</v>
      </c>
      <c r="H235" s="0" t="s">
        <v>99</v>
      </c>
      <c r="I235" s="0" t="s">
        <v>72</v>
      </c>
      <c r="J235" s="0" t="s">
        <v>9</v>
      </c>
      <c r="K235" s="0" t="s">
        <v>73</v>
      </c>
      <c r="L235" s="0" t="s">
        <v>173</v>
      </c>
      <c r="M235" s="0" t="s">
        <v>174</v>
      </c>
      <c r="N235" s="0" t="s">
        <v>175</v>
      </c>
      <c r="O235" s="0" t="s">
        <v>176</v>
      </c>
      <c r="P235" s="0" t="s">
        <v>78</v>
      </c>
      <c r="Q235" s="0" t="s">
        <v>79</v>
      </c>
      <c r="R235" s="0" t="s">
        <v>80</v>
      </c>
      <c r="S235" s="0" t="s">
        <v>81</v>
      </c>
      <c r="T235" s="0" t="s">
        <v>82</v>
      </c>
    </row>
    <row r="236" customFormat="false" ht="15" hidden="false" customHeight="false" outlineLevel="0" collapsed="false">
      <c r="A236" s="0" t="str">
        <f aca="false">B236&amp;"|"&amp;C236&amp;"|"&amp;D236&amp;"|"&amp;E236&amp;"|"&amp;F236</f>
        <v>2.8+2512|FX|high_vol_member|high|ETB</v>
      </c>
      <c r="B236" s="0" t="s">
        <v>9</v>
      </c>
      <c r="C236" s="0" t="s">
        <v>170</v>
      </c>
      <c r="D236" s="0" t="s">
        <v>171</v>
      </c>
      <c r="E236" s="0" t="s">
        <v>85</v>
      </c>
      <c r="F236" s="0" t="s">
        <v>178</v>
      </c>
      <c r="G236" s="0" t="n">
        <v>1</v>
      </c>
      <c r="H236" s="0" t="s">
        <v>99</v>
      </c>
      <c r="I236" s="0" t="s">
        <v>72</v>
      </c>
      <c r="J236" s="0" t="s">
        <v>9</v>
      </c>
      <c r="K236" s="0" t="s">
        <v>73</v>
      </c>
      <c r="L236" s="0" t="s">
        <v>173</v>
      </c>
      <c r="M236" s="0" t="s">
        <v>174</v>
      </c>
      <c r="N236" s="0" t="s">
        <v>175</v>
      </c>
      <c r="O236" s="0" t="s">
        <v>176</v>
      </c>
      <c r="P236" s="0" t="s">
        <v>78</v>
      </c>
      <c r="Q236" s="0" t="s">
        <v>79</v>
      </c>
      <c r="R236" s="0" t="s">
        <v>80</v>
      </c>
      <c r="S236" s="0" t="s">
        <v>81</v>
      </c>
      <c r="T236" s="0" t="s">
        <v>82</v>
      </c>
    </row>
    <row r="237" customFormat="false" ht="15" hidden="false" customHeight="false" outlineLevel="0" collapsed="false">
      <c r="A237" s="0" t="str">
        <f aca="false">B237&amp;"|"&amp;C237&amp;"|"&amp;D237&amp;"|"&amp;E237&amp;"|"&amp;F237</f>
        <v>2.8+2512|FX|high_vol_member|high|GHS</v>
      </c>
      <c r="B237" s="0" t="s">
        <v>9</v>
      </c>
      <c r="C237" s="0" t="s">
        <v>170</v>
      </c>
      <c r="D237" s="0" t="s">
        <v>171</v>
      </c>
      <c r="E237" s="0" t="s">
        <v>85</v>
      </c>
      <c r="F237" s="0" t="s">
        <v>179</v>
      </c>
      <c r="G237" s="0" t="n">
        <v>1</v>
      </c>
      <c r="H237" s="0" t="s">
        <v>99</v>
      </c>
      <c r="I237" s="0" t="s">
        <v>72</v>
      </c>
      <c r="J237" s="0" t="s">
        <v>9</v>
      </c>
      <c r="K237" s="0" t="s">
        <v>73</v>
      </c>
      <c r="L237" s="0" t="s">
        <v>173</v>
      </c>
      <c r="M237" s="0" t="s">
        <v>174</v>
      </c>
      <c r="N237" s="0" t="s">
        <v>175</v>
      </c>
      <c r="O237" s="0" t="s">
        <v>176</v>
      </c>
      <c r="P237" s="0" t="s">
        <v>78</v>
      </c>
      <c r="Q237" s="0" t="s">
        <v>79</v>
      </c>
      <c r="R237" s="0" t="s">
        <v>80</v>
      </c>
      <c r="S237" s="0" t="s">
        <v>81</v>
      </c>
      <c r="T237" s="0" t="s">
        <v>82</v>
      </c>
    </row>
    <row r="238" customFormat="false" ht="15" hidden="false" customHeight="false" outlineLevel="0" collapsed="false">
      <c r="A238" s="0" t="str">
        <f aca="false">B238&amp;"|"&amp;C238&amp;"|"&amp;D238&amp;"|"&amp;E238&amp;"|"&amp;F238</f>
        <v>2.8+2512|FX|high_vol_member|high|ISK</v>
      </c>
      <c r="B238" s="0" t="s">
        <v>9</v>
      </c>
      <c r="C238" s="0" t="s">
        <v>170</v>
      </c>
      <c r="D238" s="0" t="s">
        <v>171</v>
      </c>
      <c r="E238" s="0" t="s">
        <v>85</v>
      </c>
      <c r="F238" s="0" t="s">
        <v>180</v>
      </c>
      <c r="G238" s="0" t="n">
        <v>1</v>
      </c>
      <c r="H238" s="0" t="s">
        <v>99</v>
      </c>
      <c r="I238" s="0" t="s">
        <v>72</v>
      </c>
      <c r="J238" s="0" t="s">
        <v>9</v>
      </c>
      <c r="K238" s="0" t="s">
        <v>73</v>
      </c>
      <c r="L238" s="0" t="s">
        <v>173</v>
      </c>
      <c r="M238" s="0" t="s">
        <v>174</v>
      </c>
      <c r="N238" s="0" t="s">
        <v>175</v>
      </c>
      <c r="O238" s="0" t="s">
        <v>176</v>
      </c>
      <c r="P238" s="0" t="s">
        <v>78</v>
      </c>
      <c r="Q238" s="0" t="s">
        <v>79</v>
      </c>
      <c r="R238" s="0" t="s">
        <v>80</v>
      </c>
      <c r="S238" s="0" t="s">
        <v>81</v>
      </c>
      <c r="T238" s="0" t="s">
        <v>82</v>
      </c>
    </row>
    <row r="239" customFormat="false" ht="15" hidden="false" customHeight="false" outlineLevel="0" collapsed="false">
      <c r="A239" s="0" t="str">
        <f aca="false">B239&amp;"|"&amp;C239&amp;"|"&amp;D239&amp;"|"&amp;E239&amp;"|"&amp;F239</f>
        <v>2.8+2512|FX|high_vol_member|high|LBP</v>
      </c>
      <c r="B239" s="0" t="s">
        <v>9</v>
      </c>
      <c r="C239" s="0" t="s">
        <v>170</v>
      </c>
      <c r="D239" s="0" t="s">
        <v>171</v>
      </c>
      <c r="E239" s="0" t="s">
        <v>85</v>
      </c>
      <c r="F239" s="0" t="s">
        <v>181</v>
      </c>
      <c r="G239" s="0" t="n">
        <v>1</v>
      </c>
      <c r="H239" s="0" t="s">
        <v>99</v>
      </c>
      <c r="I239" s="0" t="s">
        <v>72</v>
      </c>
      <c r="J239" s="0" t="s">
        <v>9</v>
      </c>
      <c r="K239" s="0" t="s">
        <v>73</v>
      </c>
      <c r="L239" s="0" t="s">
        <v>173</v>
      </c>
      <c r="M239" s="0" t="s">
        <v>174</v>
      </c>
      <c r="N239" s="0" t="s">
        <v>175</v>
      </c>
      <c r="O239" s="0" t="s">
        <v>176</v>
      </c>
      <c r="P239" s="0" t="s">
        <v>78</v>
      </c>
      <c r="Q239" s="0" t="s">
        <v>79</v>
      </c>
      <c r="R239" s="0" t="s">
        <v>80</v>
      </c>
      <c r="S239" s="0" t="s">
        <v>81</v>
      </c>
      <c r="T239" s="0" t="s">
        <v>82</v>
      </c>
    </row>
    <row r="240" customFormat="false" ht="15" hidden="false" customHeight="false" outlineLevel="0" collapsed="false">
      <c r="A240" s="0" t="str">
        <f aca="false">B240&amp;"|"&amp;C240&amp;"|"&amp;D240&amp;"|"&amp;E240&amp;"|"&amp;F240</f>
        <v>2.8+2512|FX|high_vol_member|high|NGN</v>
      </c>
      <c r="B240" s="0" t="s">
        <v>9</v>
      </c>
      <c r="C240" s="0" t="s">
        <v>170</v>
      </c>
      <c r="D240" s="0" t="s">
        <v>171</v>
      </c>
      <c r="E240" s="0" t="s">
        <v>85</v>
      </c>
      <c r="F240" s="0" t="s">
        <v>182</v>
      </c>
      <c r="G240" s="0" t="n">
        <v>1</v>
      </c>
      <c r="H240" s="0" t="s">
        <v>99</v>
      </c>
      <c r="I240" s="0" t="s">
        <v>72</v>
      </c>
      <c r="J240" s="0" t="s">
        <v>9</v>
      </c>
      <c r="K240" s="0" t="s">
        <v>73</v>
      </c>
      <c r="L240" s="0" t="s">
        <v>173</v>
      </c>
      <c r="M240" s="0" t="s">
        <v>174</v>
      </c>
      <c r="N240" s="0" t="s">
        <v>175</v>
      </c>
      <c r="O240" s="0" t="s">
        <v>176</v>
      </c>
      <c r="P240" s="0" t="s">
        <v>78</v>
      </c>
      <c r="Q240" s="0" t="s">
        <v>79</v>
      </c>
      <c r="R240" s="0" t="s">
        <v>80</v>
      </c>
      <c r="S240" s="0" t="s">
        <v>81</v>
      </c>
      <c r="T240" s="0" t="s">
        <v>82</v>
      </c>
    </row>
    <row r="241" customFormat="false" ht="15" hidden="false" customHeight="false" outlineLevel="0" collapsed="false">
      <c r="A241" s="0" t="str">
        <f aca="false">B241&amp;"|"&amp;C241&amp;"|"&amp;D241&amp;"|"&amp;E241&amp;"|"&amp;F241</f>
        <v>2.8+2512|FX|high_vol_member|high|SCR</v>
      </c>
      <c r="B241" s="0" t="s">
        <v>9</v>
      </c>
      <c r="C241" s="0" t="s">
        <v>170</v>
      </c>
      <c r="D241" s="0" t="s">
        <v>171</v>
      </c>
      <c r="E241" s="0" t="s">
        <v>85</v>
      </c>
      <c r="F241" s="0" t="s">
        <v>183</v>
      </c>
      <c r="G241" s="0" t="n">
        <v>1</v>
      </c>
      <c r="H241" s="0" t="s">
        <v>99</v>
      </c>
      <c r="I241" s="0" t="s">
        <v>72</v>
      </c>
      <c r="J241" s="0" t="s">
        <v>9</v>
      </c>
      <c r="K241" s="0" t="s">
        <v>73</v>
      </c>
      <c r="L241" s="0" t="s">
        <v>173</v>
      </c>
      <c r="M241" s="0" t="s">
        <v>174</v>
      </c>
      <c r="N241" s="0" t="s">
        <v>175</v>
      </c>
      <c r="O241" s="0" t="s">
        <v>176</v>
      </c>
      <c r="P241" s="0" t="s">
        <v>78</v>
      </c>
      <c r="Q241" s="0" t="s">
        <v>79</v>
      </c>
      <c r="R241" s="0" t="s">
        <v>80</v>
      </c>
      <c r="S241" s="0" t="s">
        <v>81</v>
      </c>
      <c r="T241" s="0" t="s">
        <v>82</v>
      </c>
    </row>
    <row r="242" customFormat="false" ht="15" hidden="false" customHeight="false" outlineLevel="0" collapsed="false">
      <c r="A242" s="0" t="str">
        <f aca="false">B242&amp;"|"&amp;C242&amp;"|"&amp;D242&amp;"|"&amp;E242&amp;"|"&amp;F242</f>
        <v>2.8+2512|FX|high_vol_member|high|ZMW</v>
      </c>
      <c r="B242" s="0" t="s">
        <v>9</v>
      </c>
      <c r="C242" s="0" t="s">
        <v>170</v>
      </c>
      <c r="D242" s="0" t="s">
        <v>171</v>
      </c>
      <c r="E242" s="0" t="s">
        <v>85</v>
      </c>
      <c r="F242" s="0" t="s">
        <v>184</v>
      </c>
      <c r="G242" s="0" t="n">
        <v>1</v>
      </c>
      <c r="H242" s="0" t="s">
        <v>99</v>
      </c>
      <c r="I242" s="0" t="s">
        <v>72</v>
      </c>
      <c r="J242" s="0" t="s">
        <v>9</v>
      </c>
      <c r="K242" s="0" t="s">
        <v>73</v>
      </c>
      <c r="L242" s="0" t="s">
        <v>173</v>
      </c>
      <c r="M242" s="0" t="s">
        <v>174</v>
      </c>
      <c r="N242" s="0" t="s">
        <v>175</v>
      </c>
      <c r="O242" s="0" t="s">
        <v>176</v>
      </c>
      <c r="P242" s="0" t="s">
        <v>78</v>
      </c>
      <c r="Q242" s="0" t="s">
        <v>79</v>
      </c>
      <c r="R242" s="0" t="s">
        <v>80</v>
      </c>
      <c r="S242" s="0" t="s">
        <v>81</v>
      </c>
      <c r="T242" s="0" t="s">
        <v>82</v>
      </c>
    </row>
    <row r="243" customFormat="false" ht="15" hidden="false" customHeight="false" outlineLevel="0" collapsed="false">
      <c r="A243" s="0" t="str">
        <f aca="false">B243&amp;"|"&amp;C243&amp;"|"&amp;D243&amp;"|"&amp;E243&amp;"|"&amp;F243</f>
        <v>2.8+2512|FX|high_vol_member|regular|ALL_OTHER</v>
      </c>
      <c r="B243" s="0" t="s">
        <v>9</v>
      </c>
      <c r="C243" s="0" t="s">
        <v>170</v>
      </c>
      <c r="D243" s="0" t="s">
        <v>171</v>
      </c>
      <c r="E243" s="0" t="s">
        <v>70</v>
      </c>
      <c r="F243" s="0" t="s">
        <v>115</v>
      </c>
      <c r="G243" s="0" t="n">
        <v>1</v>
      </c>
      <c r="H243" s="0" t="s">
        <v>99</v>
      </c>
      <c r="I243" s="0" t="s">
        <v>72</v>
      </c>
      <c r="J243" s="0" t="s">
        <v>9</v>
      </c>
      <c r="K243" s="0" t="s">
        <v>73</v>
      </c>
      <c r="L243" s="0" t="s">
        <v>173</v>
      </c>
      <c r="M243" s="0" t="s">
        <v>185</v>
      </c>
      <c r="N243" s="0" t="s">
        <v>169</v>
      </c>
      <c r="O243" s="0" t="s">
        <v>176</v>
      </c>
      <c r="P243" s="0" t="s">
        <v>78</v>
      </c>
      <c r="Q243" s="0" t="s">
        <v>79</v>
      </c>
      <c r="R243" s="0" t="s">
        <v>80</v>
      </c>
      <c r="S243" s="0" t="s">
        <v>81</v>
      </c>
      <c r="T243" s="0" t="s">
        <v>82</v>
      </c>
    </row>
    <row r="244" customFormat="false" ht="15" hidden="false" customHeight="false" outlineLevel="0" collapsed="false">
      <c r="A244" s="0" t="str">
        <f aca="false">B244&amp;"|"&amp;C244&amp;"|"&amp;D244&amp;"|"&amp;E244&amp;"|"&amp;F244</f>
        <v>2.8+2512|FX|delta_rw|regular|regular</v>
      </c>
      <c r="B244" s="0" t="s">
        <v>9</v>
      </c>
      <c r="C244" s="0" t="s">
        <v>170</v>
      </c>
      <c r="D244" s="0" t="s">
        <v>69</v>
      </c>
      <c r="E244" s="0" t="s">
        <v>70</v>
      </c>
      <c r="F244" s="0" t="s">
        <v>70</v>
      </c>
      <c r="G244" s="0" t="n">
        <v>7.4</v>
      </c>
      <c r="H244" s="0" t="s">
        <v>186</v>
      </c>
      <c r="I244" s="0" t="s">
        <v>72</v>
      </c>
      <c r="J244" s="0" t="s">
        <v>9</v>
      </c>
      <c r="K244" s="0" t="s">
        <v>73</v>
      </c>
      <c r="L244" s="0" t="s">
        <v>173</v>
      </c>
      <c r="M244" s="0" t="s">
        <v>187</v>
      </c>
      <c r="N244" s="0" t="s">
        <v>188</v>
      </c>
      <c r="O244" s="0" t="s">
        <v>176</v>
      </c>
      <c r="P244" s="0" t="s">
        <v>78</v>
      </c>
      <c r="Q244" s="0" t="s">
        <v>79</v>
      </c>
      <c r="R244" s="0" t="s">
        <v>80</v>
      </c>
      <c r="S244" s="0" t="s">
        <v>81</v>
      </c>
      <c r="T244" s="0" t="s">
        <v>82</v>
      </c>
    </row>
    <row r="245" customFormat="false" ht="15" hidden="false" customHeight="false" outlineLevel="0" collapsed="false">
      <c r="A245" s="0" t="str">
        <f aca="false">B245&amp;"|"&amp;C245&amp;"|"&amp;D245&amp;"|"&amp;E245&amp;"|"&amp;F245</f>
        <v>2.8+2512|FX|delta_rw|regular|high</v>
      </c>
      <c r="B245" s="0" t="s">
        <v>9</v>
      </c>
      <c r="C245" s="0" t="s">
        <v>170</v>
      </c>
      <c r="D245" s="0" t="s">
        <v>69</v>
      </c>
      <c r="E245" s="0" t="s">
        <v>70</v>
      </c>
      <c r="F245" s="0" t="s">
        <v>85</v>
      </c>
      <c r="G245" s="0" t="n">
        <v>31.7</v>
      </c>
      <c r="H245" s="0" t="s">
        <v>186</v>
      </c>
      <c r="I245" s="0" t="s">
        <v>72</v>
      </c>
      <c r="J245" s="0" t="s">
        <v>9</v>
      </c>
      <c r="K245" s="0" t="s">
        <v>73</v>
      </c>
      <c r="L245" s="0" t="s">
        <v>173</v>
      </c>
      <c r="M245" s="0" t="s">
        <v>187</v>
      </c>
      <c r="N245" s="0" t="s">
        <v>188</v>
      </c>
      <c r="O245" s="0" t="s">
        <v>176</v>
      </c>
      <c r="P245" s="0" t="s">
        <v>78</v>
      </c>
      <c r="Q245" s="0" t="s">
        <v>79</v>
      </c>
      <c r="R245" s="0" t="s">
        <v>80</v>
      </c>
      <c r="S245" s="0" t="s">
        <v>81</v>
      </c>
      <c r="T245" s="0" t="s">
        <v>82</v>
      </c>
    </row>
    <row r="246" customFormat="false" ht="15" hidden="false" customHeight="false" outlineLevel="0" collapsed="false">
      <c r="A246" s="0" t="str">
        <f aca="false">B246&amp;"|"&amp;C246&amp;"|"&amp;D246&amp;"|"&amp;E246&amp;"|"&amp;F246</f>
        <v>2.8+2512|FX|delta_rw|high|regular</v>
      </c>
      <c r="B246" s="0" t="s">
        <v>9</v>
      </c>
      <c r="C246" s="0" t="s">
        <v>170</v>
      </c>
      <c r="D246" s="0" t="s">
        <v>69</v>
      </c>
      <c r="E246" s="0" t="s">
        <v>85</v>
      </c>
      <c r="F246" s="0" t="s">
        <v>70</v>
      </c>
      <c r="G246" s="0" t="n">
        <v>31.7</v>
      </c>
      <c r="H246" s="0" t="s">
        <v>186</v>
      </c>
      <c r="I246" s="0" t="s">
        <v>72</v>
      </c>
      <c r="J246" s="0" t="s">
        <v>9</v>
      </c>
      <c r="K246" s="0" t="s">
        <v>73</v>
      </c>
      <c r="L246" s="0" t="s">
        <v>173</v>
      </c>
      <c r="M246" s="0" t="s">
        <v>187</v>
      </c>
      <c r="N246" s="0" t="s">
        <v>188</v>
      </c>
      <c r="O246" s="0" t="s">
        <v>176</v>
      </c>
      <c r="P246" s="0" t="s">
        <v>78</v>
      </c>
      <c r="Q246" s="0" t="s">
        <v>79</v>
      </c>
      <c r="R246" s="0" t="s">
        <v>80</v>
      </c>
      <c r="S246" s="0" t="s">
        <v>81</v>
      </c>
      <c r="T246" s="0" t="s">
        <v>82</v>
      </c>
    </row>
    <row r="247" customFormat="false" ht="15" hidden="false" customHeight="false" outlineLevel="0" collapsed="false">
      <c r="A247" s="0" t="str">
        <f aca="false">B247&amp;"|"&amp;C247&amp;"|"&amp;D247&amp;"|"&amp;E247&amp;"|"&amp;F247</f>
        <v>2.8+2512|FX|delta_rw|high|high</v>
      </c>
      <c r="B247" s="0" t="s">
        <v>9</v>
      </c>
      <c r="C247" s="0" t="s">
        <v>170</v>
      </c>
      <c r="D247" s="0" t="s">
        <v>69</v>
      </c>
      <c r="E247" s="0" t="s">
        <v>85</v>
      </c>
      <c r="F247" s="0" t="s">
        <v>85</v>
      </c>
      <c r="G247" s="0" t="n">
        <v>31.7</v>
      </c>
      <c r="H247" s="0" t="s">
        <v>186</v>
      </c>
      <c r="I247" s="0" t="s">
        <v>72</v>
      </c>
      <c r="J247" s="0" t="s">
        <v>9</v>
      </c>
      <c r="K247" s="0" t="s">
        <v>73</v>
      </c>
      <c r="L247" s="0" t="s">
        <v>173</v>
      </c>
      <c r="M247" s="0" t="s">
        <v>187</v>
      </c>
      <c r="N247" s="0" t="s">
        <v>188</v>
      </c>
      <c r="O247" s="0" t="s">
        <v>176</v>
      </c>
      <c r="P247" s="0" t="s">
        <v>78</v>
      </c>
      <c r="Q247" s="0" t="s">
        <v>79</v>
      </c>
      <c r="R247" s="0" t="s">
        <v>80</v>
      </c>
      <c r="S247" s="0" t="s">
        <v>81</v>
      </c>
      <c r="T247" s="0" t="s">
        <v>82</v>
      </c>
    </row>
    <row r="248" customFormat="false" ht="15" hidden="false" customHeight="false" outlineLevel="0" collapsed="false">
      <c r="A248" s="0" t="str">
        <f aca="false">B248&amp;"|"&amp;C248&amp;"|"&amp;D248&amp;"|"&amp;E248&amp;"|"&amp;F248</f>
        <v>2.8+2512|FX|hvr||</v>
      </c>
      <c r="B248" s="0" t="s">
        <v>9</v>
      </c>
      <c r="C248" s="0" t="s">
        <v>170</v>
      </c>
      <c r="D248" s="0" t="s">
        <v>91</v>
      </c>
      <c r="G248" s="0" t="n">
        <v>0.67</v>
      </c>
      <c r="H248" s="0" t="s">
        <v>92</v>
      </c>
      <c r="I248" s="0" t="s">
        <v>72</v>
      </c>
      <c r="J248" s="0" t="s">
        <v>9</v>
      </c>
      <c r="K248" s="0" t="s">
        <v>73</v>
      </c>
      <c r="L248" s="0" t="s">
        <v>173</v>
      </c>
      <c r="M248" s="0" t="s">
        <v>189</v>
      </c>
      <c r="N248" s="0" t="s">
        <v>190</v>
      </c>
      <c r="O248" s="0" t="s">
        <v>176</v>
      </c>
      <c r="P248" s="0" t="s">
        <v>78</v>
      </c>
      <c r="Q248" s="0" t="s">
        <v>79</v>
      </c>
      <c r="R248" s="0" t="s">
        <v>80</v>
      </c>
      <c r="S248" s="0" t="s">
        <v>81</v>
      </c>
      <c r="T248" s="0" t="s">
        <v>82</v>
      </c>
    </row>
    <row r="249" customFormat="false" ht="15" hidden="false" customHeight="false" outlineLevel="0" collapsed="false">
      <c r="A249" s="0" t="str">
        <f aca="false">B249&amp;"|"&amp;C249&amp;"|"&amp;D249&amp;"|"&amp;E249&amp;"|"&amp;F249</f>
        <v>2.8+2512|FX|vega_rw||</v>
      </c>
      <c r="B249" s="0" t="s">
        <v>9</v>
      </c>
      <c r="C249" s="0" t="s">
        <v>170</v>
      </c>
      <c r="D249" s="0" t="s">
        <v>95</v>
      </c>
      <c r="G249" s="0" t="n">
        <v>0.33</v>
      </c>
      <c r="H249" s="0" t="s">
        <v>92</v>
      </c>
      <c r="I249" s="0" t="s">
        <v>72</v>
      </c>
      <c r="J249" s="0" t="s">
        <v>9</v>
      </c>
      <c r="K249" s="0" t="s">
        <v>73</v>
      </c>
      <c r="L249" s="0" t="s">
        <v>173</v>
      </c>
      <c r="M249" s="0" t="s">
        <v>191</v>
      </c>
      <c r="N249" s="0" t="s">
        <v>192</v>
      </c>
      <c r="O249" s="0" t="s">
        <v>176</v>
      </c>
      <c r="P249" s="0" t="s">
        <v>78</v>
      </c>
      <c r="Q249" s="0" t="s">
        <v>79</v>
      </c>
      <c r="R249" s="0" t="s">
        <v>80</v>
      </c>
      <c r="S249" s="0" t="s">
        <v>81</v>
      </c>
      <c r="T249" s="0" t="s">
        <v>82</v>
      </c>
    </row>
    <row r="250" customFormat="false" ht="15" hidden="false" customHeight="false" outlineLevel="0" collapsed="false">
      <c r="A250" s="0" t="str">
        <f aca="false">B250&amp;"|"&amp;C250&amp;"|"&amp;D250&amp;"|"&amp;E250&amp;"|"&amp;F250</f>
        <v>2.8+2512|FX|delta_corr_calc_regular|regular|regular</v>
      </c>
      <c r="B250" s="0" t="s">
        <v>9</v>
      </c>
      <c r="C250" s="0" t="s">
        <v>170</v>
      </c>
      <c r="D250" s="0" t="s">
        <v>193</v>
      </c>
      <c r="E250" s="0" t="s">
        <v>70</v>
      </c>
      <c r="F250" s="0" t="s">
        <v>70</v>
      </c>
      <c r="G250" s="0" t="n">
        <v>0.5</v>
      </c>
      <c r="H250" s="0" t="s">
        <v>119</v>
      </c>
      <c r="I250" s="0" t="s">
        <v>72</v>
      </c>
      <c r="J250" s="0" t="s">
        <v>9</v>
      </c>
      <c r="K250" s="0" t="s">
        <v>73</v>
      </c>
      <c r="L250" s="0" t="s">
        <v>194</v>
      </c>
      <c r="M250" s="0" t="s">
        <v>195</v>
      </c>
      <c r="N250" s="0" t="s">
        <v>196</v>
      </c>
      <c r="O250" s="0" t="s">
        <v>176</v>
      </c>
      <c r="P250" s="0" t="s">
        <v>78</v>
      </c>
      <c r="Q250" s="0" t="s">
        <v>79</v>
      </c>
      <c r="R250" s="0" t="s">
        <v>80</v>
      </c>
      <c r="S250" s="0" t="s">
        <v>81</v>
      </c>
      <c r="T250" s="0" t="s">
        <v>82</v>
      </c>
    </row>
    <row r="251" customFormat="false" ht="15" hidden="false" customHeight="false" outlineLevel="0" collapsed="false">
      <c r="A251" s="0" t="str">
        <f aca="false">B251&amp;"|"&amp;C251&amp;"|"&amp;D251&amp;"|"&amp;E251&amp;"|"&amp;F251</f>
        <v>2.8+2512|FX|delta_corr_calc_regular|regular|high</v>
      </c>
      <c r="B251" s="0" t="s">
        <v>9</v>
      </c>
      <c r="C251" s="0" t="s">
        <v>170</v>
      </c>
      <c r="D251" s="0" t="s">
        <v>193</v>
      </c>
      <c r="E251" s="0" t="s">
        <v>70</v>
      </c>
      <c r="F251" s="0" t="s">
        <v>85</v>
      </c>
      <c r="G251" s="0" t="n">
        <v>0.12</v>
      </c>
      <c r="H251" s="0" t="s">
        <v>119</v>
      </c>
      <c r="I251" s="0" t="s">
        <v>72</v>
      </c>
      <c r="J251" s="0" t="s">
        <v>9</v>
      </c>
      <c r="K251" s="0" t="s">
        <v>73</v>
      </c>
      <c r="L251" s="0" t="s">
        <v>194</v>
      </c>
      <c r="M251" s="0" t="s">
        <v>195</v>
      </c>
      <c r="N251" s="0" t="s">
        <v>196</v>
      </c>
      <c r="O251" s="0" t="s">
        <v>176</v>
      </c>
      <c r="P251" s="0" t="s">
        <v>78</v>
      </c>
      <c r="Q251" s="0" t="s">
        <v>79</v>
      </c>
      <c r="R251" s="0" t="s">
        <v>80</v>
      </c>
      <c r="S251" s="0" t="s">
        <v>81</v>
      </c>
      <c r="T251" s="0" t="s">
        <v>82</v>
      </c>
    </row>
    <row r="252" customFormat="false" ht="15" hidden="false" customHeight="false" outlineLevel="0" collapsed="false">
      <c r="A252" s="0" t="str">
        <f aca="false">B252&amp;"|"&amp;C252&amp;"|"&amp;D252&amp;"|"&amp;E252&amp;"|"&amp;F252</f>
        <v>2.8+2512|FX|delta_corr_calc_regular|high|regular</v>
      </c>
      <c r="B252" s="0" t="s">
        <v>9</v>
      </c>
      <c r="C252" s="0" t="s">
        <v>170</v>
      </c>
      <c r="D252" s="0" t="s">
        <v>193</v>
      </c>
      <c r="E252" s="0" t="s">
        <v>85</v>
      </c>
      <c r="F252" s="0" t="s">
        <v>70</v>
      </c>
      <c r="G252" s="0" t="n">
        <v>0.12</v>
      </c>
      <c r="H252" s="0" t="s">
        <v>119</v>
      </c>
      <c r="I252" s="0" t="s">
        <v>72</v>
      </c>
      <c r="J252" s="0" t="s">
        <v>9</v>
      </c>
      <c r="K252" s="0" t="s">
        <v>73</v>
      </c>
      <c r="L252" s="0" t="s">
        <v>194</v>
      </c>
      <c r="M252" s="0" t="s">
        <v>195</v>
      </c>
      <c r="N252" s="0" t="s">
        <v>196</v>
      </c>
      <c r="O252" s="0" t="s">
        <v>176</v>
      </c>
      <c r="P252" s="0" t="s">
        <v>78</v>
      </c>
      <c r="Q252" s="0" t="s">
        <v>79</v>
      </c>
      <c r="R252" s="0" t="s">
        <v>80</v>
      </c>
      <c r="S252" s="0" t="s">
        <v>81</v>
      </c>
      <c r="T252" s="0" t="s">
        <v>82</v>
      </c>
    </row>
    <row r="253" customFormat="false" ht="15" hidden="false" customHeight="false" outlineLevel="0" collapsed="false">
      <c r="A253" s="0" t="str">
        <f aca="false">B253&amp;"|"&amp;C253&amp;"|"&amp;D253&amp;"|"&amp;E253&amp;"|"&amp;F253</f>
        <v>2.8+2512|FX|delta_corr_calc_regular|high|high</v>
      </c>
      <c r="B253" s="0" t="s">
        <v>9</v>
      </c>
      <c r="C253" s="0" t="s">
        <v>170</v>
      </c>
      <c r="D253" s="0" t="s">
        <v>193</v>
      </c>
      <c r="E253" s="0" t="s">
        <v>85</v>
      </c>
      <c r="F253" s="0" t="s">
        <v>85</v>
      </c>
      <c r="G253" s="0" t="n">
        <v>0.03</v>
      </c>
      <c r="H253" s="0" t="s">
        <v>119</v>
      </c>
      <c r="I253" s="0" t="s">
        <v>72</v>
      </c>
      <c r="J253" s="0" t="s">
        <v>9</v>
      </c>
      <c r="K253" s="0" t="s">
        <v>73</v>
      </c>
      <c r="L253" s="0" t="s">
        <v>194</v>
      </c>
      <c r="M253" s="0" t="s">
        <v>195</v>
      </c>
      <c r="N253" s="0" t="s">
        <v>196</v>
      </c>
      <c r="O253" s="0" t="s">
        <v>176</v>
      </c>
      <c r="P253" s="0" t="s">
        <v>78</v>
      </c>
      <c r="Q253" s="0" t="s">
        <v>79</v>
      </c>
      <c r="R253" s="0" t="s">
        <v>80</v>
      </c>
      <c r="S253" s="0" t="s">
        <v>81</v>
      </c>
      <c r="T253" s="0" t="s">
        <v>82</v>
      </c>
    </row>
    <row r="254" customFormat="false" ht="15" hidden="false" customHeight="false" outlineLevel="0" collapsed="false">
      <c r="A254" s="0" t="str">
        <f aca="false">B254&amp;"|"&amp;C254&amp;"|"&amp;D254&amp;"|"&amp;E254&amp;"|"&amp;F254</f>
        <v>2.8+2512|FX|delta_corr_calc_high|regular|regular</v>
      </c>
      <c r="B254" s="0" t="s">
        <v>9</v>
      </c>
      <c r="C254" s="0" t="s">
        <v>170</v>
      </c>
      <c r="D254" s="0" t="s">
        <v>197</v>
      </c>
      <c r="E254" s="0" t="s">
        <v>70</v>
      </c>
      <c r="F254" s="0" t="s">
        <v>70</v>
      </c>
      <c r="G254" s="0" t="n">
        <v>0.97</v>
      </c>
      <c r="H254" s="0" t="s">
        <v>119</v>
      </c>
      <c r="I254" s="0" t="s">
        <v>72</v>
      </c>
      <c r="J254" s="0" t="s">
        <v>9</v>
      </c>
      <c r="K254" s="0" t="s">
        <v>73</v>
      </c>
      <c r="L254" s="0" t="s">
        <v>194</v>
      </c>
      <c r="M254" s="0" t="s">
        <v>195</v>
      </c>
      <c r="N254" s="0" t="s">
        <v>198</v>
      </c>
      <c r="O254" s="0" t="s">
        <v>199</v>
      </c>
      <c r="P254" s="0" t="s">
        <v>78</v>
      </c>
      <c r="Q254" s="0" t="s">
        <v>79</v>
      </c>
      <c r="R254" s="0" t="s">
        <v>80</v>
      </c>
      <c r="S254" s="0" t="s">
        <v>81</v>
      </c>
      <c r="T254" s="0" t="s">
        <v>82</v>
      </c>
    </row>
    <row r="255" customFormat="false" ht="15" hidden="false" customHeight="false" outlineLevel="0" collapsed="false">
      <c r="A255" s="0" t="str">
        <f aca="false">B255&amp;"|"&amp;C255&amp;"|"&amp;D255&amp;"|"&amp;E255&amp;"|"&amp;F255</f>
        <v>2.8+2512|FX|delta_corr_calc_high|regular|high</v>
      </c>
      <c r="B255" s="0" t="s">
        <v>9</v>
      </c>
      <c r="C255" s="0" t="s">
        <v>170</v>
      </c>
      <c r="D255" s="0" t="s">
        <v>197</v>
      </c>
      <c r="E255" s="0" t="s">
        <v>70</v>
      </c>
      <c r="F255" s="0" t="s">
        <v>85</v>
      </c>
      <c r="G255" s="0" t="n">
        <v>0.7</v>
      </c>
      <c r="H255" s="0" t="s">
        <v>119</v>
      </c>
      <c r="I255" s="0" t="s">
        <v>72</v>
      </c>
      <c r="J255" s="0" t="s">
        <v>9</v>
      </c>
      <c r="K255" s="0" t="s">
        <v>73</v>
      </c>
      <c r="L255" s="0" t="s">
        <v>194</v>
      </c>
      <c r="M255" s="0" t="s">
        <v>195</v>
      </c>
      <c r="N255" s="0" t="s">
        <v>198</v>
      </c>
      <c r="O255" s="0" t="s">
        <v>199</v>
      </c>
      <c r="P255" s="0" t="s">
        <v>78</v>
      </c>
      <c r="Q255" s="0" t="s">
        <v>79</v>
      </c>
      <c r="R255" s="0" t="s">
        <v>80</v>
      </c>
      <c r="S255" s="0" t="s">
        <v>81</v>
      </c>
      <c r="T255" s="0" t="s">
        <v>82</v>
      </c>
    </row>
    <row r="256" customFormat="false" ht="15" hidden="false" customHeight="false" outlineLevel="0" collapsed="false">
      <c r="A256" s="0" t="str">
        <f aca="false">B256&amp;"|"&amp;C256&amp;"|"&amp;D256&amp;"|"&amp;E256&amp;"|"&amp;F256</f>
        <v>2.8+2512|FX|delta_corr_calc_high|high|regular</v>
      </c>
      <c r="B256" s="0" t="s">
        <v>9</v>
      </c>
      <c r="C256" s="0" t="s">
        <v>170</v>
      </c>
      <c r="D256" s="0" t="s">
        <v>197</v>
      </c>
      <c r="E256" s="0" t="s">
        <v>85</v>
      </c>
      <c r="F256" s="0" t="s">
        <v>70</v>
      </c>
      <c r="G256" s="0" t="n">
        <v>0.7</v>
      </c>
      <c r="H256" s="0" t="s">
        <v>119</v>
      </c>
      <c r="I256" s="0" t="s">
        <v>72</v>
      </c>
      <c r="J256" s="0" t="s">
        <v>9</v>
      </c>
      <c r="K256" s="0" t="s">
        <v>73</v>
      </c>
      <c r="L256" s="0" t="s">
        <v>194</v>
      </c>
      <c r="M256" s="0" t="s">
        <v>195</v>
      </c>
      <c r="N256" s="0" t="s">
        <v>198</v>
      </c>
      <c r="O256" s="0" t="s">
        <v>199</v>
      </c>
      <c r="P256" s="0" t="s">
        <v>78</v>
      </c>
      <c r="Q256" s="0" t="s">
        <v>79</v>
      </c>
      <c r="R256" s="0" t="s">
        <v>80</v>
      </c>
      <c r="S256" s="0" t="s">
        <v>81</v>
      </c>
      <c r="T256" s="0" t="s">
        <v>82</v>
      </c>
    </row>
    <row r="257" customFormat="false" ht="15" hidden="false" customHeight="false" outlineLevel="0" collapsed="false">
      <c r="A257" s="0" t="str">
        <f aca="false">B257&amp;"|"&amp;C257&amp;"|"&amp;D257&amp;"|"&amp;E257&amp;"|"&amp;F257</f>
        <v>2.8+2512|FX|delta_corr_calc_high|high|high</v>
      </c>
      <c r="B257" s="0" t="s">
        <v>9</v>
      </c>
      <c r="C257" s="0" t="s">
        <v>170</v>
      </c>
      <c r="D257" s="0" t="s">
        <v>197</v>
      </c>
      <c r="E257" s="0" t="s">
        <v>85</v>
      </c>
      <c r="F257" s="0" t="s">
        <v>85</v>
      </c>
      <c r="G257" s="0" t="n">
        <v>0.5</v>
      </c>
      <c r="H257" s="0" t="s">
        <v>119</v>
      </c>
      <c r="I257" s="0" t="s">
        <v>72</v>
      </c>
      <c r="J257" s="0" t="s">
        <v>9</v>
      </c>
      <c r="K257" s="0" t="s">
        <v>73</v>
      </c>
      <c r="L257" s="0" t="s">
        <v>194</v>
      </c>
      <c r="M257" s="0" t="s">
        <v>195</v>
      </c>
      <c r="N257" s="0" t="s">
        <v>198</v>
      </c>
      <c r="O257" s="0" t="s">
        <v>199</v>
      </c>
      <c r="P257" s="0" t="s">
        <v>78</v>
      </c>
      <c r="Q257" s="0" t="s">
        <v>79</v>
      </c>
      <c r="R257" s="0" t="s">
        <v>80</v>
      </c>
      <c r="S257" s="0" t="s">
        <v>81</v>
      </c>
      <c r="T257" s="0" t="s">
        <v>82</v>
      </c>
    </row>
    <row r="258" customFormat="false" ht="15" hidden="false" customHeight="false" outlineLevel="0" collapsed="false">
      <c r="A258" s="0" t="str">
        <f aca="false">B258&amp;"|"&amp;C258&amp;"|"&amp;D258&amp;"|"&amp;E258&amp;"|"&amp;F258</f>
        <v>2.8+2512|FX|vol_curvature_corr||</v>
      </c>
      <c r="B258" s="0" t="s">
        <v>9</v>
      </c>
      <c r="C258" s="0" t="s">
        <v>170</v>
      </c>
      <c r="D258" s="0" t="s">
        <v>200</v>
      </c>
      <c r="G258" s="0" t="n">
        <v>0.5</v>
      </c>
      <c r="H258" s="0" t="s">
        <v>119</v>
      </c>
      <c r="I258" s="0" t="s">
        <v>72</v>
      </c>
      <c r="J258" s="0" t="s">
        <v>9</v>
      </c>
      <c r="K258" s="0" t="s">
        <v>73</v>
      </c>
      <c r="L258" s="0" t="s">
        <v>194</v>
      </c>
      <c r="M258" s="0" t="s">
        <v>201</v>
      </c>
      <c r="N258" s="0" t="s">
        <v>202</v>
      </c>
      <c r="O258" s="0" t="s">
        <v>199</v>
      </c>
      <c r="P258" s="0" t="s">
        <v>78</v>
      </c>
      <c r="Q258" s="0" t="s">
        <v>79</v>
      </c>
      <c r="R258" s="0" t="s">
        <v>80</v>
      </c>
      <c r="S258" s="0" t="s">
        <v>81</v>
      </c>
      <c r="T258" s="0" t="s">
        <v>82</v>
      </c>
    </row>
    <row r="259" customFormat="false" ht="15" hidden="false" customHeight="false" outlineLevel="0" collapsed="false">
      <c r="A259" s="0" t="str">
        <f aca="false">B259&amp;"|"&amp;C259&amp;"|"&amp;D259&amp;"|"&amp;E259&amp;"|"&amp;F259</f>
        <v>2.8+2512|FX|delta_ct|Category 1|</v>
      </c>
      <c r="B259" s="0" t="s">
        <v>9</v>
      </c>
      <c r="C259" s="0" t="s">
        <v>170</v>
      </c>
      <c r="D259" s="0" t="s">
        <v>147</v>
      </c>
      <c r="E259" s="0" t="s">
        <v>203</v>
      </c>
      <c r="G259" s="0" t="n">
        <v>2100</v>
      </c>
      <c r="H259" s="0" t="s">
        <v>204</v>
      </c>
      <c r="I259" s="0" t="s">
        <v>72</v>
      </c>
      <c r="J259" s="0" t="s">
        <v>9</v>
      </c>
      <c r="K259" s="0" t="s">
        <v>73</v>
      </c>
      <c r="L259" s="0" t="s">
        <v>205</v>
      </c>
      <c r="M259" s="0" t="s">
        <v>206</v>
      </c>
      <c r="N259" s="0" t="s">
        <v>207</v>
      </c>
      <c r="O259" s="0" t="s">
        <v>160</v>
      </c>
      <c r="P259" s="0" t="s">
        <v>78</v>
      </c>
      <c r="Q259" s="0" t="s">
        <v>79</v>
      </c>
      <c r="R259" s="0" t="s">
        <v>80</v>
      </c>
      <c r="S259" s="0" t="s">
        <v>81</v>
      </c>
      <c r="T259" s="0" t="s">
        <v>82</v>
      </c>
    </row>
    <row r="260" customFormat="false" ht="15" hidden="false" customHeight="false" outlineLevel="0" collapsed="false">
      <c r="A260" s="0" t="str">
        <f aca="false">B260&amp;"|"&amp;C260&amp;"|"&amp;D260&amp;"|"&amp;E260&amp;"|"&amp;F260</f>
        <v>2.8+2512|FX|delta_ct|Category 2|</v>
      </c>
      <c r="B260" s="0" t="s">
        <v>9</v>
      </c>
      <c r="C260" s="0" t="s">
        <v>170</v>
      </c>
      <c r="D260" s="0" t="s">
        <v>147</v>
      </c>
      <c r="E260" s="0" t="s">
        <v>208</v>
      </c>
      <c r="G260" s="0" t="n">
        <v>710</v>
      </c>
      <c r="H260" s="0" t="s">
        <v>204</v>
      </c>
      <c r="I260" s="0" t="s">
        <v>72</v>
      </c>
      <c r="J260" s="0" t="s">
        <v>9</v>
      </c>
      <c r="K260" s="0" t="s">
        <v>73</v>
      </c>
      <c r="L260" s="0" t="s">
        <v>205</v>
      </c>
      <c r="M260" s="0" t="s">
        <v>206</v>
      </c>
      <c r="N260" s="0" t="s">
        <v>207</v>
      </c>
      <c r="O260" s="0" t="s">
        <v>160</v>
      </c>
      <c r="P260" s="0" t="s">
        <v>78</v>
      </c>
      <c r="Q260" s="0" t="s">
        <v>79</v>
      </c>
      <c r="R260" s="0" t="s">
        <v>80</v>
      </c>
      <c r="S260" s="0" t="s">
        <v>81</v>
      </c>
      <c r="T260" s="0" t="s">
        <v>82</v>
      </c>
    </row>
    <row r="261" customFormat="false" ht="15" hidden="false" customHeight="false" outlineLevel="0" collapsed="false">
      <c r="A261" s="0" t="str">
        <f aca="false">B261&amp;"|"&amp;C261&amp;"|"&amp;D261&amp;"|"&amp;E261&amp;"|"&amp;F261</f>
        <v>2.8+2512|FX|delta_ct|Category 3|</v>
      </c>
      <c r="B261" s="0" t="s">
        <v>9</v>
      </c>
      <c r="C261" s="0" t="s">
        <v>170</v>
      </c>
      <c r="D261" s="0" t="s">
        <v>147</v>
      </c>
      <c r="E261" s="0" t="s">
        <v>209</v>
      </c>
      <c r="G261" s="0" t="n">
        <v>120</v>
      </c>
      <c r="H261" s="0" t="s">
        <v>204</v>
      </c>
      <c r="I261" s="0" t="s">
        <v>72</v>
      </c>
      <c r="J261" s="0" t="s">
        <v>9</v>
      </c>
      <c r="K261" s="0" t="s">
        <v>73</v>
      </c>
      <c r="L261" s="0" t="s">
        <v>205</v>
      </c>
      <c r="M261" s="0" t="s">
        <v>206</v>
      </c>
      <c r="N261" s="0" t="s">
        <v>207</v>
      </c>
      <c r="O261" s="0" t="s">
        <v>160</v>
      </c>
      <c r="P261" s="0" t="s">
        <v>78</v>
      </c>
      <c r="Q261" s="0" t="s">
        <v>79</v>
      </c>
      <c r="R261" s="0" t="s">
        <v>80</v>
      </c>
      <c r="S261" s="0" t="s">
        <v>81</v>
      </c>
      <c r="T261" s="0" t="s">
        <v>82</v>
      </c>
    </row>
    <row r="262" customFormat="false" ht="15" hidden="false" customHeight="false" outlineLevel="0" collapsed="false">
      <c r="A262" s="0" t="str">
        <f aca="false">B262&amp;"|"&amp;C262&amp;"|"&amp;D262&amp;"|"&amp;E262&amp;"|"&amp;F262</f>
        <v>2.8+2512|FX|vega_ct|Category 1|Category 1</v>
      </c>
      <c r="B262" s="0" t="s">
        <v>9</v>
      </c>
      <c r="C262" s="0" t="s">
        <v>170</v>
      </c>
      <c r="D262" s="0" t="s">
        <v>155</v>
      </c>
      <c r="E262" s="0" t="s">
        <v>203</v>
      </c>
      <c r="F262" s="0" t="s">
        <v>203</v>
      </c>
      <c r="G262" s="0" t="n">
        <v>2900</v>
      </c>
      <c r="H262" s="0" t="s">
        <v>156</v>
      </c>
      <c r="I262" s="0" t="s">
        <v>72</v>
      </c>
      <c r="J262" s="0" t="s">
        <v>9</v>
      </c>
      <c r="K262" s="0" t="s">
        <v>73</v>
      </c>
      <c r="L262" s="0" t="s">
        <v>210</v>
      </c>
      <c r="M262" s="0" t="s">
        <v>211</v>
      </c>
      <c r="N262" s="0" t="s">
        <v>212</v>
      </c>
      <c r="O262" s="0" t="s">
        <v>213</v>
      </c>
      <c r="P262" s="0" t="s">
        <v>78</v>
      </c>
      <c r="Q262" s="0" t="s">
        <v>79</v>
      </c>
      <c r="R262" s="0" t="s">
        <v>80</v>
      </c>
      <c r="S262" s="0" t="s">
        <v>81</v>
      </c>
      <c r="T262" s="0" t="s">
        <v>214</v>
      </c>
    </row>
    <row r="263" customFormat="false" ht="15" hidden="false" customHeight="false" outlineLevel="0" collapsed="false">
      <c r="A263" s="0" t="str">
        <f aca="false">B263&amp;"|"&amp;C263&amp;"|"&amp;D263&amp;"|"&amp;E263&amp;"|"&amp;F263</f>
        <v>2.8+2512|FX|vega_ct|Category 1|Category 2</v>
      </c>
      <c r="B263" s="0" t="s">
        <v>9</v>
      </c>
      <c r="C263" s="0" t="s">
        <v>170</v>
      </c>
      <c r="D263" s="0" t="s">
        <v>155</v>
      </c>
      <c r="E263" s="0" t="s">
        <v>203</v>
      </c>
      <c r="F263" s="0" t="s">
        <v>208</v>
      </c>
      <c r="G263" s="0" t="n">
        <v>1500</v>
      </c>
      <c r="H263" s="0" t="s">
        <v>156</v>
      </c>
      <c r="I263" s="0" t="s">
        <v>72</v>
      </c>
      <c r="J263" s="0" t="s">
        <v>9</v>
      </c>
      <c r="K263" s="0" t="s">
        <v>73</v>
      </c>
      <c r="L263" s="0" t="s">
        <v>210</v>
      </c>
      <c r="M263" s="0" t="s">
        <v>211</v>
      </c>
      <c r="N263" s="0" t="s">
        <v>212</v>
      </c>
      <c r="O263" s="0" t="s">
        <v>213</v>
      </c>
      <c r="P263" s="0" t="s">
        <v>78</v>
      </c>
      <c r="Q263" s="0" t="s">
        <v>79</v>
      </c>
      <c r="R263" s="0" t="s">
        <v>80</v>
      </c>
      <c r="S263" s="0" t="s">
        <v>81</v>
      </c>
      <c r="T263" s="0" t="s">
        <v>214</v>
      </c>
    </row>
    <row r="264" customFormat="false" ht="15" hidden="false" customHeight="false" outlineLevel="0" collapsed="false">
      <c r="A264" s="0" t="str">
        <f aca="false">B264&amp;"|"&amp;C264&amp;"|"&amp;D264&amp;"|"&amp;E264&amp;"|"&amp;F264</f>
        <v>2.8+2512|FX|vega_ct|Category 1|Category 3</v>
      </c>
      <c r="B264" s="0" t="s">
        <v>9</v>
      </c>
      <c r="C264" s="0" t="s">
        <v>170</v>
      </c>
      <c r="D264" s="0" t="s">
        <v>155</v>
      </c>
      <c r="E264" s="0" t="s">
        <v>203</v>
      </c>
      <c r="F264" s="0" t="s">
        <v>209</v>
      </c>
      <c r="G264" s="0" t="n">
        <v>840</v>
      </c>
      <c r="H264" s="0" t="s">
        <v>156</v>
      </c>
      <c r="I264" s="0" t="s">
        <v>72</v>
      </c>
      <c r="J264" s="0" t="s">
        <v>9</v>
      </c>
      <c r="K264" s="0" t="s">
        <v>73</v>
      </c>
      <c r="L264" s="0" t="s">
        <v>210</v>
      </c>
      <c r="M264" s="0" t="s">
        <v>211</v>
      </c>
      <c r="N264" s="0" t="s">
        <v>212</v>
      </c>
      <c r="O264" s="0" t="s">
        <v>213</v>
      </c>
      <c r="P264" s="0" t="s">
        <v>78</v>
      </c>
      <c r="Q264" s="0" t="s">
        <v>79</v>
      </c>
      <c r="R264" s="0" t="s">
        <v>80</v>
      </c>
      <c r="S264" s="0" t="s">
        <v>81</v>
      </c>
      <c r="T264" s="0" t="s">
        <v>214</v>
      </c>
    </row>
    <row r="265" customFormat="false" ht="15" hidden="false" customHeight="false" outlineLevel="0" collapsed="false">
      <c r="A265" s="0" t="str">
        <f aca="false">B265&amp;"|"&amp;C265&amp;"|"&amp;D265&amp;"|"&amp;E265&amp;"|"&amp;F265</f>
        <v>2.8+2512|FX|vega_ct|Category 2|Category 2</v>
      </c>
      <c r="B265" s="0" t="s">
        <v>9</v>
      </c>
      <c r="C265" s="0" t="s">
        <v>170</v>
      </c>
      <c r="D265" s="0" t="s">
        <v>155</v>
      </c>
      <c r="E265" s="0" t="s">
        <v>208</v>
      </c>
      <c r="F265" s="0" t="s">
        <v>208</v>
      </c>
      <c r="G265" s="0" t="n">
        <v>760</v>
      </c>
      <c r="H265" s="0" t="s">
        <v>156</v>
      </c>
      <c r="I265" s="0" t="s">
        <v>72</v>
      </c>
      <c r="J265" s="0" t="s">
        <v>9</v>
      </c>
      <c r="K265" s="0" t="s">
        <v>73</v>
      </c>
      <c r="L265" s="0" t="s">
        <v>210</v>
      </c>
      <c r="M265" s="0" t="s">
        <v>211</v>
      </c>
      <c r="N265" s="0" t="s">
        <v>212</v>
      </c>
      <c r="O265" s="0" t="s">
        <v>213</v>
      </c>
      <c r="P265" s="0" t="s">
        <v>78</v>
      </c>
      <c r="Q265" s="0" t="s">
        <v>79</v>
      </c>
      <c r="R265" s="0" t="s">
        <v>80</v>
      </c>
      <c r="S265" s="0" t="s">
        <v>81</v>
      </c>
      <c r="T265" s="0" t="s">
        <v>214</v>
      </c>
    </row>
    <row r="266" customFormat="false" ht="15" hidden="false" customHeight="false" outlineLevel="0" collapsed="false">
      <c r="A266" s="0" t="str">
        <f aca="false">B266&amp;"|"&amp;C266&amp;"|"&amp;D266&amp;"|"&amp;E266&amp;"|"&amp;F266</f>
        <v>2.8+2512|FX|vega_ct|Category 2|Category 3</v>
      </c>
      <c r="B266" s="0" t="s">
        <v>9</v>
      </c>
      <c r="C266" s="0" t="s">
        <v>170</v>
      </c>
      <c r="D266" s="0" t="s">
        <v>155</v>
      </c>
      <c r="E266" s="0" t="s">
        <v>208</v>
      </c>
      <c r="F266" s="0" t="s">
        <v>209</v>
      </c>
      <c r="G266" s="0" t="n">
        <v>490</v>
      </c>
      <c r="H266" s="0" t="s">
        <v>156</v>
      </c>
      <c r="I266" s="0" t="s">
        <v>72</v>
      </c>
      <c r="J266" s="0" t="s">
        <v>9</v>
      </c>
      <c r="K266" s="0" t="s">
        <v>73</v>
      </c>
      <c r="L266" s="0" t="s">
        <v>210</v>
      </c>
      <c r="M266" s="0" t="s">
        <v>211</v>
      </c>
      <c r="N266" s="0" t="s">
        <v>212</v>
      </c>
      <c r="O266" s="0" t="s">
        <v>213</v>
      </c>
      <c r="P266" s="0" t="s">
        <v>78</v>
      </c>
      <c r="Q266" s="0" t="s">
        <v>79</v>
      </c>
      <c r="R266" s="0" t="s">
        <v>80</v>
      </c>
      <c r="S266" s="0" t="s">
        <v>81</v>
      </c>
      <c r="T266" s="0" t="s">
        <v>214</v>
      </c>
    </row>
    <row r="267" customFormat="false" ht="15" hidden="false" customHeight="false" outlineLevel="0" collapsed="false">
      <c r="A267" s="0" t="str">
        <f aca="false">B267&amp;"|"&amp;C267&amp;"|"&amp;D267&amp;"|"&amp;E267&amp;"|"&amp;F267</f>
        <v>2.8+2512|FX|vega_ct|Category 3|Category 3</v>
      </c>
      <c r="B267" s="0" t="s">
        <v>9</v>
      </c>
      <c r="C267" s="0" t="s">
        <v>170</v>
      </c>
      <c r="D267" s="0" t="s">
        <v>155</v>
      </c>
      <c r="E267" s="0" t="s">
        <v>209</v>
      </c>
      <c r="F267" s="0" t="s">
        <v>209</v>
      </c>
      <c r="G267" s="0" t="n">
        <v>310</v>
      </c>
      <c r="H267" s="0" t="s">
        <v>156</v>
      </c>
      <c r="I267" s="0" t="s">
        <v>72</v>
      </c>
      <c r="J267" s="0" t="s">
        <v>9</v>
      </c>
      <c r="K267" s="0" t="s">
        <v>73</v>
      </c>
      <c r="L267" s="0" t="s">
        <v>210</v>
      </c>
      <c r="M267" s="0" t="s">
        <v>211</v>
      </c>
      <c r="N267" s="0" t="s">
        <v>212</v>
      </c>
      <c r="O267" s="0" t="s">
        <v>213</v>
      </c>
      <c r="P267" s="0" t="s">
        <v>78</v>
      </c>
      <c r="Q267" s="0" t="s">
        <v>79</v>
      </c>
      <c r="R267" s="0" t="s">
        <v>80</v>
      </c>
      <c r="S267" s="0" t="s">
        <v>81</v>
      </c>
      <c r="T267" s="0" t="s">
        <v>214</v>
      </c>
    </row>
    <row r="268" customFormat="false" ht="15" hidden="false" customHeight="false" outlineLevel="0" collapsed="false">
      <c r="A268" s="0" t="str">
        <f aca="false">B268&amp;"|"&amp;C268&amp;"|"&amp;D268&amp;"|"&amp;E268&amp;"|"&amp;F268</f>
        <v>2.8+2512|FX|ct_category_member|Category 1|USD</v>
      </c>
      <c r="B268" s="0" t="s">
        <v>9</v>
      </c>
      <c r="C268" s="0" t="s">
        <v>170</v>
      </c>
      <c r="D268" s="0" t="s">
        <v>215</v>
      </c>
      <c r="E268" s="0" t="s">
        <v>203</v>
      </c>
      <c r="F268" s="0" t="s">
        <v>11</v>
      </c>
      <c r="G268" s="0" t="n">
        <v>1</v>
      </c>
      <c r="H268" s="0" t="s">
        <v>99</v>
      </c>
      <c r="I268" s="0" t="s">
        <v>72</v>
      </c>
      <c r="J268" s="0" t="s">
        <v>9</v>
      </c>
      <c r="K268" s="0" t="s">
        <v>73</v>
      </c>
      <c r="L268" s="0" t="s">
        <v>205</v>
      </c>
      <c r="M268" s="0" t="s">
        <v>216</v>
      </c>
      <c r="N268" s="0" t="s">
        <v>217</v>
      </c>
      <c r="O268" s="0" t="s">
        <v>160</v>
      </c>
      <c r="P268" s="0" t="s">
        <v>78</v>
      </c>
      <c r="Q268" s="0" t="s">
        <v>79</v>
      </c>
      <c r="R268" s="0" t="s">
        <v>80</v>
      </c>
      <c r="S268" s="0" t="s">
        <v>81</v>
      </c>
      <c r="T268" s="0" t="s">
        <v>82</v>
      </c>
    </row>
    <row r="269" customFormat="false" ht="15" hidden="false" customHeight="false" outlineLevel="0" collapsed="false">
      <c r="A269" s="0" t="str">
        <f aca="false">B269&amp;"|"&amp;C269&amp;"|"&amp;D269&amp;"|"&amp;E269&amp;"|"&amp;F269</f>
        <v>2.8+2512|FX|ct_category_member|Category 1|EUR</v>
      </c>
      <c r="B269" s="0" t="s">
        <v>9</v>
      </c>
      <c r="C269" s="0" t="s">
        <v>170</v>
      </c>
      <c r="D269" s="0" t="s">
        <v>215</v>
      </c>
      <c r="E269" s="0" t="s">
        <v>203</v>
      </c>
      <c r="F269" s="0" t="s">
        <v>19</v>
      </c>
      <c r="G269" s="0" t="n">
        <v>1</v>
      </c>
      <c r="H269" s="0" t="s">
        <v>99</v>
      </c>
      <c r="I269" s="0" t="s">
        <v>72</v>
      </c>
      <c r="J269" s="0" t="s">
        <v>9</v>
      </c>
      <c r="K269" s="0" t="s">
        <v>73</v>
      </c>
      <c r="L269" s="0" t="s">
        <v>205</v>
      </c>
      <c r="M269" s="0" t="s">
        <v>216</v>
      </c>
      <c r="N269" s="0" t="s">
        <v>217</v>
      </c>
      <c r="O269" s="0" t="s">
        <v>160</v>
      </c>
      <c r="P269" s="0" t="s">
        <v>78</v>
      </c>
      <c r="Q269" s="0" t="s">
        <v>79</v>
      </c>
      <c r="R269" s="0" t="s">
        <v>80</v>
      </c>
      <c r="S269" s="0" t="s">
        <v>81</v>
      </c>
      <c r="T269" s="0" t="s">
        <v>82</v>
      </c>
    </row>
    <row r="270" customFormat="false" ht="15" hidden="false" customHeight="false" outlineLevel="0" collapsed="false">
      <c r="A270" s="0" t="str">
        <f aca="false">B270&amp;"|"&amp;C270&amp;"|"&amp;D270&amp;"|"&amp;E270&amp;"|"&amp;F270</f>
        <v>2.8+2512|FX|ct_category_member|Category 1|JPY</v>
      </c>
      <c r="B270" s="0" t="s">
        <v>9</v>
      </c>
      <c r="C270" s="0" t="s">
        <v>170</v>
      </c>
      <c r="D270" s="0" t="s">
        <v>215</v>
      </c>
      <c r="E270" s="0" t="s">
        <v>203</v>
      </c>
      <c r="F270" s="0" t="s">
        <v>21</v>
      </c>
      <c r="G270" s="0" t="n">
        <v>1</v>
      </c>
      <c r="H270" s="0" t="s">
        <v>99</v>
      </c>
      <c r="I270" s="0" t="s">
        <v>72</v>
      </c>
      <c r="J270" s="0" t="s">
        <v>9</v>
      </c>
      <c r="K270" s="0" t="s">
        <v>73</v>
      </c>
      <c r="L270" s="0" t="s">
        <v>205</v>
      </c>
      <c r="M270" s="0" t="s">
        <v>216</v>
      </c>
      <c r="N270" s="0" t="s">
        <v>217</v>
      </c>
      <c r="O270" s="0" t="s">
        <v>160</v>
      </c>
      <c r="P270" s="0" t="s">
        <v>78</v>
      </c>
      <c r="Q270" s="0" t="s">
        <v>79</v>
      </c>
      <c r="R270" s="0" t="s">
        <v>80</v>
      </c>
      <c r="S270" s="0" t="s">
        <v>81</v>
      </c>
      <c r="T270" s="0" t="s">
        <v>82</v>
      </c>
    </row>
    <row r="271" customFormat="false" ht="15" hidden="false" customHeight="false" outlineLevel="0" collapsed="false">
      <c r="A271" s="0" t="str">
        <f aca="false">B271&amp;"|"&amp;C271&amp;"|"&amp;D271&amp;"|"&amp;E271&amp;"|"&amp;F271</f>
        <v>2.8+2512|FX|ct_category_member|Category 1|GBP</v>
      </c>
      <c r="B271" s="0" t="s">
        <v>9</v>
      </c>
      <c r="C271" s="0" t="s">
        <v>170</v>
      </c>
      <c r="D271" s="0" t="s">
        <v>215</v>
      </c>
      <c r="E271" s="0" t="s">
        <v>203</v>
      </c>
      <c r="F271" s="0" t="s">
        <v>20</v>
      </c>
      <c r="G271" s="0" t="n">
        <v>1</v>
      </c>
      <c r="H271" s="0" t="s">
        <v>99</v>
      </c>
      <c r="I271" s="0" t="s">
        <v>72</v>
      </c>
      <c r="J271" s="0" t="s">
        <v>9</v>
      </c>
      <c r="K271" s="0" t="s">
        <v>73</v>
      </c>
      <c r="L271" s="0" t="s">
        <v>205</v>
      </c>
      <c r="M271" s="0" t="s">
        <v>216</v>
      </c>
      <c r="N271" s="0" t="s">
        <v>217</v>
      </c>
      <c r="O271" s="0" t="s">
        <v>160</v>
      </c>
      <c r="P271" s="0" t="s">
        <v>78</v>
      </c>
      <c r="Q271" s="0" t="s">
        <v>79</v>
      </c>
      <c r="R271" s="0" t="s">
        <v>80</v>
      </c>
      <c r="S271" s="0" t="s">
        <v>81</v>
      </c>
      <c r="T271" s="0" t="s">
        <v>82</v>
      </c>
    </row>
    <row r="272" customFormat="false" ht="15" hidden="false" customHeight="false" outlineLevel="0" collapsed="false">
      <c r="A272" s="0" t="str">
        <f aca="false">B272&amp;"|"&amp;C272&amp;"|"&amp;D272&amp;"|"&amp;E272&amp;"|"&amp;F272</f>
        <v>2.8+2512|FX|ct_category_member|Category 1|AUD</v>
      </c>
      <c r="B272" s="0" t="s">
        <v>9</v>
      </c>
      <c r="C272" s="0" t="s">
        <v>170</v>
      </c>
      <c r="D272" s="0" t="s">
        <v>215</v>
      </c>
      <c r="E272" s="0" t="s">
        <v>203</v>
      </c>
      <c r="F272" s="0" t="s">
        <v>103</v>
      </c>
      <c r="G272" s="0" t="n">
        <v>1</v>
      </c>
      <c r="H272" s="0" t="s">
        <v>99</v>
      </c>
      <c r="I272" s="0" t="s">
        <v>72</v>
      </c>
      <c r="J272" s="0" t="s">
        <v>9</v>
      </c>
      <c r="K272" s="0" t="s">
        <v>73</v>
      </c>
      <c r="L272" s="0" t="s">
        <v>205</v>
      </c>
      <c r="M272" s="0" t="s">
        <v>216</v>
      </c>
      <c r="N272" s="0" t="s">
        <v>217</v>
      </c>
      <c r="O272" s="0" t="s">
        <v>160</v>
      </c>
      <c r="P272" s="0" t="s">
        <v>78</v>
      </c>
      <c r="Q272" s="0" t="s">
        <v>79</v>
      </c>
      <c r="R272" s="0" t="s">
        <v>80</v>
      </c>
      <c r="S272" s="0" t="s">
        <v>81</v>
      </c>
      <c r="T272" s="0" t="s">
        <v>82</v>
      </c>
    </row>
    <row r="273" customFormat="false" ht="15" hidden="false" customHeight="false" outlineLevel="0" collapsed="false">
      <c r="A273" s="0" t="str">
        <f aca="false">B273&amp;"|"&amp;C273&amp;"|"&amp;D273&amp;"|"&amp;E273&amp;"|"&amp;F273</f>
        <v>2.8+2512|FX|ct_category_member|Category 1|CHF</v>
      </c>
      <c r="B273" s="0" t="s">
        <v>9</v>
      </c>
      <c r="C273" s="0" t="s">
        <v>170</v>
      </c>
      <c r="D273" s="0" t="s">
        <v>215</v>
      </c>
      <c r="E273" s="0" t="s">
        <v>203</v>
      </c>
      <c r="F273" s="0" t="s">
        <v>102</v>
      </c>
      <c r="G273" s="0" t="n">
        <v>1</v>
      </c>
      <c r="H273" s="0" t="s">
        <v>99</v>
      </c>
      <c r="I273" s="0" t="s">
        <v>72</v>
      </c>
      <c r="J273" s="0" t="s">
        <v>9</v>
      </c>
      <c r="K273" s="0" t="s">
        <v>73</v>
      </c>
      <c r="L273" s="0" t="s">
        <v>205</v>
      </c>
      <c r="M273" s="0" t="s">
        <v>216</v>
      </c>
      <c r="N273" s="0" t="s">
        <v>217</v>
      </c>
      <c r="O273" s="0" t="s">
        <v>160</v>
      </c>
      <c r="P273" s="0" t="s">
        <v>78</v>
      </c>
      <c r="Q273" s="0" t="s">
        <v>79</v>
      </c>
      <c r="R273" s="0" t="s">
        <v>80</v>
      </c>
      <c r="S273" s="0" t="s">
        <v>81</v>
      </c>
      <c r="T273" s="0" t="s">
        <v>82</v>
      </c>
    </row>
    <row r="274" customFormat="false" ht="15" hidden="false" customHeight="false" outlineLevel="0" collapsed="false">
      <c r="A274" s="0" t="str">
        <f aca="false">B274&amp;"|"&amp;C274&amp;"|"&amp;D274&amp;"|"&amp;E274&amp;"|"&amp;F274</f>
        <v>2.8+2512|FX|ct_category_member|Category 1|CAD</v>
      </c>
      <c r="B274" s="0" t="s">
        <v>9</v>
      </c>
      <c r="C274" s="0" t="s">
        <v>170</v>
      </c>
      <c r="D274" s="0" t="s">
        <v>215</v>
      </c>
      <c r="E274" s="0" t="s">
        <v>203</v>
      </c>
      <c r="F274" s="0" t="s">
        <v>105</v>
      </c>
      <c r="G274" s="0" t="n">
        <v>1</v>
      </c>
      <c r="H274" s="0" t="s">
        <v>99</v>
      </c>
      <c r="I274" s="0" t="s">
        <v>72</v>
      </c>
      <c r="J274" s="0" t="s">
        <v>9</v>
      </c>
      <c r="K274" s="0" t="s">
        <v>73</v>
      </c>
      <c r="L274" s="0" t="s">
        <v>205</v>
      </c>
      <c r="M274" s="0" t="s">
        <v>216</v>
      </c>
      <c r="N274" s="0" t="s">
        <v>217</v>
      </c>
      <c r="O274" s="0" t="s">
        <v>160</v>
      </c>
      <c r="P274" s="0" t="s">
        <v>78</v>
      </c>
      <c r="Q274" s="0" t="s">
        <v>79</v>
      </c>
      <c r="R274" s="0" t="s">
        <v>80</v>
      </c>
      <c r="S274" s="0" t="s">
        <v>81</v>
      </c>
      <c r="T274" s="0" t="s">
        <v>82</v>
      </c>
    </row>
    <row r="275" customFormat="false" ht="15" hidden="false" customHeight="false" outlineLevel="0" collapsed="false">
      <c r="A275" s="0" t="str">
        <f aca="false">B275&amp;"|"&amp;C275&amp;"|"&amp;D275&amp;"|"&amp;E275&amp;"|"&amp;F275</f>
        <v>2.8+2512|FX|ct_category_member|Category 2|BRL</v>
      </c>
      <c r="B275" s="0" t="s">
        <v>9</v>
      </c>
      <c r="C275" s="0" t="s">
        <v>170</v>
      </c>
      <c r="D275" s="0" t="s">
        <v>215</v>
      </c>
      <c r="E275" s="0" t="s">
        <v>208</v>
      </c>
      <c r="F275" s="0" t="s">
        <v>218</v>
      </c>
      <c r="G275" s="0" t="n">
        <v>1</v>
      </c>
      <c r="H275" s="0" t="s">
        <v>99</v>
      </c>
      <c r="I275" s="0" t="s">
        <v>72</v>
      </c>
      <c r="J275" s="0" t="s">
        <v>9</v>
      </c>
      <c r="K275" s="0" t="s">
        <v>73</v>
      </c>
      <c r="L275" s="0" t="s">
        <v>205</v>
      </c>
      <c r="M275" s="0" t="s">
        <v>216</v>
      </c>
      <c r="N275" s="0" t="s">
        <v>217</v>
      </c>
      <c r="O275" s="0" t="s">
        <v>160</v>
      </c>
      <c r="P275" s="0" t="s">
        <v>78</v>
      </c>
      <c r="Q275" s="0" t="s">
        <v>79</v>
      </c>
      <c r="R275" s="0" t="s">
        <v>80</v>
      </c>
      <c r="S275" s="0" t="s">
        <v>81</v>
      </c>
      <c r="T275" s="0" t="s">
        <v>82</v>
      </c>
    </row>
    <row r="276" customFormat="false" ht="15" hidden="false" customHeight="false" outlineLevel="0" collapsed="false">
      <c r="A276" s="0" t="str">
        <f aca="false">B276&amp;"|"&amp;C276&amp;"|"&amp;D276&amp;"|"&amp;E276&amp;"|"&amp;F276</f>
        <v>2.8+2512|FX|ct_category_member|Category 2|CNY</v>
      </c>
      <c r="B276" s="0" t="s">
        <v>9</v>
      </c>
      <c r="C276" s="0" t="s">
        <v>170</v>
      </c>
      <c r="D276" s="0" t="s">
        <v>215</v>
      </c>
      <c r="E276" s="0" t="s">
        <v>208</v>
      </c>
      <c r="F276" s="0" t="s">
        <v>219</v>
      </c>
      <c r="G276" s="0" t="n">
        <v>1</v>
      </c>
      <c r="H276" s="0" t="s">
        <v>99</v>
      </c>
      <c r="I276" s="0" t="s">
        <v>72</v>
      </c>
      <c r="J276" s="0" t="s">
        <v>9</v>
      </c>
      <c r="K276" s="0" t="s">
        <v>73</v>
      </c>
      <c r="L276" s="0" t="s">
        <v>205</v>
      </c>
      <c r="M276" s="0" t="s">
        <v>216</v>
      </c>
      <c r="N276" s="0" t="s">
        <v>217</v>
      </c>
      <c r="O276" s="0" t="s">
        <v>160</v>
      </c>
      <c r="P276" s="0" t="s">
        <v>78</v>
      </c>
      <c r="Q276" s="0" t="s">
        <v>79</v>
      </c>
      <c r="R276" s="0" t="s">
        <v>80</v>
      </c>
      <c r="S276" s="0" t="s">
        <v>81</v>
      </c>
      <c r="T276" s="0" t="s">
        <v>82</v>
      </c>
    </row>
    <row r="277" customFormat="false" ht="15" hidden="false" customHeight="false" outlineLevel="0" collapsed="false">
      <c r="A277" s="0" t="str">
        <f aca="false">B277&amp;"|"&amp;C277&amp;"|"&amp;D277&amp;"|"&amp;E277&amp;"|"&amp;F277</f>
        <v>2.8+2512|FX|ct_category_member|Category 2|HKD</v>
      </c>
      <c r="B277" s="0" t="s">
        <v>9</v>
      </c>
      <c r="C277" s="0" t="s">
        <v>170</v>
      </c>
      <c r="D277" s="0" t="s">
        <v>215</v>
      </c>
      <c r="E277" s="0" t="s">
        <v>208</v>
      </c>
      <c r="F277" s="0" t="s">
        <v>109</v>
      </c>
      <c r="G277" s="0" t="n">
        <v>1</v>
      </c>
      <c r="H277" s="0" t="s">
        <v>99</v>
      </c>
      <c r="I277" s="0" t="s">
        <v>72</v>
      </c>
      <c r="J277" s="0" t="s">
        <v>9</v>
      </c>
      <c r="K277" s="0" t="s">
        <v>73</v>
      </c>
      <c r="L277" s="0" t="s">
        <v>205</v>
      </c>
      <c r="M277" s="0" t="s">
        <v>216</v>
      </c>
      <c r="N277" s="0" t="s">
        <v>217</v>
      </c>
      <c r="O277" s="0" t="s">
        <v>160</v>
      </c>
      <c r="P277" s="0" t="s">
        <v>78</v>
      </c>
      <c r="Q277" s="0" t="s">
        <v>79</v>
      </c>
      <c r="R277" s="0" t="s">
        <v>80</v>
      </c>
      <c r="S277" s="0" t="s">
        <v>81</v>
      </c>
      <c r="T277" s="0" t="s">
        <v>82</v>
      </c>
    </row>
    <row r="278" customFormat="false" ht="15" hidden="false" customHeight="false" outlineLevel="0" collapsed="false">
      <c r="A278" s="0" t="str">
        <f aca="false">B278&amp;"|"&amp;C278&amp;"|"&amp;D278&amp;"|"&amp;E278&amp;"|"&amp;F278</f>
        <v>2.8+2512|FX|ct_category_member|Category 2|INR</v>
      </c>
      <c r="B278" s="0" t="s">
        <v>9</v>
      </c>
      <c r="C278" s="0" t="s">
        <v>170</v>
      </c>
      <c r="D278" s="0" t="s">
        <v>215</v>
      </c>
      <c r="E278" s="0" t="s">
        <v>208</v>
      </c>
      <c r="F278" s="0" t="s">
        <v>220</v>
      </c>
      <c r="G278" s="0" t="n">
        <v>1</v>
      </c>
      <c r="H278" s="0" t="s">
        <v>99</v>
      </c>
      <c r="I278" s="0" t="s">
        <v>72</v>
      </c>
      <c r="J278" s="0" t="s">
        <v>9</v>
      </c>
      <c r="K278" s="0" t="s">
        <v>73</v>
      </c>
      <c r="L278" s="0" t="s">
        <v>205</v>
      </c>
      <c r="M278" s="0" t="s">
        <v>216</v>
      </c>
      <c r="N278" s="0" t="s">
        <v>217</v>
      </c>
      <c r="O278" s="0" t="s">
        <v>160</v>
      </c>
      <c r="P278" s="0" t="s">
        <v>78</v>
      </c>
      <c r="Q278" s="0" t="s">
        <v>79</v>
      </c>
      <c r="R278" s="0" t="s">
        <v>80</v>
      </c>
      <c r="S278" s="0" t="s">
        <v>81</v>
      </c>
      <c r="T278" s="0" t="s">
        <v>82</v>
      </c>
    </row>
    <row r="279" customFormat="false" ht="15" hidden="false" customHeight="false" outlineLevel="0" collapsed="false">
      <c r="A279" s="0" t="str">
        <f aca="false">B279&amp;"|"&amp;C279&amp;"|"&amp;D279&amp;"|"&amp;E279&amp;"|"&amp;F279</f>
        <v>2.8+2512|FX|ct_category_member|Category 2|KRW</v>
      </c>
      <c r="B279" s="0" t="s">
        <v>9</v>
      </c>
      <c r="C279" s="0" t="s">
        <v>170</v>
      </c>
      <c r="D279" s="0" t="s">
        <v>215</v>
      </c>
      <c r="E279" s="0" t="s">
        <v>208</v>
      </c>
      <c r="F279" s="0" t="s">
        <v>110</v>
      </c>
      <c r="G279" s="0" t="n">
        <v>1</v>
      </c>
      <c r="H279" s="0" t="s">
        <v>99</v>
      </c>
      <c r="I279" s="0" t="s">
        <v>72</v>
      </c>
      <c r="J279" s="0" t="s">
        <v>9</v>
      </c>
      <c r="K279" s="0" t="s">
        <v>73</v>
      </c>
      <c r="L279" s="0" t="s">
        <v>205</v>
      </c>
      <c r="M279" s="0" t="s">
        <v>216</v>
      </c>
      <c r="N279" s="0" t="s">
        <v>217</v>
      </c>
      <c r="O279" s="0" t="s">
        <v>160</v>
      </c>
      <c r="P279" s="0" t="s">
        <v>78</v>
      </c>
      <c r="Q279" s="0" t="s">
        <v>79</v>
      </c>
      <c r="R279" s="0" t="s">
        <v>80</v>
      </c>
      <c r="S279" s="0" t="s">
        <v>81</v>
      </c>
      <c r="T279" s="0" t="s">
        <v>82</v>
      </c>
    </row>
    <row r="280" customFormat="false" ht="15" hidden="false" customHeight="false" outlineLevel="0" collapsed="false">
      <c r="A280" s="0" t="str">
        <f aca="false">B280&amp;"|"&amp;C280&amp;"|"&amp;D280&amp;"|"&amp;E280&amp;"|"&amp;F280</f>
        <v>2.8+2512|FX|ct_category_member|Category 2|MXN</v>
      </c>
      <c r="B280" s="0" t="s">
        <v>9</v>
      </c>
      <c r="C280" s="0" t="s">
        <v>170</v>
      </c>
      <c r="D280" s="0" t="s">
        <v>215</v>
      </c>
      <c r="E280" s="0" t="s">
        <v>208</v>
      </c>
      <c r="F280" s="0" t="s">
        <v>22</v>
      </c>
      <c r="G280" s="0" t="n">
        <v>1</v>
      </c>
      <c r="H280" s="0" t="s">
        <v>99</v>
      </c>
      <c r="I280" s="0" t="s">
        <v>72</v>
      </c>
      <c r="J280" s="0" t="s">
        <v>9</v>
      </c>
      <c r="K280" s="0" t="s">
        <v>73</v>
      </c>
      <c r="L280" s="0" t="s">
        <v>205</v>
      </c>
      <c r="M280" s="0" t="s">
        <v>216</v>
      </c>
      <c r="N280" s="0" t="s">
        <v>217</v>
      </c>
      <c r="O280" s="0" t="s">
        <v>160</v>
      </c>
      <c r="P280" s="0" t="s">
        <v>78</v>
      </c>
      <c r="Q280" s="0" t="s">
        <v>79</v>
      </c>
      <c r="R280" s="0" t="s">
        <v>80</v>
      </c>
      <c r="S280" s="0" t="s">
        <v>81</v>
      </c>
      <c r="T280" s="0" t="s">
        <v>82</v>
      </c>
    </row>
    <row r="281" customFormat="false" ht="15" hidden="false" customHeight="false" outlineLevel="0" collapsed="false">
      <c r="A281" s="0" t="str">
        <f aca="false">B281&amp;"|"&amp;C281&amp;"|"&amp;D281&amp;"|"&amp;E281&amp;"|"&amp;F281</f>
        <v>2.8+2512|FX|ct_category_member|Category 2|NOK</v>
      </c>
      <c r="B281" s="0" t="s">
        <v>9</v>
      </c>
      <c r="C281" s="0" t="s">
        <v>170</v>
      </c>
      <c r="D281" s="0" t="s">
        <v>215</v>
      </c>
      <c r="E281" s="0" t="s">
        <v>208</v>
      </c>
      <c r="F281" s="0" t="s">
        <v>107</v>
      </c>
      <c r="G281" s="0" t="n">
        <v>1</v>
      </c>
      <c r="H281" s="0" t="s">
        <v>99</v>
      </c>
      <c r="I281" s="0" t="s">
        <v>72</v>
      </c>
      <c r="J281" s="0" t="s">
        <v>9</v>
      </c>
      <c r="K281" s="0" t="s">
        <v>73</v>
      </c>
      <c r="L281" s="0" t="s">
        <v>205</v>
      </c>
      <c r="M281" s="0" t="s">
        <v>216</v>
      </c>
      <c r="N281" s="0" t="s">
        <v>217</v>
      </c>
      <c r="O281" s="0" t="s">
        <v>160</v>
      </c>
      <c r="P281" s="0" t="s">
        <v>78</v>
      </c>
      <c r="Q281" s="0" t="s">
        <v>79</v>
      </c>
      <c r="R281" s="0" t="s">
        <v>80</v>
      </c>
      <c r="S281" s="0" t="s">
        <v>81</v>
      </c>
      <c r="T281" s="0" t="s">
        <v>82</v>
      </c>
    </row>
    <row r="282" customFormat="false" ht="15" hidden="false" customHeight="false" outlineLevel="0" collapsed="false">
      <c r="A282" s="0" t="str">
        <f aca="false">B282&amp;"|"&amp;C282&amp;"|"&amp;D282&amp;"|"&amp;E282&amp;"|"&amp;F282</f>
        <v>2.8+2512|FX|ct_category_member|Category 2|NZD</v>
      </c>
      <c r="B282" s="0" t="s">
        <v>9</v>
      </c>
      <c r="C282" s="0" t="s">
        <v>170</v>
      </c>
      <c r="D282" s="0" t="s">
        <v>215</v>
      </c>
      <c r="E282" s="0" t="s">
        <v>208</v>
      </c>
      <c r="F282" s="0" t="s">
        <v>104</v>
      </c>
      <c r="G282" s="0" t="n">
        <v>1</v>
      </c>
      <c r="H282" s="0" t="s">
        <v>99</v>
      </c>
      <c r="I282" s="0" t="s">
        <v>72</v>
      </c>
      <c r="J282" s="0" t="s">
        <v>9</v>
      </c>
      <c r="K282" s="0" t="s">
        <v>73</v>
      </c>
      <c r="L282" s="0" t="s">
        <v>205</v>
      </c>
      <c r="M282" s="0" t="s">
        <v>216</v>
      </c>
      <c r="N282" s="0" t="s">
        <v>217</v>
      </c>
      <c r="O282" s="0" t="s">
        <v>160</v>
      </c>
      <c r="P282" s="0" t="s">
        <v>78</v>
      </c>
      <c r="Q282" s="0" t="s">
        <v>79</v>
      </c>
      <c r="R282" s="0" t="s">
        <v>80</v>
      </c>
      <c r="S282" s="0" t="s">
        <v>81</v>
      </c>
      <c r="T282" s="0" t="s">
        <v>82</v>
      </c>
    </row>
    <row r="283" customFormat="false" ht="15" hidden="false" customHeight="false" outlineLevel="0" collapsed="false">
      <c r="A283" s="0" t="str">
        <f aca="false">B283&amp;"|"&amp;C283&amp;"|"&amp;D283&amp;"|"&amp;E283&amp;"|"&amp;F283</f>
        <v>2.8+2512|FX|ct_category_member|Category 2|RUB</v>
      </c>
      <c r="B283" s="0" t="s">
        <v>9</v>
      </c>
      <c r="C283" s="0" t="s">
        <v>170</v>
      </c>
      <c r="D283" s="0" t="s">
        <v>215</v>
      </c>
      <c r="E283" s="0" t="s">
        <v>208</v>
      </c>
      <c r="F283" s="0" t="s">
        <v>221</v>
      </c>
      <c r="G283" s="0" t="n">
        <v>1</v>
      </c>
      <c r="H283" s="0" t="s">
        <v>99</v>
      </c>
      <c r="I283" s="0" t="s">
        <v>72</v>
      </c>
      <c r="J283" s="0" t="s">
        <v>9</v>
      </c>
      <c r="K283" s="0" t="s">
        <v>73</v>
      </c>
      <c r="L283" s="0" t="s">
        <v>205</v>
      </c>
      <c r="M283" s="0" t="s">
        <v>216</v>
      </c>
      <c r="N283" s="0" t="s">
        <v>217</v>
      </c>
      <c r="O283" s="0" t="s">
        <v>160</v>
      </c>
      <c r="P283" s="0" t="s">
        <v>78</v>
      </c>
      <c r="Q283" s="0" t="s">
        <v>79</v>
      </c>
      <c r="R283" s="0" t="s">
        <v>80</v>
      </c>
      <c r="S283" s="0" t="s">
        <v>81</v>
      </c>
      <c r="T283" s="0" t="s">
        <v>82</v>
      </c>
    </row>
    <row r="284" customFormat="false" ht="15" hidden="false" customHeight="false" outlineLevel="0" collapsed="false">
      <c r="A284" s="0" t="str">
        <f aca="false">B284&amp;"|"&amp;C284&amp;"|"&amp;D284&amp;"|"&amp;E284&amp;"|"&amp;F284</f>
        <v>2.8+2512|FX|ct_category_member|Category 2|SEK</v>
      </c>
      <c r="B284" s="0" t="s">
        <v>9</v>
      </c>
      <c r="C284" s="0" t="s">
        <v>170</v>
      </c>
      <c r="D284" s="0" t="s">
        <v>215</v>
      </c>
      <c r="E284" s="0" t="s">
        <v>208</v>
      </c>
      <c r="F284" s="0" t="s">
        <v>106</v>
      </c>
      <c r="G284" s="0" t="n">
        <v>1</v>
      </c>
      <c r="H284" s="0" t="s">
        <v>99</v>
      </c>
      <c r="I284" s="0" t="s">
        <v>72</v>
      </c>
      <c r="J284" s="0" t="s">
        <v>9</v>
      </c>
      <c r="K284" s="0" t="s">
        <v>73</v>
      </c>
      <c r="L284" s="0" t="s">
        <v>205</v>
      </c>
      <c r="M284" s="0" t="s">
        <v>216</v>
      </c>
      <c r="N284" s="0" t="s">
        <v>217</v>
      </c>
      <c r="O284" s="0" t="s">
        <v>160</v>
      </c>
      <c r="P284" s="0" t="s">
        <v>78</v>
      </c>
      <c r="Q284" s="0" t="s">
        <v>79</v>
      </c>
      <c r="R284" s="0" t="s">
        <v>80</v>
      </c>
      <c r="S284" s="0" t="s">
        <v>81</v>
      </c>
      <c r="T284" s="0" t="s">
        <v>82</v>
      </c>
    </row>
    <row r="285" customFormat="false" ht="15" hidden="false" customHeight="false" outlineLevel="0" collapsed="false">
      <c r="A285" s="0" t="str">
        <f aca="false">B285&amp;"|"&amp;C285&amp;"|"&amp;D285&amp;"|"&amp;E285&amp;"|"&amp;F285</f>
        <v>2.8+2512|FX|ct_category_member|Category 2|SGD</v>
      </c>
      <c r="B285" s="0" t="s">
        <v>9</v>
      </c>
      <c r="C285" s="0" t="s">
        <v>170</v>
      </c>
      <c r="D285" s="0" t="s">
        <v>215</v>
      </c>
      <c r="E285" s="0" t="s">
        <v>208</v>
      </c>
      <c r="F285" s="0" t="s">
        <v>111</v>
      </c>
      <c r="G285" s="0" t="n">
        <v>1</v>
      </c>
      <c r="H285" s="0" t="s">
        <v>99</v>
      </c>
      <c r="I285" s="0" t="s">
        <v>72</v>
      </c>
      <c r="J285" s="0" t="s">
        <v>9</v>
      </c>
      <c r="K285" s="0" t="s">
        <v>73</v>
      </c>
      <c r="L285" s="0" t="s">
        <v>205</v>
      </c>
      <c r="M285" s="0" t="s">
        <v>216</v>
      </c>
      <c r="N285" s="0" t="s">
        <v>217</v>
      </c>
      <c r="O285" s="0" t="s">
        <v>160</v>
      </c>
      <c r="P285" s="0" t="s">
        <v>78</v>
      </c>
      <c r="Q285" s="0" t="s">
        <v>79</v>
      </c>
      <c r="R285" s="0" t="s">
        <v>80</v>
      </c>
      <c r="S285" s="0" t="s">
        <v>81</v>
      </c>
      <c r="T285" s="0" t="s">
        <v>82</v>
      </c>
    </row>
    <row r="286" customFormat="false" ht="15" hidden="false" customHeight="false" outlineLevel="0" collapsed="false">
      <c r="A286" s="0" t="str">
        <f aca="false">B286&amp;"|"&amp;C286&amp;"|"&amp;D286&amp;"|"&amp;E286&amp;"|"&amp;F286</f>
        <v>2.8+2512|FX|ct_category_member|Category 2|TRY</v>
      </c>
      <c r="B286" s="0" t="s">
        <v>9</v>
      </c>
      <c r="C286" s="0" t="s">
        <v>170</v>
      </c>
      <c r="D286" s="0" t="s">
        <v>215</v>
      </c>
      <c r="E286" s="0" t="s">
        <v>208</v>
      </c>
      <c r="F286" s="0" t="s">
        <v>222</v>
      </c>
      <c r="G286" s="0" t="n">
        <v>1</v>
      </c>
      <c r="H286" s="0" t="s">
        <v>99</v>
      </c>
      <c r="I286" s="0" t="s">
        <v>72</v>
      </c>
      <c r="J286" s="0" t="s">
        <v>9</v>
      </c>
      <c r="K286" s="0" t="s">
        <v>73</v>
      </c>
      <c r="L286" s="0" t="s">
        <v>205</v>
      </c>
      <c r="M286" s="0" t="s">
        <v>216</v>
      </c>
      <c r="N286" s="0" t="s">
        <v>217</v>
      </c>
      <c r="O286" s="0" t="s">
        <v>160</v>
      </c>
      <c r="P286" s="0" t="s">
        <v>78</v>
      </c>
      <c r="Q286" s="0" t="s">
        <v>79</v>
      </c>
      <c r="R286" s="0" t="s">
        <v>80</v>
      </c>
      <c r="S286" s="0" t="s">
        <v>81</v>
      </c>
      <c r="T286" s="0" t="s">
        <v>82</v>
      </c>
    </row>
    <row r="287" customFormat="false" ht="15" hidden="false" customHeight="false" outlineLevel="0" collapsed="false">
      <c r="A287" s="0" t="str">
        <f aca="false">B287&amp;"|"&amp;C287&amp;"|"&amp;D287&amp;"|"&amp;E287&amp;"|"&amp;F287</f>
        <v>2.8+2512|FX|ct_category_member|Category 2|ZAR</v>
      </c>
      <c r="B287" s="0" t="s">
        <v>9</v>
      </c>
      <c r="C287" s="0" t="s">
        <v>170</v>
      </c>
      <c r="D287" s="0" t="s">
        <v>215</v>
      </c>
      <c r="E287" s="0" t="s">
        <v>208</v>
      </c>
      <c r="F287" s="0" t="s">
        <v>223</v>
      </c>
      <c r="G287" s="0" t="n">
        <v>1</v>
      </c>
      <c r="H287" s="0" t="s">
        <v>99</v>
      </c>
      <c r="I287" s="0" t="s">
        <v>72</v>
      </c>
      <c r="J287" s="0" t="s">
        <v>9</v>
      </c>
      <c r="K287" s="0" t="s">
        <v>73</v>
      </c>
      <c r="L287" s="0" t="s">
        <v>205</v>
      </c>
      <c r="M287" s="0" t="s">
        <v>216</v>
      </c>
      <c r="N287" s="0" t="s">
        <v>217</v>
      </c>
      <c r="O287" s="0" t="s">
        <v>160</v>
      </c>
      <c r="P287" s="0" t="s">
        <v>78</v>
      </c>
      <c r="Q287" s="0" t="s">
        <v>79</v>
      </c>
      <c r="R287" s="0" t="s">
        <v>80</v>
      </c>
      <c r="S287" s="0" t="s">
        <v>81</v>
      </c>
      <c r="T287" s="0" t="s">
        <v>82</v>
      </c>
    </row>
    <row r="288" customFormat="false" ht="15" hidden="false" customHeight="false" outlineLevel="0" collapsed="false">
      <c r="A288" s="0" t="str">
        <f aca="false">B288&amp;"|"&amp;C288&amp;"|"&amp;D288&amp;"|"&amp;E288&amp;"|"&amp;F288</f>
        <v>2.8+2512|FX|ct_category_member|Category 3|ALL_OTHER</v>
      </c>
      <c r="B288" s="0" t="s">
        <v>9</v>
      </c>
      <c r="C288" s="0" t="s">
        <v>170</v>
      </c>
      <c r="D288" s="0" t="s">
        <v>215</v>
      </c>
      <c r="E288" s="0" t="s">
        <v>209</v>
      </c>
      <c r="F288" s="0" t="s">
        <v>115</v>
      </c>
      <c r="G288" s="0" t="n">
        <v>1</v>
      </c>
      <c r="H288" s="0" t="s">
        <v>99</v>
      </c>
      <c r="I288" s="0" t="s">
        <v>72</v>
      </c>
      <c r="J288" s="0" t="s">
        <v>9</v>
      </c>
      <c r="K288" s="0" t="s">
        <v>73</v>
      </c>
      <c r="L288" s="0" t="s">
        <v>205</v>
      </c>
      <c r="M288" s="0" t="s">
        <v>216</v>
      </c>
      <c r="N288" s="0" t="s">
        <v>169</v>
      </c>
      <c r="O288" s="0" t="s">
        <v>160</v>
      </c>
      <c r="P288" s="0" t="s">
        <v>78</v>
      </c>
      <c r="Q288" s="0" t="s">
        <v>79</v>
      </c>
      <c r="R288" s="0" t="s">
        <v>80</v>
      </c>
      <c r="S288" s="0" t="s">
        <v>81</v>
      </c>
      <c r="T288" s="0" t="s">
        <v>82</v>
      </c>
    </row>
    <row r="289" customFormat="false" ht="15" hidden="false" customHeight="false" outlineLevel="0" collapsed="false">
      <c r="A289" s="0" t="str">
        <f aca="false">B289&amp;"|"&amp;C289&amp;"|"&amp;D289&amp;"|"&amp;E289&amp;"|"&amp;F289</f>
        <v>2.8+2512|ALL|curvature_sf_example|2w|</v>
      </c>
      <c r="B289" s="0" t="s">
        <v>9</v>
      </c>
      <c r="C289" s="0" t="s">
        <v>224</v>
      </c>
      <c r="D289" s="0" t="s">
        <v>225</v>
      </c>
      <c r="E289" s="0" t="s">
        <v>24</v>
      </c>
      <c r="G289" s="0" t="n">
        <v>0.5</v>
      </c>
      <c r="H289" s="0" t="s">
        <v>119</v>
      </c>
      <c r="I289" s="0" t="s">
        <v>72</v>
      </c>
      <c r="J289" s="0" t="s">
        <v>9</v>
      </c>
      <c r="K289" s="0" t="s">
        <v>73</v>
      </c>
      <c r="L289" s="0" t="s">
        <v>226</v>
      </c>
      <c r="M289" s="0" t="s">
        <v>227</v>
      </c>
      <c r="N289" s="0" t="s">
        <v>228</v>
      </c>
      <c r="O289" s="0" t="s">
        <v>229</v>
      </c>
      <c r="P289" s="0" t="s">
        <v>78</v>
      </c>
      <c r="Q289" s="0" t="s">
        <v>79</v>
      </c>
      <c r="R289" s="0" t="s">
        <v>80</v>
      </c>
      <c r="S289" s="0" t="s">
        <v>81</v>
      </c>
      <c r="T289" s="0" t="s">
        <v>82</v>
      </c>
    </row>
    <row r="290" customFormat="false" ht="15" hidden="false" customHeight="false" outlineLevel="0" collapsed="false">
      <c r="A290" s="0" t="str">
        <f aca="false">B290&amp;"|"&amp;C290&amp;"|"&amp;D290&amp;"|"&amp;E290&amp;"|"&amp;F290</f>
        <v>2.8+2512|ALL|curvature_sf_example|1m|</v>
      </c>
      <c r="B290" s="0" t="s">
        <v>9</v>
      </c>
      <c r="C290" s="0" t="s">
        <v>224</v>
      </c>
      <c r="D290" s="0" t="s">
        <v>225</v>
      </c>
      <c r="E290" s="0" t="s">
        <v>25</v>
      </c>
      <c r="G290" s="0" t="n">
        <v>0.23</v>
      </c>
      <c r="H290" s="0" t="s">
        <v>119</v>
      </c>
      <c r="I290" s="0" t="s">
        <v>72</v>
      </c>
      <c r="J290" s="0" t="s">
        <v>9</v>
      </c>
      <c r="K290" s="0" t="s">
        <v>73</v>
      </c>
      <c r="L290" s="0" t="s">
        <v>226</v>
      </c>
      <c r="M290" s="0" t="s">
        <v>227</v>
      </c>
      <c r="N290" s="0" t="s">
        <v>228</v>
      </c>
      <c r="O290" s="0" t="s">
        <v>229</v>
      </c>
      <c r="P290" s="0" t="s">
        <v>78</v>
      </c>
      <c r="Q290" s="0" t="s">
        <v>79</v>
      </c>
      <c r="R290" s="0" t="s">
        <v>80</v>
      </c>
      <c r="S290" s="0" t="s">
        <v>81</v>
      </c>
      <c r="T290" s="0" t="s">
        <v>82</v>
      </c>
    </row>
    <row r="291" customFormat="false" ht="15" hidden="false" customHeight="false" outlineLevel="0" collapsed="false">
      <c r="A291" s="0" t="str">
        <f aca="false">B291&amp;"|"&amp;C291&amp;"|"&amp;D291&amp;"|"&amp;E291&amp;"|"&amp;F291</f>
        <v>2.8+2512|ALL|curvature_sf_example|3m|</v>
      </c>
      <c r="B291" s="0" t="s">
        <v>9</v>
      </c>
      <c r="C291" s="0" t="s">
        <v>224</v>
      </c>
      <c r="D291" s="0" t="s">
        <v>225</v>
      </c>
      <c r="E291" s="0" t="s">
        <v>26</v>
      </c>
      <c r="G291" s="0" t="n">
        <v>0.077</v>
      </c>
      <c r="H291" s="0" t="s">
        <v>119</v>
      </c>
      <c r="I291" s="0" t="s">
        <v>72</v>
      </c>
      <c r="J291" s="0" t="s">
        <v>9</v>
      </c>
      <c r="K291" s="0" t="s">
        <v>73</v>
      </c>
      <c r="L291" s="0" t="s">
        <v>226</v>
      </c>
      <c r="M291" s="0" t="s">
        <v>227</v>
      </c>
      <c r="N291" s="0" t="s">
        <v>228</v>
      </c>
      <c r="O291" s="0" t="s">
        <v>229</v>
      </c>
      <c r="P291" s="0" t="s">
        <v>78</v>
      </c>
      <c r="Q291" s="0" t="s">
        <v>79</v>
      </c>
      <c r="R291" s="0" t="s">
        <v>80</v>
      </c>
      <c r="S291" s="0" t="s">
        <v>81</v>
      </c>
      <c r="T291" s="0" t="s">
        <v>82</v>
      </c>
    </row>
    <row r="292" customFormat="false" ht="15" hidden="false" customHeight="false" outlineLevel="0" collapsed="false">
      <c r="A292" s="0" t="str">
        <f aca="false">B292&amp;"|"&amp;C292&amp;"|"&amp;D292&amp;"|"&amp;E292&amp;"|"&amp;F292</f>
        <v>2.8+2512|ALL|curvature_sf_example|6m|</v>
      </c>
      <c r="B292" s="0" t="s">
        <v>9</v>
      </c>
      <c r="C292" s="0" t="s">
        <v>224</v>
      </c>
      <c r="D292" s="0" t="s">
        <v>225</v>
      </c>
      <c r="E292" s="0" t="s">
        <v>27</v>
      </c>
      <c r="G292" s="0" t="n">
        <v>0.038</v>
      </c>
      <c r="H292" s="0" t="s">
        <v>119</v>
      </c>
      <c r="I292" s="0" t="s">
        <v>72</v>
      </c>
      <c r="J292" s="0" t="s">
        <v>9</v>
      </c>
      <c r="K292" s="0" t="s">
        <v>73</v>
      </c>
      <c r="L292" s="0" t="s">
        <v>226</v>
      </c>
      <c r="M292" s="0" t="s">
        <v>227</v>
      </c>
      <c r="N292" s="0" t="s">
        <v>228</v>
      </c>
      <c r="O292" s="0" t="s">
        <v>229</v>
      </c>
      <c r="P292" s="0" t="s">
        <v>78</v>
      </c>
      <c r="Q292" s="0" t="s">
        <v>79</v>
      </c>
      <c r="R292" s="0" t="s">
        <v>80</v>
      </c>
      <c r="S292" s="0" t="s">
        <v>81</v>
      </c>
      <c r="T292" s="0" t="s">
        <v>82</v>
      </c>
    </row>
    <row r="293" customFormat="false" ht="15" hidden="false" customHeight="false" outlineLevel="0" collapsed="false">
      <c r="A293" s="0" t="str">
        <f aca="false">B293&amp;"|"&amp;C293&amp;"|"&amp;D293&amp;"|"&amp;E293&amp;"|"&amp;F293</f>
        <v>2.8+2512|ALL|curvature_sf_example|12m|</v>
      </c>
      <c r="B293" s="0" t="s">
        <v>9</v>
      </c>
      <c r="C293" s="0" t="s">
        <v>224</v>
      </c>
      <c r="D293" s="0" t="s">
        <v>225</v>
      </c>
      <c r="E293" s="0" t="s">
        <v>230</v>
      </c>
      <c r="G293" s="0" t="n">
        <v>0.019</v>
      </c>
      <c r="H293" s="0" t="s">
        <v>119</v>
      </c>
      <c r="I293" s="0" t="s">
        <v>72</v>
      </c>
      <c r="J293" s="0" t="s">
        <v>9</v>
      </c>
      <c r="K293" s="0" t="s">
        <v>73</v>
      </c>
      <c r="L293" s="0" t="s">
        <v>226</v>
      </c>
      <c r="M293" s="0" t="s">
        <v>227</v>
      </c>
      <c r="N293" s="0" t="s">
        <v>228</v>
      </c>
      <c r="O293" s="0" t="s">
        <v>229</v>
      </c>
      <c r="P293" s="0" t="s">
        <v>78</v>
      </c>
      <c r="Q293" s="0" t="s">
        <v>79</v>
      </c>
      <c r="R293" s="0" t="s">
        <v>80</v>
      </c>
      <c r="S293" s="0" t="s">
        <v>81</v>
      </c>
      <c r="T293" s="0" t="s">
        <v>82</v>
      </c>
    </row>
    <row r="294" customFormat="false" ht="15" hidden="false" customHeight="false" outlineLevel="0" collapsed="false">
      <c r="A294" s="0" t="str">
        <f aca="false">B294&amp;"|"&amp;C294&amp;"|"&amp;D294&amp;"|"&amp;E294&amp;"|"&amp;F294</f>
        <v>2.8+2512|ALL|curvature_sf_example|2y|</v>
      </c>
      <c r="B294" s="0" t="s">
        <v>9</v>
      </c>
      <c r="C294" s="0" t="s">
        <v>224</v>
      </c>
      <c r="D294" s="0" t="s">
        <v>225</v>
      </c>
      <c r="E294" s="0" t="s">
        <v>29</v>
      </c>
      <c r="G294" s="0" t="n">
        <v>0.01</v>
      </c>
      <c r="H294" s="0" t="s">
        <v>119</v>
      </c>
      <c r="I294" s="0" t="s">
        <v>72</v>
      </c>
      <c r="J294" s="0" t="s">
        <v>9</v>
      </c>
      <c r="K294" s="0" t="s">
        <v>73</v>
      </c>
      <c r="L294" s="0" t="s">
        <v>226</v>
      </c>
      <c r="M294" s="0" t="s">
        <v>227</v>
      </c>
      <c r="N294" s="0" t="s">
        <v>228</v>
      </c>
      <c r="O294" s="0" t="s">
        <v>229</v>
      </c>
      <c r="P294" s="0" t="s">
        <v>78</v>
      </c>
      <c r="Q294" s="0" t="s">
        <v>79</v>
      </c>
      <c r="R294" s="0" t="s">
        <v>80</v>
      </c>
      <c r="S294" s="0" t="s">
        <v>81</v>
      </c>
      <c r="T294" s="0" t="s">
        <v>82</v>
      </c>
    </row>
    <row r="295" customFormat="false" ht="15" hidden="false" customHeight="false" outlineLevel="0" collapsed="false">
      <c r="A295" s="0" t="str">
        <f aca="false">B295&amp;"|"&amp;C295&amp;"|"&amp;D295&amp;"|"&amp;E295&amp;"|"&amp;F295</f>
        <v>2.8+2512|ALL|curvature_sf_example|3y|</v>
      </c>
      <c r="B295" s="0" t="s">
        <v>9</v>
      </c>
      <c r="C295" s="0" t="s">
        <v>224</v>
      </c>
      <c r="D295" s="0" t="s">
        <v>225</v>
      </c>
      <c r="E295" s="0" t="s">
        <v>30</v>
      </c>
      <c r="G295" s="0" t="n">
        <v>0.006</v>
      </c>
      <c r="H295" s="0" t="s">
        <v>119</v>
      </c>
      <c r="I295" s="0" t="s">
        <v>72</v>
      </c>
      <c r="J295" s="0" t="s">
        <v>9</v>
      </c>
      <c r="K295" s="0" t="s">
        <v>73</v>
      </c>
      <c r="L295" s="0" t="s">
        <v>226</v>
      </c>
      <c r="M295" s="0" t="s">
        <v>227</v>
      </c>
      <c r="N295" s="0" t="s">
        <v>228</v>
      </c>
      <c r="O295" s="0" t="s">
        <v>229</v>
      </c>
      <c r="P295" s="0" t="s">
        <v>78</v>
      </c>
      <c r="Q295" s="0" t="s">
        <v>79</v>
      </c>
      <c r="R295" s="0" t="s">
        <v>80</v>
      </c>
      <c r="S295" s="0" t="s">
        <v>81</v>
      </c>
      <c r="T295" s="0" t="s">
        <v>82</v>
      </c>
    </row>
    <row r="296" customFormat="false" ht="15" hidden="false" customHeight="false" outlineLevel="0" collapsed="false">
      <c r="A296" s="0" t="str">
        <f aca="false">B296&amp;"|"&amp;C296&amp;"|"&amp;D296&amp;"|"&amp;E296&amp;"|"&amp;F296</f>
        <v>2.8+2512|ALL|curvature_sf_example|5y|</v>
      </c>
      <c r="B296" s="0" t="s">
        <v>9</v>
      </c>
      <c r="C296" s="0" t="s">
        <v>224</v>
      </c>
      <c r="D296" s="0" t="s">
        <v>225</v>
      </c>
      <c r="E296" s="0" t="s">
        <v>31</v>
      </c>
      <c r="G296" s="0" t="n">
        <v>0.004</v>
      </c>
      <c r="H296" s="0" t="s">
        <v>119</v>
      </c>
      <c r="I296" s="0" t="s">
        <v>72</v>
      </c>
      <c r="J296" s="0" t="s">
        <v>9</v>
      </c>
      <c r="K296" s="0" t="s">
        <v>73</v>
      </c>
      <c r="L296" s="0" t="s">
        <v>226</v>
      </c>
      <c r="M296" s="0" t="s">
        <v>227</v>
      </c>
      <c r="N296" s="0" t="s">
        <v>228</v>
      </c>
      <c r="O296" s="0" t="s">
        <v>229</v>
      </c>
      <c r="P296" s="0" t="s">
        <v>78</v>
      </c>
      <c r="Q296" s="0" t="s">
        <v>79</v>
      </c>
      <c r="R296" s="0" t="s">
        <v>80</v>
      </c>
      <c r="S296" s="0" t="s">
        <v>81</v>
      </c>
      <c r="T296" s="0" t="s">
        <v>82</v>
      </c>
    </row>
    <row r="297" customFormat="false" ht="15" hidden="false" customHeight="false" outlineLevel="0" collapsed="false">
      <c r="A297" s="0" t="str">
        <f aca="false">B297&amp;"|"&amp;C297&amp;"|"&amp;D297&amp;"|"&amp;E297&amp;"|"&amp;F297</f>
        <v>2.8+2512|ALL|curvature_sf_example|10y|</v>
      </c>
      <c r="B297" s="0" t="s">
        <v>9</v>
      </c>
      <c r="C297" s="0" t="s">
        <v>224</v>
      </c>
      <c r="D297" s="0" t="s">
        <v>225</v>
      </c>
      <c r="E297" s="0" t="s">
        <v>32</v>
      </c>
      <c r="G297" s="0" t="n">
        <v>0.002</v>
      </c>
      <c r="H297" s="0" t="s">
        <v>119</v>
      </c>
      <c r="I297" s="0" t="s">
        <v>72</v>
      </c>
      <c r="J297" s="0" t="s">
        <v>9</v>
      </c>
      <c r="K297" s="0" t="s">
        <v>73</v>
      </c>
      <c r="L297" s="0" t="s">
        <v>226</v>
      </c>
      <c r="M297" s="0" t="s">
        <v>227</v>
      </c>
      <c r="N297" s="0" t="s">
        <v>228</v>
      </c>
      <c r="O297" s="0" t="s">
        <v>229</v>
      </c>
      <c r="P297" s="0" t="s">
        <v>78</v>
      </c>
      <c r="Q297" s="0" t="s">
        <v>79</v>
      </c>
      <c r="R297" s="0" t="s">
        <v>80</v>
      </c>
      <c r="S297" s="0" t="s">
        <v>81</v>
      </c>
      <c r="T297" s="0" t="s">
        <v>82</v>
      </c>
    </row>
    <row r="298" customFormat="false" ht="15" hidden="false" customHeight="false" outlineLevel="0" collapsed="false">
      <c r="A298" s="0" t="str">
        <f aca="false">B298&amp;"|"&amp;C298&amp;"|"&amp;D298&amp;"|"&amp;E298&amp;"|"&amp;F298</f>
        <v>2.8+2512|ALL|curvature_sf_scale||</v>
      </c>
      <c r="B298" s="0" t="s">
        <v>9</v>
      </c>
      <c r="C298" s="0" t="s">
        <v>224</v>
      </c>
      <c r="D298" s="0" t="s">
        <v>231</v>
      </c>
      <c r="G298" s="0" t="n">
        <v>0.5</v>
      </c>
      <c r="H298" s="0" t="s">
        <v>119</v>
      </c>
      <c r="I298" s="0" t="s">
        <v>72</v>
      </c>
      <c r="J298" s="0" t="s">
        <v>9</v>
      </c>
      <c r="K298" s="0" t="s">
        <v>73</v>
      </c>
      <c r="L298" s="0" t="s">
        <v>226</v>
      </c>
      <c r="M298" s="0" t="s">
        <v>227</v>
      </c>
      <c r="N298" s="0" t="s">
        <v>232</v>
      </c>
      <c r="O298" s="0" t="s">
        <v>229</v>
      </c>
      <c r="P298" s="0" t="s">
        <v>78</v>
      </c>
      <c r="Q298" s="0" t="s">
        <v>79</v>
      </c>
      <c r="R298" s="0" t="s">
        <v>80</v>
      </c>
      <c r="S298" s="0" t="s">
        <v>81</v>
      </c>
      <c r="T298" s="0" t="s">
        <v>82</v>
      </c>
    </row>
    <row r="299" customFormat="false" ht="15" hidden="false" customHeight="false" outlineLevel="0" collapsed="false">
      <c r="A299" s="0" t="str">
        <f aca="false">B299&amp;"|"&amp;C299&amp;"|"&amp;D299&amp;"|"&amp;E299&amp;"|"&amp;F299</f>
        <v>2.8+2512|ALL|curvature_sf_ref_days||</v>
      </c>
      <c r="B299" s="0" t="s">
        <v>9</v>
      </c>
      <c r="C299" s="0" t="s">
        <v>224</v>
      </c>
      <c r="D299" s="0" t="s">
        <v>233</v>
      </c>
      <c r="G299" s="0" t="n">
        <v>14</v>
      </c>
      <c r="H299" s="0" t="s">
        <v>234</v>
      </c>
      <c r="I299" s="0" t="s">
        <v>72</v>
      </c>
      <c r="J299" s="0" t="s">
        <v>9</v>
      </c>
      <c r="K299" s="0" t="s">
        <v>73</v>
      </c>
      <c r="L299" s="0" t="s">
        <v>226</v>
      </c>
      <c r="M299" s="0" t="s">
        <v>227</v>
      </c>
      <c r="N299" s="0" t="s">
        <v>232</v>
      </c>
      <c r="O299" s="0" t="s">
        <v>229</v>
      </c>
      <c r="P299" s="0" t="s">
        <v>78</v>
      </c>
      <c r="Q299" s="0" t="s">
        <v>79</v>
      </c>
      <c r="R299" s="0" t="s">
        <v>80</v>
      </c>
      <c r="S299" s="0" t="s">
        <v>81</v>
      </c>
      <c r="T299" s="0" t="s">
        <v>82</v>
      </c>
    </row>
    <row r="300" customFormat="false" ht="15" hidden="false" customHeight="false" outlineLevel="0" collapsed="false">
      <c r="A300" s="0" t="str">
        <f aca="false">B300&amp;"|"&amp;C300&amp;"|"&amp;D300&amp;"|"&amp;E300&amp;"|"&amp;F300</f>
        <v>2.8+2512|ALL|tenor_days_per_year||</v>
      </c>
      <c r="B300" s="0" t="s">
        <v>9</v>
      </c>
      <c r="C300" s="0" t="s">
        <v>224</v>
      </c>
      <c r="D300" s="0" t="s">
        <v>235</v>
      </c>
      <c r="G300" s="0" t="n">
        <v>365</v>
      </c>
      <c r="H300" s="0" t="s">
        <v>234</v>
      </c>
      <c r="I300" s="0" t="s">
        <v>72</v>
      </c>
      <c r="J300" s="0" t="s">
        <v>9</v>
      </c>
      <c r="K300" s="0" t="s">
        <v>73</v>
      </c>
      <c r="L300" s="0" t="s">
        <v>226</v>
      </c>
      <c r="M300" s="0" t="s">
        <v>227</v>
      </c>
      <c r="N300" s="0" t="s">
        <v>236</v>
      </c>
      <c r="O300" s="0" t="s">
        <v>229</v>
      </c>
      <c r="P300" s="0" t="s">
        <v>78</v>
      </c>
      <c r="Q300" s="0" t="s">
        <v>79</v>
      </c>
      <c r="R300" s="0" t="s">
        <v>80</v>
      </c>
      <c r="S300" s="0" t="s">
        <v>81</v>
      </c>
      <c r="T300" s="0" t="s">
        <v>82</v>
      </c>
    </row>
    <row r="301" customFormat="false" ht="15" hidden="false" customHeight="false" outlineLevel="0" collapsed="false">
      <c r="A301" s="0" t="str">
        <f aca="false">B301&amp;"|"&amp;C301&amp;"|"&amp;D301&amp;"|"&amp;E301&amp;"|"&amp;F301</f>
        <v>2.8+2512|ALL|curvature_lambda_quantile||</v>
      </c>
      <c r="B301" s="0" t="s">
        <v>9</v>
      </c>
      <c r="C301" s="0" t="s">
        <v>224</v>
      </c>
      <c r="D301" s="0" t="s">
        <v>237</v>
      </c>
      <c r="G301" s="0" t="n">
        <v>0.995</v>
      </c>
      <c r="H301" s="0" t="s">
        <v>119</v>
      </c>
      <c r="I301" s="0" t="s">
        <v>72</v>
      </c>
      <c r="J301" s="0" t="s">
        <v>9</v>
      </c>
      <c r="K301" s="0" t="s">
        <v>73</v>
      </c>
      <c r="L301" s="0" t="s">
        <v>226</v>
      </c>
      <c r="M301" s="0" t="s">
        <v>238</v>
      </c>
      <c r="N301" s="0" t="s">
        <v>239</v>
      </c>
      <c r="O301" s="0" t="s">
        <v>229</v>
      </c>
      <c r="P301" s="0" t="s">
        <v>78</v>
      </c>
      <c r="Q301" s="0" t="s">
        <v>79</v>
      </c>
      <c r="R301" s="0" t="s">
        <v>80</v>
      </c>
      <c r="S301" s="0" t="s">
        <v>81</v>
      </c>
      <c r="T301" s="0" t="s">
        <v>82</v>
      </c>
    </row>
    <row r="302" customFormat="false" ht="15" hidden="false" customHeight="false" outlineLevel="0" collapsed="false">
      <c r="A302" s="0" t="str">
        <f aca="false">B302&amp;"|"&amp;C302&amp;"|"&amp;D302&amp;"|"&amp;E302&amp;"|"&amp;F302</f>
        <v>2.8+2512|IR|curvature_hvr_exponent||</v>
      </c>
      <c r="B302" s="0" t="s">
        <v>9</v>
      </c>
      <c r="C302" s="0" t="s">
        <v>68</v>
      </c>
      <c r="D302" s="0" t="s">
        <v>240</v>
      </c>
      <c r="G302" s="0" t="n">
        <v>-2</v>
      </c>
      <c r="H302" s="0" t="s">
        <v>241</v>
      </c>
      <c r="I302" s="0" t="s">
        <v>72</v>
      </c>
      <c r="J302" s="0" t="s">
        <v>9</v>
      </c>
      <c r="K302" s="0" t="s">
        <v>73</v>
      </c>
      <c r="L302" s="0" t="s">
        <v>226</v>
      </c>
      <c r="M302" s="0" t="s">
        <v>238</v>
      </c>
      <c r="N302" s="0" t="s">
        <v>242</v>
      </c>
      <c r="O302" s="0" t="s">
        <v>243</v>
      </c>
      <c r="P302" s="0" t="s">
        <v>78</v>
      </c>
      <c r="Q302" s="0" t="s">
        <v>79</v>
      </c>
      <c r="R302" s="0" t="s">
        <v>80</v>
      </c>
      <c r="S302" s="0" t="s">
        <v>81</v>
      </c>
      <c r="T302" s="0" t="s">
        <v>82</v>
      </c>
    </row>
    <row r="303" customFormat="false" ht="15" hidden="false" customHeight="false" outlineLevel="0" collapsed="false">
      <c r="A303" s="0" t="str">
        <f aca="false">B303&amp;"|"&amp;C303&amp;"|"&amp;D303&amp;"|"&amp;E303&amp;"|"&amp;F303</f>
        <v>2.8+2512|ALL|vega_sigma_days_numerator||</v>
      </c>
      <c r="B303" s="0" t="s">
        <v>9</v>
      </c>
      <c r="C303" s="0" t="s">
        <v>224</v>
      </c>
      <c r="D303" s="0" t="s">
        <v>244</v>
      </c>
      <c r="G303" s="0" t="n">
        <v>365</v>
      </c>
      <c r="H303" s="0" t="s">
        <v>234</v>
      </c>
      <c r="I303" s="0" t="s">
        <v>72</v>
      </c>
      <c r="J303" s="0" t="s">
        <v>9</v>
      </c>
      <c r="K303" s="0" t="s">
        <v>73</v>
      </c>
      <c r="L303" s="0" t="s">
        <v>226</v>
      </c>
      <c r="M303" s="0" t="s">
        <v>245</v>
      </c>
      <c r="N303" s="0" t="s">
        <v>246</v>
      </c>
      <c r="O303" s="0" t="s">
        <v>247</v>
      </c>
      <c r="P303" s="0" t="s">
        <v>78</v>
      </c>
      <c r="Q303" s="0" t="s">
        <v>79</v>
      </c>
      <c r="R303" s="0" t="s">
        <v>80</v>
      </c>
      <c r="S303" s="0" t="s">
        <v>81</v>
      </c>
      <c r="T303" s="0" t="s">
        <v>82</v>
      </c>
    </row>
    <row r="304" customFormat="false" ht="15" hidden="false" customHeight="false" outlineLevel="0" collapsed="false">
      <c r="A304" s="0" t="str">
        <f aca="false">B304&amp;"|"&amp;C304&amp;"|"&amp;D304&amp;"|"&amp;E304&amp;"|"&amp;F304</f>
        <v>2.8+2512|ALL|vega_sigma_days_denominator||</v>
      </c>
      <c r="B304" s="0" t="s">
        <v>9</v>
      </c>
      <c r="C304" s="0" t="s">
        <v>224</v>
      </c>
      <c r="D304" s="0" t="s">
        <v>248</v>
      </c>
      <c r="G304" s="0" t="n">
        <v>14</v>
      </c>
      <c r="H304" s="0" t="s">
        <v>234</v>
      </c>
      <c r="I304" s="0" t="s">
        <v>72</v>
      </c>
      <c r="J304" s="0" t="s">
        <v>9</v>
      </c>
      <c r="K304" s="0" t="s">
        <v>73</v>
      </c>
      <c r="L304" s="0" t="s">
        <v>226</v>
      </c>
      <c r="M304" s="0" t="s">
        <v>245</v>
      </c>
      <c r="N304" s="0" t="s">
        <v>249</v>
      </c>
      <c r="O304" s="0" t="s">
        <v>247</v>
      </c>
      <c r="P304" s="0" t="s">
        <v>78</v>
      </c>
      <c r="Q304" s="0" t="s">
        <v>79</v>
      </c>
      <c r="R304" s="0" t="s">
        <v>80</v>
      </c>
      <c r="S304" s="0" t="s">
        <v>81</v>
      </c>
      <c r="T304" s="0" t="s">
        <v>82</v>
      </c>
    </row>
    <row r="305" customFormat="false" ht="15" hidden="false" customHeight="false" outlineLevel="0" collapsed="false">
      <c r="A305" s="0" t="str">
        <f aca="false">B305&amp;"|"&amp;C305&amp;"|"&amp;D305&amp;"|"&amp;E305&amp;"|"&amp;F305</f>
        <v>2.8+2512|ALL|vega_sigma_quantile||</v>
      </c>
      <c r="B305" s="0" t="s">
        <v>9</v>
      </c>
      <c r="C305" s="0" t="s">
        <v>224</v>
      </c>
      <c r="D305" s="0" t="s">
        <v>250</v>
      </c>
      <c r="G305" s="0" t="n">
        <v>0.99</v>
      </c>
      <c r="H305" s="0" t="s">
        <v>119</v>
      </c>
      <c r="I305" s="0" t="s">
        <v>72</v>
      </c>
      <c r="J305" s="0" t="s">
        <v>9</v>
      </c>
      <c r="K305" s="0" t="s">
        <v>73</v>
      </c>
      <c r="L305" s="0" t="s">
        <v>226</v>
      </c>
      <c r="M305" s="0" t="s">
        <v>245</v>
      </c>
      <c r="N305" s="0" t="s">
        <v>251</v>
      </c>
      <c r="O305" s="0" t="s">
        <v>247</v>
      </c>
      <c r="P305" s="0" t="s">
        <v>78</v>
      </c>
      <c r="Q305" s="0" t="s">
        <v>79</v>
      </c>
      <c r="R305" s="0" t="s">
        <v>80</v>
      </c>
      <c r="S305" s="0" t="s">
        <v>81</v>
      </c>
      <c r="T305" s="0" t="s">
        <v>82</v>
      </c>
    </row>
    <row r="306" customFormat="false" ht="15" hidden="false" customHeight="false" outlineLevel="0" collapsed="false">
      <c r="A306" s="0" t="str">
        <f aca="false">B306&amp;"|"&amp;C306&amp;"|"&amp;D306&amp;"|"&amp;E306&amp;"|"&amp;F306</f>
        <v>2.8+2512|ALL|concentration_exponent||</v>
      </c>
      <c r="B306" s="0" t="s">
        <v>9</v>
      </c>
      <c r="C306" s="0" t="s">
        <v>224</v>
      </c>
      <c r="D306" s="0" t="s">
        <v>252</v>
      </c>
      <c r="G306" s="0" t="n">
        <v>0.5</v>
      </c>
      <c r="H306" s="0" t="s">
        <v>241</v>
      </c>
      <c r="I306" s="0" t="s">
        <v>72</v>
      </c>
      <c r="J306" s="0" t="s">
        <v>9</v>
      </c>
      <c r="K306" s="0" t="s">
        <v>73</v>
      </c>
      <c r="L306" s="0" t="s">
        <v>226</v>
      </c>
      <c r="M306" s="0" t="s">
        <v>253</v>
      </c>
      <c r="N306" s="0" t="s">
        <v>254</v>
      </c>
      <c r="O306" s="0" t="s">
        <v>255</v>
      </c>
      <c r="P306" s="0" t="s">
        <v>78</v>
      </c>
      <c r="Q306" s="0" t="s">
        <v>79</v>
      </c>
      <c r="R306" s="0" t="s">
        <v>80</v>
      </c>
      <c r="S306" s="0" t="s">
        <v>81</v>
      </c>
      <c r="T306" s="0" t="s">
        <v>82</v>
      </c>
    </row>
    <row r="307" customFormat="false" ht="15" hidden="false" customHeight="false" outlineLevel="0" collapsed="false">
      <c r="A307" s="0" t="str">
        <f aca="false">B307&amp;"|"&amp;C307&amp;"|"&amp;D307&amp;"|"&amp;E307&amp;"|"&amp;F307</f>
        <v>2.8+2512|ALL|psi|IR|IR</v>
      </c>
      <c r="B307" s="0" t="s">
        <v>9</v>
      </c>
      <c r="C307" s="0" t="s">
        <v>224</v>
      </c>
      <c r="D307" s="0" t="s">
        <v>256</v>
      </c>
      <c r="E307" s="0" t="s">
        <v>68</v>
      </c>
      <c r="F307" s="0" t="s">
        <v>68</v>
      </c>
      <c r="G307" s="0" t="n">
        <v>1</v>
      </c>
      <c r="H307" s="0" t="s">
        <v>119</v>
      </c>
      <c r="I307" s="0" t="s">
        <v>72</v>
      </c>
      <c r="J307" s="0" t="s">
        <v>9</v>
      </c>
      <c r="K307" s="0" t="s">
        <v>73</v>
      </c>
      <c r="L307" s="0" t="s">
        <v>257</v>
      </c>
      <c r="M307" s="0" t="s">
        <v>258</v>
      </c>
      <c r="N307" s="0" t="s">
        <v>259</v>
      </c>
      <c r="O307" s="0" t="s">
        <v>260</v>
      </c>
      <c r="P307" s="0" t="s">
        <v>78</v>
      </c>
      <c r="Q307" s="0" t="s">
        <v>79</v>
      </c>
      <c r="R307" s="0" t="s">
        <v>80</v>
      </c>
      <c r="S307" s="0" t="s">
        <v>81</v>
      </c>
      <c r="T307" s="0" t="s">
        <v>123</v>
      </c>
    </row>
    <row r="308" customFormat="false" ht="15" hidden="false" customHeight="false" outlineLevel="0" collapsed="false">
      <c r="A308" s="0" t="str">
        <f aca="false">B308&amp;"|"&amp;C308&amp;"|"&amp;D308&amp;"|"&amp;E308&amp;"|"&amp;F308</f>
        <v>2.8+2512|ALL|psi|IR|CreditQ</v>
      </c>
      <c r="B308" s="0" t="s">
        <v>9</v>
      </c>
      <c r="C308" s="0" t="s">
        <v>224</v>
      </c>
      <c r="D308" s="0" t="s">
        <v>256</v>
      </c>
      <c r="E308" s="0" t="s">
        <v>68</v>
      </c>
      <c r="F308" s="0" t="s">
        <v>261</v>
      </c>
      <c r="G308" s="0" t="n">
        <v>0.09</v>
      </c>
      <c r="H308" s="0" t="s">
        <v>119</v>
      </c>
      <c r="I308" s="0" t="s">
        <v>72</v>
      </c>
      <c r="J308" s="0" t="s">
        <v>9</v>
      </c>
      <c r="K308" s="0" t="s">
        <v>73</v>
      </c>
      <c r="L308" s="0" t="s">
        <v>257</v>
      </c>
      <c r="M308" s="0" t="s">
        <v>258</v>
      </c>
      <c r="N308" s="0" t="s">
        <v>259</v>
      </c>
      <c r="O308" s="0" t="s">
        <v>260</v>
      </c>
      <c r="P308" s="0" t="s">
        <v>78</v>
      </c>
      <c r="Q308" s="0" t="s">
        <v>79</v>
      </c>
      <c r="R308" s="0" t="s">
        <v>80</v>
      </c>
      <c r="S308" s="0" t="s">
        <v>81</v>
      </c>
      <c r="T308" s="0" t="s">
        <v>82</v>
      </c>
    </row>
    <row r="309" customFormat="false" ht="15" hidden="false" customHeight="false" outlineLevel="0" collapsed="false">
      <c r="A309" s="0" t="str">
        <f aca="false">B309&amp;"|"&amp;C309&amp;"|"&amp;D309&amp;"|"&amp;E309&amp;"|"&amp;F309</f>
        <v>2.8+2512|ALL|psi|IR|CreditNonQ</v>
      </c>
      <c r="B309" s="0" t="s">
        <v>9</v>
      </c>
      <c r="C309" s="0" t="s">
        <v>224</v>
      </c>
      <c r="D309" s="0" t="s">
        <v>256</v>
      </c>
      <c r="E309" s="0" t="s">
        <v>68</v>
      </c>
      <c r="F309" s="0" t="s">
        <v>262</v>
      </c>
      <c r="G309" s="0" t="n">
        <v>0.07</v>
      </c>
      <c r="H309" s="0" t="s">
        <v>119</v>
      </c>
      <c r="I309" s="0" t="s">
        <v>72</v>
      </c>
      <c r="J309" s="0" t="s">
        <v>9</v>
      </c>
      <c r="K309" s="0" t="s">
        <v>73</v>
      </c>
      <c r="L309" s="0" t="s">
        <v>257</v>
      </c>
      <c r="M309" s="0" t="s">
        <v>258</v>
      </c>
      <c r="N309" s="0" t="s">
        <v>259</v>
      </c>
      <c r="O309" s="0" t="s">
        <v>260</v>
      </c>
      <c r="P309" s="0" t="s">
        <v>78</v>
      </c>
      <c r="Q309" s="0" t="s">
        <v>79</v>
      </c>
      <c r="R309" s="0" t="s">
        <v>80</v>
      </c>
      <c r="S309" s="0" t="s">
        <v>81</v>
      </c>
      <c r="T309" s="0" t="s">
        <v>82</v>
      </c>
    </row>
    <row r="310" customFormat="false" ht="15" hidden="false" customHeight="false" outlineLevel="0" collapsed="false">
      <c r="A310" s="0" t="str">
        <f aca="false">B310&amp;"|"&amp;C310&amp;"|"&amp;D310&amp;"|"&amp;E310&amp;"|"&amp;F310</f>
        <v>2.8+2512|ALL|psi|IR|Equity</v>
      </c>
      <c r="B310" s="0" t="s">
        <v>9</v>
      </c>
      <c r="C310" s="0" t="s">
        <v>224</v>
      </c>
      <c r="D310" s="0" t="s">
        <v>256</v>
      </c>
      <c r="E310" s="0" t="s">
        <v>68</v>
      </c>
      <c r="F310" s="0" t="s">
        <v>263</v>
      </c>
      <c r="G310" s="0" t="n">
        <v>0.11</v>
      </c>
      <c r="H310" s="0" t="s">
        <v>119</v>
      </c>
      <c r="I310" s="0" t="s">
        <v>72</v>
      </c>
      <c r="J310" s="0" t="s">
        <v>9</v>
      </c>
      <c r="K310" s="0" t="s">
        <v>73</v>
      </c>
      <c r="L310" s="0" t="s">
        <v>257</v>
      </c>
      <c r="M310" s="0" t="s">
        <v>258</v>
      </c>
      <c r="N310" s="0" t="s">
        <v>259</v>
      </c>
      <c r="O310" s="0" t="s">
        <v>260</v>
      </c>
      <c r="P310" s="0" t="s">
        <v>78</v>
      </c>
      <c r="Q310" s="0" t="s">
        <v>79</v>
      </c>
      <c r="R310" s="0" t="s">
        <v>80</v>
      </c>
      <c r="S310" s="0" t="s">
        <v>81</v>
      </c>
      <c r="T310" s="0" t="s">
        <v>82</v>
      </c>
    </row>
    <row r="311" customFormat="false" ht="15" hidden="false" customHeight="false" outlineLevel="0" collapsed="false">
      <c r="A311" s="0" t="str">
        <f aca="false">B311&amp;"|"&amp;C311&amp;"|"&amp;D311&amp;"|"&amp;E311&amp;"|"&amp;F311</f>
        <v>2.8+2512|ALL|psi|IR|Commodity</v>
      </c>
      <c r="B311" s="0" t="s">
        <v>9</v>
      </c>
      <c r="C311" s="0" t="s">
        <v>224</v>
      </c>
      <c r="D311" s="0" t="s">
        <v>256</v>
      </c>
      <c r="E311" s="0" t="s">
        <v>68</v>
      </c>
      <c r="F311" s="0" t="s">
        <v>264</v>
      </c>
      <c r="G311" s="0" t="n">
        <v>0.34</v>
      </c>
      <c r="H311" s="0" t="s">
        <v>119</v>
      </c>
      <c r="I311" s="0" t="s">
        <v>72</v>
      </c>
      <c r="J311" s="0" t="s">
        <v>9</v>
      </c>
      <c r="K311" s="0" t="s">
        <v>73</v>
      </c>
      <c r="L311" s="0" t="s">
        <v>257</v>
      </c>
      <c r="M311" s="0" t="s">
        <v>258</v>
      </c>
      <c r="N311" s="0" t="s">
        <v>259</v>
      </c>
      <c r="O311" s="0" t="s">
        <v>260</v>
      </c>
      <c r="P311" s="0" t="s">
        <v>78</v>
      </c>
      <c r="Q311" s="0" t="s">
        <v>79</v>
      </c>
      <c r="R311" s="0" t="s">
        <v>80</v>
      </c>
      <c r="S311" s="0" t="s">
        <v>81</v>
      </c>
      <c r="T311" s="0" t="s">
        <v>82</v>
      </c>
    </row>
    <row r="312" customFormat="false" ht="15" hidden="false" customHeight="false" outlineLevel="0" collapsed="false">
      <c r="A312" s="0" t="str">
        <f aca="false">B312&amp;"|"&amp;C312&amp;"|"&amp;D312&amp;"|"&amp;E312&amp;"|"&amp;F312</f>
        <v>2.8+2512|ALL|psi|IR|FX</v>
      </c>
      <c r="B312" s="0" t="s">
        <v>9</v>
      </c>
      <c r="C312" s="0" t="s">
        <v>224</v>
      </c>
      <c r="D312" s="0" t="s">
        <v>256</v>
      </c>
      <c r="E312" s="0" t="s">
        <v>68</v>
      </c>
      <c r="F312" s="0" t="s">
        <v>170</v>
      </c>
      <c r="G312" s="0" t="n">
        <v>0.15</v>
      </c>
      <c r="H312" s="0" t="s">
        <v>119</v>
      </c>
      <c r="I312" s="0" t="s">
        <v>72</v>
      </c>
      <c r="J312" s="0" t="s">
        <v>9</v>
      </c>
      <c r="K312" s="0" t="s">
        <v>73</v>
      </c>
      <c r="L312" s="0" t="s">
        <v>257</v>
      </c>
      <c r="M312" s="0" t="s">
        <v>258</v>
      </c>
      <c r="N312" s="0" t="s">
        <v>259</v>
      </c>
      <c r="O312" s="0" t="s">
        <v>260</v>
      </c>
      <c r="P312" s="0" t="s">
        <v>78</v>
      </c>
      <c r="Q312" s="0" t="s">
        <v>79</v>
      </c>
      <c r="R312" s="0" t="s">
        <v>80</v>
      </c>
      <c r="S312" s="0" t="s">
        <v>81</v>
      </c>
      <c r="T312" s="0" t="s">
        <v>82</v>
      </c>
    </row>
    <row r="313" customFormat="false" ht="15" hidden="false" customHeight="false" outlineLevel="0" collapsed="false">
      <c r="A313" s="0" t="str">
        <f aca="false">B313&amp;"|"&amp;C313&amp;"|"&amp;D313&amp;"|"&amp;E313&amp;"|"&amp;F313</f>
        <v>2.8+2512|ALL|psi|CreditQ|IR</v>
      </c>
      <c r="B313" s="0" t="s">
        <v>9</v>
      </c>
      <c r="C313" s="0" t="s">
        <v>224</v>
      </c>
      <c r="D313" s="0" t="s">
        <v>256</v>
      </c>
      <c r="E313" s="0" t="s">
        <v>261</v>
      </c>
      <c r="F313" s="0" t="s">
        <v>68</v>
      </c>
      <c r="G313" s="0" t="n">
        <v>0.09</v>
      </c>
      <c r="H313" s="0" t="s">
        <v>119</v>
      </c>
      <c r="I313" s="0" t="s">
        <v>72</v>
      </c>
      <c r="J313" s="0" t="s">
        <v>9</v>
      </c>
      <c r="K313" s="0" t="s">
        <v>73</v>
      </c>
      <c r="L313" s="0" t="s">
        <v>257</v>
      </c>
      <c r="M313" s="0" t="s">
        <v>258</v>
      </c>
      <c r="N313" s="0" t="s">
        <v>259</v>
      </c>
      <c r="O313" s="0" t="s">
        <v>260</v>
      </c>
      <c r="P313" s="0" t="s">
        <v>78</v>
      </c>
      <c r="Q313" s="0" t="s">
        <v>79</v>
      </c>
      <c r="R313" s="0" t="s">
        <v>80</v>
      </c>
      <c r="S313" s="0" t="s">
        <v>81</v>
      </c>
      <c r="T313" s="0" t="s">
        <v>82</v>
      </c>
    </row>
    <row r="314" customFormat="false" ht="15" hidden="false" customHeight="false" outlineLevel="0" collapsed="false">
      <c r="A314" s="0" t="str">
        <f aca="false">B314&amp;"|"&amp;C314&amp;"|"&amp;D314&amp;"|"&amp;E314&amp;"|"&amp;F314</f>
        <v>2.8+2512|ALL|psi|CreditQ|CreditQ</v>
      </c>
      <c r="B314" s="0" t="s">
        <v>9</v>
      </c>
      <c r="C314" s="0" t="s">
        <v>224</v>
      </c>
      <c r="D314" s="0" t="s">
        <v>256</v>
      </c>
      <c r="E314" s="0" t="s">
        <v>261</v>
      </c>
      <c r="F314" s="0" t="s">
        <v>261</v>
      </c>
      <c r="G314" s="0" t="n">
        <v>1</v>
      </c>
      <c r="H314" s="0" t="s">
        <v>119</v>
      </c>
      <c r="I314" s="0" t="s">
        <v>72</v>
      </c>
      <c r="J314" s="0" t="s">
        <v>9</v>
      </c>
      <c r="K314" s="0" t="s">
        <v>73</v>
      </c>
      <c r="L314" s="0" t="s">
        <v>257</v>
      </c>
      <c r="M314" s="0" t="s">
        <v>258</v>
      </c>
      <c r="N314" s="0" t="s">
        <v>259</v>
      </c>
      <c r="O314" s="0" t="s">
        <v>260</v>
      </c>
      <c r="P314" s="0" t="s">
        <v>78</v>
      </c>
      <c r="Q314" s="0" t="s">
        <v>79</v>
      </c>
      <c r="R314" s="0" t="s">
        <v>80</v>
      </c>
      <c r="S314" s="0" t="s">
        <v>81</v>
      </c>
      <c r="T314" s="0" t="s">
        <v>123</v>
      </c>
    </row>
    <row r="315" customFormat="false" ht="15" hidden="false" customHeight="false" outlineLevel="0" collapsed="false">
      <c r="A315" s="0" t="str">
        <f aca="false">B315&amp;"|"&amp;C315&amp;"|"&amp;D315&amp;"|"&amp;E315&amp;"|"&amp;F315</f>
        <v>2.8+2512|ALL|psi|CreditQ|CreditNonQ</v>
      </c>
      <c r="B315" s="0" t="s">
        <v>9</v>
      </c>
      <c r="C315" s="0" t="s">
        <v>224</v>
      </c>
      <c r="D315" s="0" t="s">
        <v>256</v>
      </c>
      <c r="E315" s="0" t="s">
        <v>261</v>
      </c>
      <c r="F315" s="0" t="s">
        <v>262</v>
      </c>
      <c r="G315" s="0" t="n">
        <v>0.62</v>
      </c>
      <c r="H315" s="0" t="s">
        <v>119</v>
      </c>
      <c r="I315" s="0" t="s">
        <v>72</v>
      </c>
      <c r="J315" s="0" t="s">
        <v>9</v>
      </c>
      <c r="K315" s="0" t="s">
        <v>73</v>
      </c>
      <c r="L315" s="0" t="s">
        <v>257</v>
      </c>
      <c r="M315" s="0" t="s">
        <v>258</v>
      </c>
      <c r="N315" s="0" t="s">
        <v>259</v>
      </c>
      <c r="O315" s="0" t="s">
        <v>260</v>
      </c>
      <c r="P315" s="0" t="s">
        <v>78</v>
      </c>
      <c r="Q315" s="0" t="s">
        <v>79</v>
      </c>
      <c r="R315" s="0" t="s">
        <v>80</v>
      </c>
      <c r="S315" s="0" t="s">
        <v>81</v>
      </c>
      <c r="T315" s="0" t="s">
        <v>82</v>
      </c>
    </row>
    <row r="316" customFormat="false" ht="15" hidden="false" customHeight="false" outlineLevel="0" collapsed="false">
      <c r="A316" s="0" t="str">
        <f aca="false">B316&amp;"|"&amp;C316&amp;"|"&amp;D316&amp;"|"&amp;E316&amp;"|"&amp;F316</f>
        <v>2.8+2512|ALL|psi|CreditQ|Equity</v>
      </c>
      <c r="B316" s="0" t="s">
        <v>9</v>
      </c>
      <c r="C316" s="0" t="s">
        <v>224</v>
      </c>
      <c r="D316" s="0" t="s">
        <v>256</v>
      </c>
      <c r="E316" s="0" t="s">
        <v>261</v>
      </c>
      <c r="F316" s="0" t="s">
        <v>263</v>
      </c>
      <c r="G316" s="0" t="n">
        <v>0.61</v>
      </c>
      <c r="H316" s="0" t="s">
        <v>119</v>
      </c>
      <c r="I316" s="0" t="s">
        <v>72</v>
      </c>
      <c r="J316" s="0" t="s">
        <v>9</v>
      </c>
      <c r="K316" s="0" t="s">
        <v>73</v>
      </c>
      <c r="L316" s="0" t="s">
        <v>257</v>
      </c>
      <c r="M316" s="0" t="s">
        <v>258</v>
      </c>
      <c r="N316" s="0" t="s">
        <v>259</v>
      </c>
      <c r="O316" s="0" t="s">
        <v>260</v>
      </c>
      <c r="P316" s="0" t="s">
        <v>78</v>
      </c>
      <c r="Q316" s="0" t="s">
        <v>79</v>
      </c>
      <c r="R316" s="0" t="s">
        <v>80</v>
      </c>
      <c r="S316" s="0" t="s">
        <v>81</v>
      </c>
      <c r="T316" s="0" t="s">
        <v>82</v>
      </c>
    </row>
    <row r="317" customFormat="false" ht="15" hidden="false" customHeight="false" outlineLevel="0" collapsed="false">
      <c r="A317" s="0" t="str">
        <f aca="false">B317&amp;"|"&amp;C317&amp;"|"&amp;D317&amp;"|"&amp;E317&amp;"|"&amp;F317</f>
        <v>2.8+2512|ALL|psi|CreditQ|Commodity</v>
      </c>
      <c r="B317" s="0" t="s">
        <v>9</v>
      </c>
      <c r="C317" s="0" t="s">
        <v>224</v>
      </c>
      <c r="D317" s="0" t="s">
        <v>256</v>
      </c>
      <c r="E317" s="0" t="s">
        <v>261</v>
      </c>
      <c r="F317" s="0" t="s">
        <v>264</v>
      </c>
      <c r="G317" s="0" t="n">
        <v>0.35</v>
      </c>
      <c r="H317" s="0" t="s">
        <v>119</v>
      </c>
      <c r="I317" s="0" t="s">
        <v>72</v>
      </c>
      <c r="J317" s="0" t="s">
        <v>9</v>
      </c>
      <c r="K317" s="0" t="s">
        <v>73</v>
      </c>
      <c r="L317" s="0" t="s">
        <v>257</v>
      </c>
      <c r="M317" s="0" t="s">
        <v>258</v>
      </c>
      <c r="N317" s="0" t="s">
        <v>259</v>
      </c>
      <c r="O317" s="0" t="s">
        <v>260</v>
      </c>
      <c r="P317" s="0" t="s">
        <v>78</v>
      </c>
      <c r="Q317" s="0" t="s">
        <v>79</v>
      </c>
      <c r="R317" s="0" t="s">
        <v>80</v>
      </c>
      <c r="S317" s="0" t="s">
        <v>81</v>
      </c>
      <c r="T317" s="0" t="s">
        <v>82</v>
      </c>
    </row>
    <row r="318" customFormat="false" ht="15" hidden="false" customHeight="false" outlineLevel="0" collapsed="false">
      <c r="A318" s="0" t="str">
        <f aca="false">B318&amp;"|"&amp;C318&amp;"|"&amp;D318&amp;"|"&amp;E318&amp;"|"&amp;F318</f>
        <v>2.8+2512|ALL|psi|CreditQ|FX</v>
      </c>
      <c r="B318" s="0" t="s">
        <v>9</v>
      </c>
      <c r="C318" s="0" t="s">
        <v>224</v>
      </c>
      <c r="D318" s="0" t="s">
        <v>256</v>
      </c>
      <c r="E318" s="0" t="s">
        <v>261</v>
      </c>
      <c r="F318" s="0" t="s">
        <v>170</v>
      </c>
      <c r="G318" s="0" t="n">
        <v>0.25</v>
      </c>
      <c r="H318" s="0" t="s">
        <v>119</v>
      </c>
      <c r="I318" s="0" t="s">
        <v>72</v>
      </c>
      <c r="J318" s="0" t="s">
        <v>9</v>
      </c>
      <c r="K318" s="0" t="s">
        <v>73</v>
      </c>
      <c r="L318" s="0" t="s">
        <v>257</v>
      </c>
      <c r="M318" s="0" t="s">
        <v>258</v>
      </c>
      <c r="N318" s="0" t="s">
        <v>259</v>
      </c>
      <c r="O318" s="0" t="s">
        <v>260</v>
      </c>
      <c r="P318" s="0" t="s">
        <v>78</v>
      </c>
      <c r="Q318" s="0" t="s">
        <v>79</v>
      </c>
      <c r="R318" s="0" t="s">
        <v>80</v>
      </c>
      <c r="S318" s="0" t="s">
        <v>81</v>
      </c>
      <c r="T318" s="0" t="s">
        <v>82</v>
      </c>
    </row>
    <row r="319" customFormat="false" ht="15" hidden="false" customHeight="false" outlineLevel="0" collapsed="false">
      <c r="A319" s="0" t="str">
        <f aca="false">B319&amp;"|"&amp;C319&amp;"|"&amp;D319&amp;"|"&amp;E319&amp;"|"&amp;F319</f>
        <v>2.8+2512|ALL|psi|CreditNonQ|IR</v>
      </c>
      <c r="B319" s="0" t="s">
        <v>9</v>
      </c>
      <c r="C319" s="0" t="s">
        <v>224</v>
      </c>
      <c r="D319" s="0" t="s">
        <v>256</v>
      </c>
      <c r="E319" s="0" t="s">
        <v>262</v>
      </c>
      <c r="F319" s="0" t="s">
        <v>68</v>
      </c>
      <c r="G319" s="0" t="n">
        <v>0.07</v>
      </c>
      <c r="H319" s="0" t="s">
        <v>119</v>
      </c>
      <c r="I319" s="0" t="s">
        <v>72</v>
      </c>
      <c r="J319" s="0" t="s">
        <v>9</v>
      </c>
      <c r="K319" s="0" t="s">
        <v>73</v>
      </c>
      <c r="L319" s="0" t="s">
        <v>257</v>
      </c>
      <c r="M319" s="0" t="s">
        <v>258</v>
      </c>
      <c r="N319" s="0" t="s">
        <v>259</v>
      </c>
      <c r="O319" s="0" t="s">
        <v>260</v>
      </c>
      <c r="P319" s="0" t="s">
        <v>78</v>
      </c>
      <c r="Q319" s="0" t="s">
        <v>79</v>
      </c>
      <c r="R319" s="0" t="s">
        <v>80</v>
      </c>
      <c r="S319" s="0" t="s">
        <v>81</v>
      </c>
      <c r="T319" s="0" t="s">
        <v>82</v>
      </c>
    </row>
    <row r="320" customFormat="false" ht="15" hidden="false" customHeight="false" outlineLevel="0" collapsed="false">
      <c r="A320" s="0" t="str">
        <f aca="false">B320&amp;"|"&amp;C320&amp;"|"&amp;D320&amp;"|"&amp;E320&amp;"|"&amp;F320</f>
        <v>2.8+2512|ALL|psi|CreditNonQ|CreditQ</v>
      </c>
      <c r="B320" s="0" t="s">
        <v>9</v>
      </c>
      <c r="C320" s="0" t="s">
        <v>224</v>
      </c>
      <c r="D320" s="0" t="s">
        <v>256</v>
      </c>
      <c r="E320" s="0" t="s">
        <v>262</v>
      </c>
      <c r="F320" s="0" t="s">
        <v>261</v>
      </c>
      <c r="G320" s="0" t="n">
        <v>0.62</v>
      </c>
      <c r="H320" s="0" t="s">
        <v>119</v>
      </c>
      <c r="I320" s="0" t="s">
        <v>72</v>
      </c>
      <c r="J320" s="0" t="s">
        <v>9</v>
      </c>
      <c r="K320" s="0" t="s">
        <v>73</v>
      </c>
      <c r="L320" s="0" t="s">
        <v>257</v>
      </c>
      <c r="M320" s="0" t="s">
        <v>258</v>
      </c>
      <c r="N320" s="0" t="s">
        <v>259</v>
      </c>
      <c r="O320" s="0" t="s">
        <v>260</v>
      </c>
      <c r="P320" s="0" t="s">
        <v>78</v>
      </c>
      <c r="Q320" s="0" t="s">
        <v>79</v>
      </c>
      <c r="R320" s="0" t="s">
        <v>80</v>
      </c>
      <c r="S320" s="0" t="s">
        <v>81</v>
      </c>
      <c r="T320" s="0" t="s">
        <v>82</v>
      </c>
    </row>
    <row r="321" customFormat="false" ht="15" hidden="false" customHeight="false" outlineLevel="0" collapsed="false">
      <c r="A321" s="0" t="str">
        <f aca="false">B321&amp;"|"&amp;C321&amp;"|"&amp;D321&amp;"|"&amp;E321&amp;"|"&amp;F321</f>
        <v>2.8+2512|ALL|psi|CreditNonQ|CreditNonQ</v>
      </c>
      <c r="B321" s="0" t="s">
        <v>9</v>
      </c>
      <c r="C321" s="0" t="s">
        <v>224</v>
      </c>
      <c r="D321" s="0" t="s">
        <v>256</v>
      </c>
      <c r="E321" s="0" t="s">
        <v>262</v>
      </c>
      <c r="F321" s="0" t="s">
        <v>262</v>
      </c>
      <c r="G321" s="0" t="n">
        <v>1</v>
      </c>
      <c r="H321" s="0" t="s">
        <v>119</v>
      </c>
      <c r="I321" s="0" t="s">
        <v>72</v>
      </c>
      <c r="J321" s="0" t="s">
        <v>9</v>
      </c>
      <c r="K321" s="0" t="s">
        <v>73</v>
      </c>
      <c r="L321" s="0" t="s">
        <v>257</v>
      </c>
      <c r="M321" s="0" t="s">
        <v>258</v>
      </c>
      <c r="N321" s="0" t="s">
        <v>259</v>
      </c>
      <c r="O321" s="0" t="s">
        <v>260</v>
      </c>
      <c r="P321" s="0" t="s">
        <v>78</v>
      </c>
      <c r="Q321" s="0" t="s">
        <v>79</v>
      </c>
      <c r="R321" s="0" t="s">
        <v>80</v>
      </c>
      <c r="S321" s="0" t="s">
        <v>81</v>
      </c>
      <c r="T321" s="0" t="s">
        <v>123</v>
      </c>
    </row>
    <row r="322" customFormat="false" ht="15" hidden="false" customHeight="false" outlineLevel="0" collapsed="false">
      <c r="A322" s="0" t="str">
        <f aca="false">B322&amp;"|"&amp;C322&amp;"|"&amp;D322&amp;"|"&amp;E322&amp;"|"&amp;F322</f>
        <v>2.8+2512|ALL|psi|CreditNonQ|Equity</v>
      </c>
      <c r="B322" s="0" t="s">
        <v>9</v>
      </c>
      <c r="C322" s="0" t="s">
        <v>224</v>
      </c>
      <c r="D322" s="0" t="s">
        <v>256</v>
      </c>
      <c r="E322" s="0" t="s">
        <v>262</v>
      </c>
      <c r="F322" s="0" t="s">
        <v>263</v>
      </c>
      <c r="G322" s="0" t="n">
        <v>0.47</v>
      </c>
      <c r="H322" s="0" t="s">
        <v>119</v>
      </c>
      <c r="I322" s="0" t="s">
        <v>72</v>
      </c>
      <c r="J322" s="0" t="s">
        <v>9</v>
      </c>
      <c r="K322" s="0" t="s">
        <v>73</v>
      </c>
      <c r="L322" s="0" t="s">
        <v>257</v>
      </c>
      <c r="M322" s="0" t="s">
        <v>258</v>
      </c>
      <c r="N322" s="0" t="s">
        <v>259</v>
      </c>
      <c r="O322" s="0" t="s">
        <v>260</v>
      </c>
      <c r="P322" s="0" t="s">
        <v>78</v>
      </c>
      <c r="Q322" s="0" t="s">
        <v>79</v>
      </c>
      <c r="R322" s="0" t="s">
        <v>80</v>
      </c>
      <c r="S322" s="0" t="s">
        <v>81</v>
      </c>
      <c r="T322" s="0" t="s">
        <v>82</v>
      </c>
    </row>
    <row r="323" customFormat="false" ht="15" hidden="false" customHeight="false" outlineLevel="0" collapsed="false">
      <c r="A323" s="0" t="str">
        <f aca="false">B323&amp;"|"&amp;C323&amp;"|"&amp;D323&amp;"|"&amp;E323&amp;"|"&amp;F323</f>
        <v>2.8+2512|ALL|psi|CreditNonQ|Commodity</v>
      </c>
      <c r="B323" s="0" t="s">
        <v>9</v>
      </c>
      <c r="C323" s="0" t="s">
        <v>224</v>
      </c>
      <c r="D323" s="0" t="s">
        <v>256</v>
      </c>
      <c r="E323" s="0" t="s">
        <v>262</v>
      </c>
      <c r="F323" s="0" t="s">
        <v>264</v>
      </c>
      <c r="G323" s="0" t="n">
        <v>0.28</v>
      </c>
      <c r="H323" s="0" t="s">
        <v>119</v>
      </c>
      <c r="I323" s="0" t="s">
        <v>72</v>
      </c>
      <c r="J323" s="0" t="s">
        <v>9</v>
      </c>
      <c r="K323" s="0" t="s">
        <v>73</v>
      </c>
      <c r="L323" s="0" t="s">
        <v>257</v>
      </c>
      <c r="M323" s="0" t="s">
        <v>258</v>
      </c>
      <c r="N323" s="0" t="s">
        <v>259</v>
      </c>
      <c r="O323" s="0" t="s">
        <v>260</v>
      </c>
      <c r="P323" s="0" t="s">
        <v>78</v>
      </c>
      <c r="Q323" s="0" t="s">
        <v>79</v>
      </c>
      <c r="R323" s="0" t="s">
        <v>80</v>
      </c>
      <c r="S323" s="0" t="s">
        <v>81</v>
      </c>
      <c r="T323" s="0" t="s">
        <v>82</v>
      </c>
    </row>
    <row r="324" customFormat="false" ht="15" hidden="false" customHeight="false" outlineLevel="0" collapsed="false">
      <c r="A324" s="0" t="str">
        <f aca="false">B324&amp;"|"&amp;C324&amp;"|"&amp;D324&amp;"|"&amp;E324&amp;"|"&amp;F324</f>
        <v>2.8+2512|ALL|psi|CreditNonQ|FX</v>
      </c>
      <c r="B324" s="0" t="s">
        <v>9</v>
      </c>
      <c r="C324" s="0" t="s">
        <v>224</v>
      </c>
      <c r="D324" s="0" t="s">
        <v>256</v>
      </c>
      <c r="E324" s="0" t="s">
        <v>262</v>
      </c>
      <c r="F324" s="0" t="s">
        <v>170</v>
      </c>
      <c r="G324" s="0" t="n">
        <v>0.14</v>
      </c>
      <c r="H324" s="0" t="s">
        <v>119</v>
      </c>
      <c r="I324" s="0" t="s">
        <v>72</v>
      </c>
      <c r="J324" s="0" t="s">
        <v>9</v>
      </c>
      <c r="K324" s="0" t="s">
        <v>73</v>
      </c>
      <c r="L324" s="0" t="s">
        <v>257</v>
      </c>
      <c r="M324" s="0" t="s">
        <v>258</v>
      </c>
      <c r="N324" s="0" t="s">
        <v>259</v>
      </c>
      <c r="O324" s="0" t="s">
        <v>260</v>
      </c>
      <c r="P324" s="0" t="s">
        <v>78</v>
      </c>
      <c r="Q324" s="0" t="s">
        <v>79</v>
      </c>
      <c r="R324" s="0" t="s">
        <v>80</v>
      </c>
      <c r="S324" s="0" t="s">
        <v>81</v>
      </c>
      <c r="T324" s="0" t="s">
        <v>82</v>
      </c>
    </row>
    <row r="325" customFormat="false" ht="15" hidden="false" customHeight="false" outlineLevel="0" collapsed="false">
      <c r="A325" s="0" t="str">
        <f aca="false">B325&amp;"|"&amp;C325&amp;"|"&amp;D325&amp;"|"&amp;E325&amp;"|"&amp;F325</f>
        <v>2.8+2512|ALL|psi|Equity|IR</v>
      </c>
      <c r="B325" s="0" t="s">
        <v>9</v>
      </c>
      <c r="C325" s="0" t="s">
        <v>224</v>
      </c>
      <c r="D325" s="0" t="s">
        <v>256</v>
      </c>
      <c r="E325" s="0" t="s">
        <v>263</v>
      </c>
      <c r="F325" s="0" t="s">
        <v>68</v>
      </c>
      <c r="G325" s="0" t="n">
        <v>0.11</v>
      </c>
      <c r="H325" s="0" t="s">
        <v>119</v>
      </c>
      <c r="I325" s="0" t="s">
        <v>72</v>
      </c>
      <c r="J325" s="0" t="s">
        <v>9</v>
      </c>
      <c r="K325" s="0" t="s">
        <v>73</v>
      </c>
      <c r="L325" s="0" t="s">
        <v>257</v>
      </c>
      <c r="M325" s="0" t="s">
        <v>258</v>
      </c>
      <c r="N325" s="0" t="s">
        <v>259</v>
      </c>
      <c r="O325" s="0" t="s">
        <v>260</v>
      </c>
      <c r="P325" s="0" t="s">
        <v>78</v>
      </c>
      <c r="Q325" s="0" t="s">
        <v>79</v>
      </c>
      <c r="R325" s="0" t="s">
        <v>80</v>
      </c>
      <c r="S325" s="0" t="s">
        <v>81</v>
      </c>
      <c r="T325" s="0" t="s">
        <v>82</v>
      </c>
    </row>
    <row r="326" customFormat="false" ht="15" hidden="false" customHeight="false" outlineLevel="0" collapsed="false">
      <c r="A326" s="0" t="str">
        <f aca="false">B326&amp;"|"&amp;C326&amp;"|"&amp;D326&amp;"|"&amp;E326&amp;"|"&amp;F326</f>
        <v>2.8+2512|ALL|psi|Equity|CreditQ</v>
      </c>
      <c r="B326" s="0" t="s">
        <v>9</v>
      </c>
      <c r="C326" s="0" t="s">
        <v>224</v>
      </c>
      <c r="D326" s="0" t="s">
        <v>256</v>
      </c>
      <c r="E326" s="0" t="s">
        <v>263</v>
      </c>
      <c r="F326" s="0" t="s">
        <v>261</v>
      </c>
      <c r="G326" s="0" t="n">
        <v>0.61</v>
      </c>
      <c r="H326" s="0" t="s">
        <v>119</v>
      </c>
      <c r="I326" s="0" t="s">
        <v>72</v>
      </c>
      <c r="J326" s="0" t="s">
        <v>9</v>
      </c>
      <c r="K326" s="0" t="s">
        <v>73</v>
      </c>
      <c r="L326" s="0" t="s">
        <v>257</v>
      </c>
      <c r="M326" s="0" t="s">
        <v>258</v>
      </c>
      <c r="N326" s="0" t="s">
        <v>259</v>
      </c>
      <c r="O326" s="0" t="s">
        <v>260</v>
      </c>
      <c r="P326" s="0" t="s">
        <v>78</v>
      </c>
      <c r="Q326" s="0" t="s">
        <v>79</v>
      </c>
      <c r="R326" s="0" t="s">
        <v>80</v>
      </c>
      <c r="S326" s="0" t="s">
        <v>81</v>
      </c>
      <c r="T326" s="0" t="s">
        <v>82</v>
      </c>
    </row>
    <row r="327" customFormat="false" ht="15" hidden="false" customHeight="false" outlineLevel="0" collapsed="false">
      <c r="A327" s="0" t="str">
        <f aca="false">B327&amp;"|"&amp;C327&amp;"|"&amp;D327&amp;"|"&amp;E327&amp;"|"&amp;F327</f>
        <v>2.8+2512|ALL|psi|Equity|CreditNonQ</v>
      </c>
      <c r="B327" s="0" t="s">
        <v>9</v>
      </c>
      <c r="C327" s="0" t="s">
        <v>224</v>
      </c>
      <c r="D327" s="0" t="s">
        <v>256</v>
      </c>
      <c r="E327" s="0" t="s">
        <v>263</v>
      </c>
      <c r="F327" s="0" t="s">
        <v>262</v>
      </c>
      <c r="G327" s="0" t="n">
        <v>0.47</v>
      </c>
      <c r="H327" s="0" t="s">
        <v>119</v>
      </c>
      <c r="I327" s="0" t="s">
        <v>72</v>
      </c>
      <c r="J327" s="0" t="s">
        <v>9</v>
      </c>
      <c r="K327" s="0" t="s">
        <v>73</v>
      </c>
      <c r="L327" s="0" t="s">
        <v>257</v>
      </c>
      <c r="M327" s="0" t="s">
        <v>258</v>
      </c>
      <c r="N327" s="0" t="s">
        <v>259</v>
      </c>
      <c r="O327" s="0" t="s">
        <v>260</v>
      </c>
      <c r="P327" s="0" t="s">
        <v>78</v>
      </c>
      <c r="Q327" s="0" t="s">
        <v>79</v>
      </c>
      <c r="R327" s="0" t="s">
        <v>80</v>
      </c>
      <c r="S327" s="0" t="s">
        <v>81</v>
      </c>
      <c r="T327" s="0" t="s">
        <v>82</v>
      </c>
    </row>
    <row r="328" customFormat="false" ht="15" hidden="false" customHeight="false" outlineLevel="0" collapsed="false">
      <c r="A328" s="0" t="str">
        <f aca="false">B328&amp;"|"&amp;C328&amp;"|"&amp;D328&amp;"|"&amp;E328&amp;"|"&amp;F328</f>
        <v>2.8+2512|ALL|psi|Equity|Equity</v>
      </c>
      <c r="B328" s="0" t="s">
        <v>9</v>
      </c>
      <c r="C328" s="0" t="s">
        <v>224</v>
      </c>
      <c r="D328" s="0" t="s">
        <v>256</v>
      </c>
      <c r="E328" s="0" t="s">
        <v>263</v>
      </c>
      <c r="F328" s="0" t="s">
        <v>263</v>
      </c>
      <c r="G328" s="0" t="n">
        <v>1</v>
      </c>
      <c r="H328" s="0" t="s">
        <v>119</v>
      </c>
      <c r="I328" s="0" t="s">
        <v>72</v>
      </c>
      <c r="J328" s="0" t="s">
        <v>9</v>
      </c>
      <c r="K328" s="0" t="s">
        <v>73</v>
      </c>
      <c r="L328" s="0" t="s">
        <v>257</v>
      </c>
      <c r="M328" s="0" t="s">
        <v>258</v>
      </c>
      <c r="N328" s="0" t="s">
        <v>259</v>
      </c>
      <c r="O328" s="0" t="s">
        <v>260</v>
      </c>
      <c r="P328" s="0" t="s">
        <v>78</v>
      </c>
      <c r="Q328" s="0" t="s">
        <v>79</v>
      </c>
      <c r="R328" s="0" t="s">
        <v>80</v>
      </c>
      <c r="S328" s="0" t="s">
        <v>81</v>
      </c>
      <c r="T328" s="0" t="s">
        <v>123</v>
      </c>
    </row>
    <row r="329" customFormat="false" ht="15" hidden="false" customHeight="false" outlineLevel="0" collapsed="false">
      <c r="A329" s="0" t="str">
        <f aca="false">B329&amp;"|"&amp;C329&amp;"|"&amp;D329&amp;"|"&amp;E329&amp;"|"&amp;F329</f>
        <v>2.8+2512|ALL|psi|Equity|Commodity</v>
      </c>
      <c r="B329" s="0" t="s">
        <v>9</v>
      </c>
      <c r="C329" s="0" t="s">
        <v>224</v>
      </c>
      <c r="D329" s="0" t="s">
        <v>256</v>
      </c>
      <c r="E329" s="0" t="s">
        <v>263</v>
      </c>
      <c r="F329" s="0" t="s">
        <v>264</v>
      </c>
      <c r="G329" s="0" t="n">
        <v>0.41</v>
      </c>
      <c r="H329" s="0" t="s">
        <v>119</v>
      </c>
      <c r="I329" s="0" t="s">
        <v>72</v>
      </c>
      <c r="J329" s="0" t="s">
        <v>9</v>
      </c>
      <c r="K329" s="0" t="s">
        <v>73</v>
      </c>
      <c r="L329" s="0" t="s">
        <v>257</v>
      </c>
      <c r="M329" s="0" t="s">
        <v>258</v>
      </c>
      <c r="N329" s="0" t="s">
        <v>259</v>
      </c>
      <c r="O329" s="0" t="s">
        <v>260</v>
      </c>
      <c r="P329" s="0" t="s">
        <v>78</v>
      </c>
      <c r="Q329" s="0" t="s">
        <v>79</v>
      </c>
      <c r="R329" s="0" t="s">
        <v>80</v>
      </c>
      <c r="S329" s="0" t="s">
        <v>81</v>
      </c>
      <c r="T329" s="0" t="s">
        <v>82</v>
      </c>
    </row>
    <row r="330" customFormat="false" ht="15" hidden="false" customHeight="false" outlineLevel="0" collapsed="false">
      <c r="A330" s="0" t="str">
        <f aca="false">B330&amp;"|"&amp;C330&amp;"|"&amp;D330&amp;"|"&amp;E330&amp;"|"&amp;F330</f>
        <v>2.8+2512|ALL|psi|Equity|FX</v>
      </c>
      <c r="B330" s="0" t="s">
        <v>9</v>
      </c>
      <c r="C330" s="0" t="s">
        <v>224</v>
      </c>
      <c r="D330" s="0" t="s">
        <v>256</v>
      </c>
      <c r="E330" s="0" t="s">
        <v>263</v>
      </c>
      <c r="F330" s="0" t="s">
        <v>170</v>
      </c>
      <c r="G330" s="0" t="n">
        <v>0.25</v>
      </c>
      <c r="H330" s="0" t="s">
        <v>119</v>
      </c>
      <c r="I330" s="0" t="s">
        <v>72</v>
      </c>
      <c r="J330" s="0" t="s">
        <v>9</v>
      </c>
      <c r="K330" s="0" t="s">
        <v>73</v>
      </c>
      <c r="L330" s="0" t="s">
        <v>257</v>
      </c>
      <c r="M330" s="0" t="s">
        <v>258</v>
      </c>
      <c r="N330" s="0" t="s">
        <v>259</v>
      </c>
      <c r="O330" s="0" t="s">
        <v>260</v>
      </c>
      <c r="P330" s="0" t="s">
        <v>78</v>
      </c>
      <c r="Q330" s="0" t="s">
        <v>79</v>
      </c>
      <c r="R330" s="0" t="s">
        <v>80</v>
      </c>
      <c r="S330" s="0" t="s">
        <v>81</v>
      </c>
      <c r="T330" s="0" t="s">
        <v>82</v>
      </c>
    </row>
    <row r="331" customFormat="false" ht="15" hidden="false" customHeight="false" outlineLevel="0" collapsed="false">
      <c r="A331" s="0" t="str">
        <f aca="false">B331&amp;"|"&amp;C331&amp;"|"&amp;D331&amp;"|"&amp;E331&amp;"|"&amp;F331</f>
        <v>2.8+2512|ALL|psi|Commodity|IR</v>
      </c>
      <c r="B331" s="0" t="s">
        <v>9</v>
      </c>
      <c r="C331" s="0" t="s">
        <v>224</v>
      </c>
      <c r="D331" s="0" t="s">
        <v>256</v>
      </c>
      <c r="E331" s="0" t="s">
        <v>264</v>
      </c>
      <c r="F331" s="0" t="s">
        <v>68</v>
      </c>
      <c r="G331" s="0" t="n">
        <v>0.34</v>
      </c>
      <c r="H331" s="0" t="s">
        <v>119</v>
      </c>
      <c r="I331" s="0" t="s">
        <v>72</v>
      </c>
      <c r="J331" s="0" t="s">
        <v>9</v>
      </c>
      <c r="K331" s="0" t="s">
        <v>73</v>
      </c>
      <c r="L331" s="0" t="s">
        <v>257</v>
      </c>
      <c r="M331" s="0" t="s">
        <v>258</v>
      </c>
      <c r="N331" s="0" t="s">
        <v>259</v>
      </c>
      <c r="O331" s="0" t="s">
        <v>260</v>
      </c>
      <c r="P331" s="0" t="s">
        <v>78</v>
      </c>
      <c r="Q331" s="0" t="s">
        <v>79</v>
      </c>
      <c r="R331" s="0" t="s">
        <v>80</v>
      </c>
      <c r="S331" s="0" t="s">
        <v>81</v>
      </c>
      <c r="T331" s="0" t="s">
        <v>82</v>
      </c>
    </row>
    <row r="332" customFormat="false" ht="15" hidden="false" customHeight="false" outlineLevel="0" collapsed="false">
      <c r="A332" s="0" t="str">
        <f aca="false">B332&amp;"|"&amp;C332&amp;"|"&amp;D332&amp;"|"&amp;E332&amp;"|"&amp;F332</f>
        <v>2.8+2512|ALL|psi|Commodity|CreditQ</v>
      </c>
      <c r="B332" s="0" t="s">
        <v>9</v>
      </c>
      <c r="C332" s="0" t="s">
        <v>224</v>
      </c>
      <c r="D332" s="0" t="s">
        <v>256</v>
      </c>
      <c r="E332" s="0" t="s">
        <v>264</v>
      </c>
      <c r="F332" s="0" t="s">
        <v>261</v>
      </c>
      <c r="G332" s="0" t="n">
        <v>0.35</v>
      </c>
      <c r="H332" s="0" t="s">
        <v>119</v>
      </c>
      <c r="I332" s="0" t="s">
        <v>72</v>
      </c>
      <c r="J332" s="0" t="s">
        <v>9</v>
      </c>
      <c r="K332" s="0" t="s">
        <v>73</v>
      </c>
      <c r="L332" s="0" t="s">
        <v>257</v>
      </c>
      <c r="M332" s="0" t="s">
        <v>258</v>
      </c>
      <c r="N332" s="0" t="s">
        <v>259</v>
      </c>
      <c r="O332" s="0" t="s">
        <v>260</v>
      </c>
      <c r="P332" s="0" t="s">
        <v>78</v>
      </c>
      <c r="Q332" s="0" t="s">
        <v>79</v>
      </c>
      <c r="R332" s="0" t="s">
        <v>80</v>
      </c>
      <c r="S332" s="0" t="s">
        <v>81</v>
      </c>
      <c r="T332" s="0" t="s">
        <v>82</v>
      </c>
    </row>
    <row r="333" customFormat="false" ht="15" hidden="false" customHeight="false" outlineLevel="0" collapsed="false">
      <c r="A333" s="0" t="str">
        <f aca="false">B333&amp;"|"&amp;C333&amp;"|"&amp;D333&amp;"|"&amp;E333&amp;"|"&amp;F333</f>
        <v>2.8+2512|ALL|psi|Commodity|CreditNonQ</v>
      </c>
      <c r="B333" s="0" t="s">
        <v>9</v>
      </c>
      <c r="C333" s="0" t="s">
        <v>224</v>
      </c>
      <c r="D333" s="0" t="s">
        <v>256</v>
      </c>
      <c r="E333" s="0" t="s">
        <v>264</v>
      </c>
      <c r="F333" s="0" t="s">
        <v>262</v>
      </c>
      <c r="G333" s="0" t="n">
        <v>0.28</v>
      </c>
      <c r="H333" s="0" t="s">
        <v>119</v>
      </c>
      <c r="I333" s="0" t="s">
        <v>72</v>
      </c>
      <c r="J333" s="0" t="s">
        <v>9</v>
      </c>
      <c r="K333" s="0" t="s">
        <v>73</v>
      </c>
      <c r="L333" s="0" t="s">
        <v>257</v>
      </c>
      <c r="M333" s="0" t="s">
        <v>258</v>
      </c>
      <c r="N333" s="0" t="s">
        <v>259</v>
      </c>
      <c r="O333" s="0" t="s">
        <v>260</v>
      </c>
      <c r="P333" s="0" t="s">
        <v>78</v>
      </c>
      <c r="Q333" s="0" t="s">
        <v>79</v>
      </c>
      <c r="R333" s="0" t="s">
        <v>80</v>
      </c>
      <c r="S333" s="0" t="s">
        <v>81</v>
      </c>
      <c r="T333" s="0" t="s">
        <v>82</v>
      </c>
    </row>
    <row r="334" customFormat="false" ht="15" hidden="false" customHeight="false" outlineLevel="0" collapsed="false">
      <c r="A334" s="0" t="str">
        <f aca="false">B334&amp;"|"&amp;C334&amp;"|"&amp;D334&amp;"|"&amp;E334&amp;"|"&amp;F334</f>
        <v>2.8+2512|ALL|psi|Commodity|Equity</v>
      </c>
      <c r="B334" s="0" t="s">
        <v>9</v>
      </c>
      <c r="C334" s="0" t="s">
        <v>224</v>
      </c>
      <c r="D334" s="0" t="s">
        <v>256</v>
      </c>
      <c r="E334" s="0" t="s">
        <v>264</v>
      </c>
      <c r="F334" s="0" t="s">
        <v>263</v>
      </c>
      <c r="G334" s="0" t="n">
        <v>0.41</v>
      </c>
      <c r="H334" s="0" t="s">
        <v>119</v>
      </c>
      <c r="I334" s="0" t="s">
        <v>72</v>
      </c>
      <c r="J334" s="0" t="s">
        <v>9</v>
      </c>
      <c r="K334" s="0" t="s">
        <v>73</v>
      </c>
      <c r="L334" s="0" t="s">
        <v>257</v>
      </c>
      <c r="M334" s="0" t="s">
        <v>258</v>
      </c>
      <c r="N334" s="0" t="s">
        <v>259</v>
      </c>
      <c r="O334" s="0" t="s">
        <v>260</v>
      </c>
      <c r="P334" s="0" t="s">
        <v>78</v>
      </c>
      <c r="Q334" s="0" t="s">
        <v>79</v>
      </c>
      <c r="R334" s="0" t="s">
        <v>80</v>
      </c>
      <c r="S334" s="0" t="s">
        <v>81</v>
      </c>
      <c r="T334" s="0" t="s">
        <v>82</v>
      </c>
    </row>
    <row r="335" customFormat="false" ht="15" hidden="false" customHeight="false" outlineLevel="0" collapsed="false">
      <c r="A335" s="0" t="str">
        <f aca="false">B335&amp;"|"&amp;C335&amp;"|"&amp;D335&amp;"|"&amp;E335&amp;"|"&amp;F335</f>
        <v>2.8+2512|ALL|psi|Commodity|Commodity</v>
      </c>
      <c r="B335" s="0" t="s">
        <v>9</v>
      </c>
      <c r="C335" s="0" t="s">
        <v>224</v>
      </c>
      <c r="D335" s="0" t="s">
        <v>256</v>
      </c>
      <c r="E335" s="0" t="s">
        <v>264</v>
      </c>
      <c r="F335" s="0" t="s">
        <v>264</v>
      </c>
      <c r="G335" s="0" t="n">
        <v>1</v>
      </c>
      <c r="H335" s="0" t="s">
        <v>119</v>
      </c>
      <c r="I335" s="0" t="s">
        <v>72</v>
      </c>
      <c r="J335" s="0" t="s">
        <v>9</v>
      </c>
      <c r="K335" s="0" t="s">
        <v>73</v>
      </c>
      <c r="L335" s="0" t="s">
        <v>257</v>
      </c>
      <c r="M335" s="0" t="s">
        <v>258</v>
      </c>
      <c r="N335" s="0" t="s">
        <v>259</v>
      </c>
      <c r="O335" s="0" t="s">
        <v>260</v>
      </c>
      <c r="P335" s="0" t="s">
        <v>78</v>
      </c>
      <c r="Q335" s="0" t="s">
        <v>79</v>
      </c>
      <c r="R335" s="0" t="s">
        <v>80</v>
      </c>
      <c r="S335" s="0" t="s">
        <v>81</v>
      </c>
      <c r="T335" s="0" t="s">
        <v>123</v>
      </c>
    </row>
    <row r="336" customFormat="false" ht="15" hidden="false" customHeight="false" outlineLevel="0" collapsed="false">
      <c r="A336" s="0" t="str">
        <f aca="false">B336&amp;"|"&amp;C336&amp;"|"&amp;D336&amp;"|"&amp;E336&amp;"|"&amp;F336</f>
        <v>2.8+2512|ALL|psi|Commodity|FX</v>
      </c>
      <c r="B336" s="0" t="s">
        <v>9</v>
      </c>
      <c r="C336" s="0" t="s">
        <v>224</v>
      </c>
      <c r="D336" s="0" t="s">
        <v>256</v>
      </c>
      <c r="E336" s="0" t="s">
        <v>264</v>
      </c>
      <c r="F336" s="0" t="s">
        <v>170</v>
      </c>
      <c r="G336" s="0" t="n">
        <v>0.28</v>
      </c>
      <c r="H336" s="0" t="s">
        <v>119</v>
      </c>
      <c r="I336" s="0" t="s">
        <v>72</v>
      </c>
      <c r="J336" s="0" t="s">
        <v>9</v>
      </c>
      <c r="K336" s="0" t="s">
        <v>73</v>
      </c>
      <c r="L336" s="0" t="s">
        <v>257</v>
      </c>
      <c r="M336" s="0" t="s">
        <v>258</v>
      </c>
      <c r="N336" s="0" t="s">
        <v>259</v>
      </c>
      <c r="O336" s="0" t="s">
        <v>260</v>
      </c>
      <c r="P336" s="0" t="s">
        <v>78</v>
      </c>
      <c r="Q336" s="0" t="s">
        <v>79</v>
      </c>
      <c r="R336" s="0" t="s">
        <v>80</v>
      </c>
      <c r="S336" s="0" t="s">
        <v>81</v>
      </c>
      <c r="T336" s="0" t="s">
        <v>82</v>
      </c>
    </row>
    <row r="337" customFormat="false" ht="15" hidden="false" customHeight="false" outlineLevel="0" collapsed="false">
      <c r="A337" s="0" t="str">
        <f aca="false">B337&amp;"|"&amp;C337&amp;"|"&amp;D337&amp;"|"&amp;E337&amp;"|"&amp;F337</f>
        <v>2.8+2512|ALL|psi|FX|IR</v>
      </c>
      <c r="B337" s="0" t="s">
        <v>9</v>
      </c>
      <c r="C337" s="0" t="s">
        <v>224</v>
      </c>
      <c r="D337" s="0" t="s">
        <v>256</v>
      </c>
      <c r="E337" s="0" t="s">
        <v>170</v>
      </c>
      <c r="F337" s="0" t="s">
        <v>68</v>
      </c>
      <c r="G337" s="0" t="n">
        <v>0.15</v>
      </c>
      <c r="H337" s="0" t="s">
        <v>119</v>
      </c>
      <c r="I337" s="0" t="s">
        <v>72</v>
      </c>
      <c r="J337" s="0" t="s">
        <v>9</v>
      </c>
      <c r="K337" s="0" t="s">
        <v>73</v>
      </c>
      <c r="L337" s="0" t="s">
        <v>257</v>
      </c>
      <c r="M337" s="0" t="s">
        <v>258</v>
      </c>
      <c r="N337" s="0" t="s">
        <v>259</v>
      </c>
      <c r="O337" s="0" t="s">
        <v>260</v>
      </c>
      <c r="P337" s="0" t="s">
        <v>78</v>
      </c>
      <c r="Q337" s="0" t="s">
        <v>79</v>
      </c>
      <c r="R337" s="0" t="s">
        <v>80</v>
      </c>
      <c r="S337" s="0" t="s">
        <v>81</v>
      </c>
      <c r="T337" s="0" t="s">
        <v>82</v>
      </c>
    </row>
    <row r="338" customFormat="false" ht="15" hidden="false" customHeight="false" outlineLevel="0" collapsed="false">
      <c r="A338" s="0" t="str">
        <f aca="false">B338&amp;"|"&amp;C338&amp;"|"&amp;D338&amp;"|"&amp;E338&amp;"|"&amp;F338</f>
        <v>2.8+2512|ALL|psi|FX|CreditQ</v>
      </c>
      <c r="B338" s="0" t="s">
        <v>9</v>
      </c>
      <c r="C338" s="0" t="s">
        <v>224</v>
      </c>
      <c r="D338" s="0" t="s">
        <v>256</v>
      </c>
      <c r="E338" s="0" t="s">
        <v>170</v>
      </c>
      <c r="F338" s="0" t="s">
        <v>261</v>
      </c>
      <c r="G338" s="0" t="n">
        <v>0.25</v>
      </c>
      <c r="H338" s="0" t="s">
        <v>119</v>
      </c>
      <c r="I338" s="0" t="s">
        <v>72</v>
      </c>
      <c r="J338" s="0" t="s">
        <v>9</v>
      </c>
      <c r="K338" s="0" t="s">
        <v>73</v>
      </c>
      <c r="L338" s="0" t="s">
        <v>257</v>
      </c>
      <c r="M338" s="0" t="s">
        <v>258</v>
      </c>
      <c r="N338" s="0" t="s">
        <v>259</v>
      </c>
      <c r="O338" s="0" t="s">
        <v>260</v>
      </c>
      <c r="P338" s="0" t="s">
        <v>78</v>
      </c>
      <c r="Q338" s="0" t="s">
        <v>79</v>
      </c>
      <c r="R338" s="0" t="s">
        <v>80</v>
      </c>
      <c r="S338" s="0" t="s">
        <v>81</v>
      </c>
      <c r="T338" s="0" t="s">
        <v>82</v>
      </c>
    </row>
    <row r="339" customFormat="false" ht="15" hidden="false" customHeight="false" outlineLevel="0" collapsed="false">
      <c r="A339" s="0" t="str">
        <f aca="false">B339&amp;"|"&amp;C339&amp;"|"&amp;D339&amp;"|"&amp;E339&amp;"|"&amp;F339</f>
        <v>2.8+2512|ALL|psi|FX|CreditNonQ</v>
      </c>
      <c r="B339" s="0" t="s">
        <v>9</v>
      </c>
      <c r="C339" s="0" t="s">
        <v>224</v>
      </c>
      <c r="D339" s="0" t="s">
        <v>256</v>
      </c>
      <c r="E339" s="0" t="s">
        <v>170</v>
      </c>
      <c r="F339" s="0" t="s">
        <v>262</v>
      </c>
      <c r="G339" s="0" t="n">
        <v>0.14</v>
      </c>
      <c r="H339" s="0" t="s">
        <v>119</v>
      </c>
      <c r="I339" s="0" t="s">
        <v>72</v>
      </c>
      <c r="J339" s="0" t="s">
        <v>9</v>
      </c>
      <c r="K339" s="0" t="s">
        <v>73</v>
      </c>
      <c r="L339" s="0" t="s">
        <v>257</v>
      </c>
      <c r="M339" s="0" t="s">
        <v>258</v>
      </c>
      <c r="N339" s="0" t="s">
        <v>259</v>
      </c>
      <c r="O339" s="0" t="s">
        <v>260</v>
      </c>
      <c r="P339" s="0" t="s">
        <v>78</v>
      </c>
      <c r="Q339" s="0" t="s">
        <v>79</v>
      </c>
      <c r="R339" s="0" t="s">
        <v>80</v>
      </c>
      <c r="S339" s="0" t="s">
        <v>81</v>
      </c>
      <c r="T339" s="0" t="s">
        <v>82</v>
      </c>
    </row>
    <row r="340" customFormat="false" ht="15" hidden="false" customHeight="false" outlineLevel="0" collapsed="false">
      <c r="A340" s="0" t="str">
        <f aca="false">B340&amp;"|"&amp;C340&amp;"|"&amp;D340&amp;"|"&amp;E340&amp;"|"&amp;F340</f>
        <v>2.8+2512|ALL|psi|FX|Equity</v>
      </c>
      <c r="B340" s="0" t="s">
        <v>9</v>
      </c>
      <c r="C340" s="0" t="s">
        <v>224</v>
      </c>
      <c r="D340" s="0" t="s">
        <v>256</v>
      </c>
      <c r="E340" s="0" t="s">
        <v>170</v>
      </c>
      <c r="F340" s="0" t="s">
        <v>263</v>
      </c>
      <c r="G340" s="0" t="n">
        <v>0.25</v>
      </c>
      <c r="H340" s="0" t="s">
        <v>119</v>
      </c>
      <c r="I340" s="0" t="s">
        <v>72</v>
      </c>
      <c r="J340" s="0" t="s">
        <v>9</v>
      </c>
      <c r="K340" s="0" t="s">
        <v>73</v>
      </c>
      <c r="L340" s="0" t="s">
        <v>257</v>
      </c>
      <c r="M340" s="0" t="s">
        <v>258</v>
      </c>
      <c r="N340" s="0" t="s">
        <v>259</v>
      </c>
      <c r="O340" s="0" t="s">
        <v>260</v>
      </c>
      <c r="P340" s="0" t="s">
        <v>78</v>
      </c>
      <c r="Q340" s="0" t="s">
        <v>79</v>
      </c>
      <c r="R340" s="0" t="s">
        <v>80</v>
      </c>
      <c r="S340" s="0" t="s">
        <v>81</v>
      </c>
      <c r="T340" s="0" t="s">
        <v>82</v>
      </c>
    </row>
    <row r="341" customFormat="false" ht="15" hidden="false" customHeight="false" outlineLevel="0" collapsed="false">
      <c r="A341" s="0" t="str">
        <f aca="false">B341&amp;"|"&amp;C341&amp;"|"&amp;D341&amp;"|"&amp;E341&amp;"|"&amp;F341</f>
        <v>2.8+2512|ALL|psi|FX|Commodity</v>
      </c>
      <c r="B341" s="0" t="s">
        <v>9</v>
      </c>
      <c r="C341" s="0" t="s">
        <v>224</v>
      </c>
      <c r="D341" s="0" t="s">
        <v>256</v>
      </c>
      <c r="E341" s="0" t="s">
        <v>170</v>
      </c>
      <c r="F341" s="0" t="s">
        <v>264</v>
      </c>
      <c r="G341" s="0" t="n">
        <v>0.28</v>
      </c>
      <c r="H341" s="0" t="s">
        <v>119</v>
      </c>
      <c r="I341" s="0" t="s">
        <v>72</v>
      </c>
      <c r="J341" s="0" t="s">
        <v>9</v>
      </c>
      <c r="K341" s="0" t="s">
        <v>73</v>
      </c>
      <c r="L341" s="0" t="s">
        <v>257</v>
      </c>
      <c r="M341" s="0" t="s">
        <v>258</v>
      </c>
      <c r="N341" s="0" t="s">
        <v>259</v>
      </c>
      <c r="O341" s="0" t="s">
        <v>260</v>
      </c>
      <c r="P341" s="0" t="s">
        <v>78</v>
      </c>
      <c r="Q341" s="0" t="s">
        <v>79</v>
      </c>
      <c r="R341" s="0" t="s">
        <v>80</v>
      </c>
      <c r="S341" s="0" t="s">
        <v>81</v>
      </c>
      <c r="T341" s="0" t="s">
        <v>82</v>
      </c>
    </row>
    <row r="342" customFormat="false" ht="15" hidden="false" customHeight="false" outlineLevel="0" collapsed="false">
      <c r="A342" s="0" t="str">
        <f aca="false">B342&amp;"|"&amp;C342&amp;"|"&amp;D342&amp;"|"&amp;E342&amp;"|"&amp;F342</f>
        <v>2.8+2512|ALL|psi|FX|FX</v>
      </c>
      <c r="B342" s="0" t="s">
        <v>9</v>
      </c>
      <c r="C342" s="0" t="s">
        <v>224</v>
      </c>
      <c r="D342" s="0" t="s">
        <v>256</v>
      </c>
      <c r="E342" s="0" t="s">
        <v>170</v>
      </c>
      <c r="F342" s="0" t="s">
        <v>170</v>
      </c>
      <c r="G342" s="0" t="n">
        <v>1</v>
      </c>
      <c r="H342" s="0" t="s">
        <v>119</v>
      </c>
      <c r="I342" s="0" t="s">
        <v>72</v>
      </c>
      <c r="J342" s="0" t="s">
        <v>9</v>
      </c>
      <c r="K342" s="0" t="s">
        <v>73</v>
      </c>
      <c r="L342" s="0" t="s">
        <v>257</v>
      </c>
      <c r="M342" s="0" t="s">
        <v>258</v>
      </c>
      <c r="N342" s="0" t="s">
        <v>259</v>
      </c>
      <c r="O342" s="0" t="s">
        <v>260</v>
      </c>
      <c r="P342" s="0" t="s">
        <v>78</v>
      </c>
      <c r="Q342" s="0" t="s">
        <v>79</v>
      </c>
      <c r="R342" s="0" t="s">
        <v>80</v>
      </c>
      <c r="S342" s="0" t="s">
        <v>81</v>
      </c>
      <c r="T342" s="0" t="s">
        <v>123</v>
      </c>
    </row>
    <row r="343" customFormat="false" ht="15" hidden="false" customHeight="false" outlineLevel="0" collapsed="false">
      <c r="A343" s="0" t="str">
        <f aca="false">B343&amp;"|"&amp;C343&amp;"|"&amp;D343&amp;"|"&amp;E343&amp;"|"&amp;F343</f>
        <v>2.8+2512|ALL|multiplicative_scale_default|RatesFX|</v>
      </c>
      <c r="B343" s="0" t="s">
        <v>9</v>
      </c>
      <c r="C343" s="0" t="s">
        <v>224</v>
      </c>
      <c r="D343" s="0" t="s">
        <v>265</v>
      </c>
      <c r="E343" s="0" t="s">
        <v>266</v>
      </c>
      <c r="G343" s="0" t="n">
        <v>1</v>
      </c>
      <c r="H343" s="0" t="s">
        <v>267</v>
      </c>
      <c r="I343" s="0" t="s">
        <v>72</v>
      </c>
      <c r="J343" s="0" t="s">
        <v>9</v>
      </c>
      <c r="K343" s="0" t="s">
        <v>73</v>
      </c>
      <c r="L343" s="0" t="s">
        <v>268</v>
      </c>
      <c r="M343" s="0" t="s">
        <v>269</v>
      </c>
      <c r="N343" s="0" t="s">
        <v>270</v>
      </c>
      <c r="O343" s="0" t="s">
        <v>271</v>
      </c>
      <c r="P343" s="0" t="s">
        <v>78</v>
      </c>
      <c r="Q343" s="0" t="s">
        <v>79</v>
      </c>
      <c r="R343" s="0" t="s">
        <v>80</v>
      </c>
      <c r="S343" s="0" t="s">
        <v>81</v>
      </c>
      <c r="T343" s="0" t="s">
        <v>82</v>
      </c>
    </row>
    <row r="344" customFormat="false" ht="15" hidden="false" customHeight="false" outlineLevel="0" collapsed="false">
      <c r="A344" s="0" t="str">
        <f aca="false">B344&amp;"|"&amp;C344&amp;"|"&amp;D344&amp;"|"&amp;E344&amp;"|"&amp;F344</f>
        <v>2.8+2512|ALL|sens_bump_ir_bp||</v>
      </c>
      <c r="B344" s="0" t="s">
        <v>9</v>
      </c>
      <c r="C344" s="0" t="s">
        <v>224</v>
      </c>
      <c r="D344" s="0" t="s">
        <v>272</v>
      </c>
      <c r="G344" s="0" t="n">
        <v>1</v>
      </c>
      <c r="H344" s="0" t="s">
        <v>273</v>
      </c>
      <c r="I344" s="0" t="s">
        <v>72</v>
      </c>
      <c r="J344" s="0" t="s">
        <v>9</v>
      </c>
      <c r="K344" s="0" t="s">
        <v>73</v>
      </c>
      <c r="L344" s="0" t="s">
        <v>274</v>
      </c>
      <c r="M344" s="0" t="s">
        <v>275</v>
      </c>
      <c r="N344" s="0" t="s">
        <v>276</v>
      </c>
      <c r="O344" s="0" t="s">
        <v>277</v>
      </c>
      <c r="P344" s="0" t="s">
        <v>78</v>
      </c>
      <c r="Q344" s="0" t="s">
        <v>79</v>
      </c>
      <c r="R344" s="0" t="s">
        <v>80</v>
      </c>
      <c r="S344" s="0" t="s">
        <v>81</v>
      </c>
      <c r="T344" s="0" t="s">
        <v>82</v>
      </c>
    </row>
    <row r="345" customFormat="false" ht="15" hidden="false" customHeight="false" outlineLevel="0" collapsed="false">
      <c r="A345" s="0" t="str">
        <f aca="false">B345&amp;"|"&amp;C345&amp;"|"&amp;D345&amp;"|"&amp;E345&amp;"|"&amp;F345</f>
        <v>2.8+2512|ALL|sens_bump_fx_pct||</v>
      </c>
      <c r="B345" s="0" t="s">
        <v>9</v>
      </c>
      <c r="C345" s="0" t="s">
        <v>224</v>
      </c>
      <c r="D345" s="0" t="s">
        <v>278</v>
      </c>
      <c r="G345" s="0" t="n">
        <v>1</v>
      </c>
      <c r="H345" s="0" t="s">
        <v>279</v>
      </c>
      <c r="I345" s="0" t="s">
        <v>72</v>
      </c>
      <c r="J345" s="0" t="s">
        <v>9</v>
      </c>
      <c r="K345" s="0" t="s">
        <v>73</v>
      </c>
      <c r="L345" s="0" t="s">
        <v>274</v>
      </c>
      <c r="M345" s="0" t="s">
        <v>275</v>
      </c>
      <c r="N345" s="0" t="s">
        <v>280</v>
      </c>
      <c r="O345" s="0" t="s">
        <v>277</v>
      </c>
      <c r="P345" s="0" t="s">
        <v>78</v>
      </c>
      <c r="Q345" s="0" t="s">
        <v>79</v>
      </c>
      <c r="R345" s="0" t="s">
        <v>80</v>
      </c>
      <c r="S345" s="0" t="s">
        <v>81</v>
      </c>
      <c r="T345" s="0" t="s">
        <v>82</v>
      </c>
    </row>
    <row r="346" customFormat="false" ht="15" hidden="false" customHeight="false" outlineLevel="0" collapsed="false">
      <c r="A346" s="0" t="str">
        <f aca="false">B346&amp;"|"&amp;C346&amp;"|"&amp;D346&amp;"|"&amp;E346&amp;"|"&amp;F346</f>
        <v>2.8+2512|ALL|sens_bump_vol||</v>
      </c>
      <c r="B346" s="0" t="s">
        <v>9</v>
      </c>
      <c r="C346" s="0" t="s">
        <v>224</v>
      </c>
      <c r="D346" s="0" t="s">
        <v>281</v>
      </c>
      <c r="G346" s="0" t="n">
        <v>1</v>
      </c>
      <c r="H346" s="0" t="s">
        <v>282</v>
      </c>
      <c r="I346" s="0" t="s">
        <v>72</v>
      </c>
      <c r="J346" s="0" t="s">
        <v>9</v>
      </c>
      <c r="K346" s="0" t="s">
        <v>73</v>
      </c>
      <c r="L346" s="0" t="s">
        <v>283</v>
      </c>
      <c r="M346" s="0" t="s">
        <v>271</v>
      </c>
      <c r="N346" s="0" t="s">
        <v>284</v>
      </c>
      <c r="O346" s="0" t="s">
        <v>285</v>
      </c>
      <c r="P346" s="0" t="s">
        <v>78</v>
      </c>
      <c r="Q346" s="0" t="s">
        <v>79</v>
      </c>
      <c r="R346" s="0" t="s">
        <v>80</v>
      </c>
      <c r="S346" s="0" t="s">
        <v>81</v>
      </c>
      <c r="T346" s="0" t="s">
        <v>82</v>
      </c>
    </row>
    <row r="347" customFormat="false" ht="15" hidden="false" customHeight="false" outlineLevel="0" collapsed="false">
      <c r="A347" s="0" t="str">
        <f aca="false">B347&amp;"|"&amp;C347&amp;"|"&amp;D347&amp;"|"&amp;E347&amp;"|"&amp;F347</f>
        <v>2.8+2506|IR|delta_rw|regular|2w</v>
      </c>
      <c r="B347" s="0" t="s">
        <v>286</v>
      </c>
      <c r="C347" s="0" t="s">
        <v>68</v>
      </c>
      <c r="D347" s="0" t="s">
        <v>69</v>
      </c>
      <c r="E347" s="0" t="s">
        <v>70</v>
      </c>
      <c r="F347" s="0" t="s">
        <v>24</v>
      </c>
      <c r="G347" s="0" t="n">
        <v>107</v>
      </c>
      <c r="H347" s="0" t="s">
        <v>71</v>
      </c>
      <c r="I347" s="0" t="s">
        <v>287</v>
      </c>
      <c r="J347" s="0" t="s">
        <v>286</v>
      </c>
      <c r="K347" s="0" t="s">
        <v>288</v>
      </c>
      <c r="L347" s="0" t="s">
        <v>74</v>
      </c>
      <c r="M347" s="0" t="s">
        <v>75</v>
      </c>
      <c r="N347" s="0" t="s">
        <v>76</v>
      </c>
      <c r="O347" s="0" t="s">
        <v>77</v>
      </c>
      <c r="P347" s="0" t="s">
        <v>289</v>
      </c>
      <c r="Q347" s="0" t="s">
        <v>79</v>
      </c>
      <c r="R347" s="0" t="s">
        <v>290</v>
      </c>
      <c r="S347" s="0" t="s">
        <v>81</v>
      </c>
      <c r="T347" s="0" t="s">
        <v>82</v>
      </c>
    </row>
    <row r="348" customFormat="false" ht="15" hidden="false" customHeight="false" outlineLevel="0" collapsed="false">
      <c r="A348" s="0" t="str">
        <f aca="false">B348&amp;"|"&amp;C348&amp;"|"&amp;D348&amp;"|"&amp;E348&amp;"|"&amp;F348</f>
        <v>2.8+2506|IR|delta_rw|regular|1m</v>
      </c>
      <c r="B348" s="0" t="s">
        <v>286</v>
      </c>
      <c r="C348" s="0" t="s">
        <v>68</v>
      </c>
      <c r="D348" s="0" t="s">
        <v>69</v>
      </c>
      <c r="E348" s="0" t="s">
        <v>70</v>
      </c>
      <c r="F348" s="0" t="s">
        <v>25</v>
      </c>
      <c r="G348" s="0" t="n">
        <v>101</v>
      </c>
      <c r="H348" s="0" t="s">
        <v>71</v>
      </c>
      <c r="I348" s="0" t="s">
        <v>287</v>
      </c>
      <c r="J348" s="0" t="s">
        <v>286</v>
      </c>
      <c r="K348" s="0" t="s">
        <v>288</v>
      </c>
      <c r="L348" s="0" t="s">
        <v>74</v>
      </c>
      <c r="M348" s="0" t="s">
        <v>75</v>
      </c>
      <c r="N348" s="0" t="s">
        <v>76</v>
      </c>
      <c r="O348" s="0" t="s">
        <v>77</v>
      </c>
      <c r="P348" s="0" t="s">
        <v>289</v>
      </c>
      <c r="Q348" s="0" t="s">
        <v>79</v>
      </c>
      <c r="R348" s="0" t="s">
        <v>290</v>
      </c>
      <c r="S348" s="0" t="s">
        <v>81</v>
      </c>
      <c r="T348" s="0" t="s">
        <v>82</v>
      </c>
    </row>
    <row r="349" customFormat="false" ht="15" hidden="false" customHeight="false" outlineLevel="0" collapsed="false">
      <c r="A349" s="0" t="str">
        <f aca="false">B349&amp;"|"&amp;C349&amp;"|"&amp;D349&amp;"|"&amp;E349&amp;"|"&amp;F349</f>
        <v>2.8+2506|IR|delta_rw|regular|3m</v>
      </c>
      <c r="B349" s="0" t="s">
        <v>286</v>
      </c>
      <c r="C349" s="0" t="s">
        <v>68</v>
      </c>
      <c r="D349" s="0" t="s">
        <v>69</v>
      </c>
      <c r="E349" s="0" t="s">
        <v>70</v>
      </c>
      <c r="F349" s="0" t="s">
        <v>26</v>
      </c>
      <c r="G349" s="0" t="n">
        <v>90</v>
      </c>
      <c r="H349" s="0" t="s">
        <v>71</v>
      </c>
      <c r="I349" s="0" t="s">
        <v>287</v>
      </c>
      <c r="J349" s="0" t="s">
        <v>286</v>
      </c>
      <c r="K349" s="0" t="s">
        <v>288</v>
      </c>
      <c r="L349" s="0" t="s">
        <v>74</v>
      </c>
      <c r="M349" s="0" t="s">
        <v>75</v>
      </c>
      <c r="N349" s="0" t="s">
        <v>76</v>
      </c>
      <c r="O349" s="0" t="s">
        <v>77</v>
      </c>
      <c r="P349" s="0" t="s">
        <v>289</v>
      </c>
      <c r="Q349" s="0" t="s">
        <v>79</v>
      </c>
      <c r="R349" s="0" t="s">
        <v>290</v>
      </c>
      <c r="S349" s="0" t="s">
        <v>81</v>
      </c>
      <c r="T349" s="0" t="s">
        <v>82</v>
      </c>
    </row>
    <row r="350" customFormat="false" ht="15" hidden="false" customHeight="false" outlineLevel="0" collapsed="false">
      <c r="A350" s="0" t="str">
        <f aca="false">B350&amp;"|"&amp;C350&amp;"|"&amp;D350&amp;"|"&amp;E350&amp;"|"&amp;F350</f>
        <v>2.8+2506|IR|delta_rw|regular|6m</v>
      </c>
      <c r="B350" s="0" t="s">
        <v>286</v>
      </c>
      <c r="C350" s="0" t="s">
        <v>68</v>
      </c>
      <c r="D350" s="0" t="s">
        <v>69</v>
      </c>
      <c r="E350" s="0" t="s">
        <v>70</v>
      </c>
      <c r="F350" s="0" t="s">
        <v>27</v>
      </c>
      <c r="G350" s="0" t="n">
        <v>69</v>
      </c>
      <c r="H350" s="0" t="s">
        <v>71</v>
      </c>
      <c r="I350" s="0" t="s">
        <v>287</v>
      </c>
      <c r="J350" s="0" t="s">
        <v>286</v>
      </c>
      <c r="K350" s="0" t="s">
        <v>288</v>
      </c>
      <c r="L350" s="0" t="s">
        <v>74</v>
      </c>
      <c r="M350" s="0" t="s">
        <v>75</v>
      </c>
      <c r="N350" s="0" t="s">
        <v>76</v>
      </c>
      <c r="O350" s="0" t="s">
        <v>77</v>
      </c>
      <c r="P350" s="0" t="s">
        <v>289</v>
      </c>
      <c r="Q350" s="0" t="s">
        <v>79</v>
      </c>
      <c r="R350" s="0" t="s">
        <v>290</v>
      </c>
      <c r="S350" s="0" t="s">
        <v>81</v>
      </c>
      <c r="T350" s="0" t="s">
        <v>82</v>
      </c>
    </row>
    <row r="351" customFormat="false" ht="15" hidden="false" customHeight="false" outlineLevel="0" collapsed="false">
      <c r="A351" s="0" t="str">
        <f aca="false">B351&amp;"|"&amp;C351&amp;"|"&amp;D351&amp;"|"&amp;E351&amp;"|"&amp;F351</f>
        <v>2.8+2506|IR|delta_rw|regular|1y</v>
      </c>
      <c r="B351" s="0" t="s">
        <v>286</v>
      </c>
      <c r="C351" s="0" t="s">
        <v>68</v>
      </c>
      <c r="D351" s="0" t="s">
        <v>69</v>
      </c>
      <c r="E351" s="0" t="s">
        <v>70</v>
      </c>
      <c r="F351" s="0" t="s">
        <v>28</v>
      </c>
      <c r="G351" s="0" t="n">
        <v>68</v>
      </c>
      <c r="H351" s="0" t="s">
        <v>71</v>
      </c>
      <c r="I351" s="0" t="s">
        <v>287</v>
      </c>
      <c r="J351" s="0" t="s">
        <v>286</v>
      </c>
      <c r="K351" s="0" t="s">
        <v>288</v>
      </c>
      <c r="L351" s="0" t="s">
        <v>74</v>
      </c>
      <c r="M351" s="0" t="s">
        <v>75</v>
      </c>
      <c r="N351" s="0" t="s">
        <v>76</v>
      </c>
      <c r="O351" s="0" t="s">
        <v>77</v>
      </c>
      <c r="P351" s="0" t="s">
        <v>289</v>
      </c>
      <c r="Q351" s="0" t="s">
        <v>79</v>
      </c>
      <c r="R351" s="0" t="s">
        <v>290</v>
      </c>
      <c r="S351" s="0" t="s">
        <v>81</v>
      </c>
      <c r="T351" s="0" t="s">
        <v>82</v>
      </c>
    </row>
    <row r="352" customFormat="false" ht="15" hidden="false" customHeight="false" outlineLevel="0" collapsed="false">
      <c r="A352" s="0" t="str">
        <f aca="false">B352&amp;"|"&amp;C352&amp;"|"&amp;D352&amp;"|"&amp;E352&amp;"|"&amp;F352</f>
        <v>2.8+2506|IR|delta_rw|regular|2y</v>
      </c>
      <c r="B352" s="0" t="s">
        <v>286</v>
      </c>
      <c r="C352" s="0" t="s">
        <v>68</v>
      </c>
      <c r="D352" s="0" t="s">
        <v>69</v>
      </c>
      <c r="E352" s="0" t="s">
        <v>70</v>
      </c>
      <c r="F352" s="0" t="s">
        <v>29</v>
      </c>
      <c r="G352" s="0" t="n">
        <v>69</v>
      </c>
      <c r="H352" s="0" t="s">
        <v>71</v>
      </c>
      <c r="I352" s="0" t="s">
        <v>287</v>
      </c>
      <c r="J352" s="0" t="s">
        <v>286</v>
      </c>
      <c r="K352" s="0" t="s">
        <v>288</v>
      </c>
      <c r="L352" s="0" t="s">
        <v>74</v>
      </c>
      <c r="M352" s="0" t="s">
        <v>75</v>
      </c>
      <c r="N352" s="0" t="s">
        <v>76</v>
      </c>
      <c r="O352" s="0" t="s">
        <v>77</v>
      </c>
      <c r="P352" s="0" t="s">
        <v>289</v>
      </c>
      <c r="Q352" s="0" t="s">
        <v>79</v>
      </c>
      <c r="R352" s="0" t="s">
        <v>290</v>
      </c>
      <c r="S352" s="0" t="s">
        <v>81</v>
      </c>
      <c r="T352" s="0" t="s">
        <v>82</v>
      </c>
    </row>
    <row r="353" customFormat="false" ht="15" hidden="false" customHeight="false" outlineLevel="0" collapsed="false">
      <c r="A353" s="0" t="str">
        <f aca="false">B353&amp;"|"&amp;C353&amp;"|"&amp;D353&amp;"|"&amp;E353&amp;"|"&amp;F353</f>
        <v>2.8+2506|IR|delta_rw|regular|3y</v>
      </c>
      <c r="B353" s="0" t="s">
        <v>286</v>
      </c>
      <c r="C353" s="0" t="s">
        <v>68</v>
      </c>
      <c r="D353" s="0" t="s">
        <v>69</v>
      </c>
      <c r="E353" s="0" t="s">
        <v>70</v>
      </c>
      <c r="F353" s="0" t="s">
        <v>30</v>
      </c>
      <c r="G353" s="0" t="n">
        <v>66</v>
      </c>
      <c r="H353" s="0" t="s">
        <v>71</v>
      </c>
      <c r="I353" s="0" t="s">
        <v>287</v>
      </c>
      <c r="J353" s="0" t="s">
        <v>286</v>
      </c>
      <c r="K353" s="0" t="s">
        <v>288</v>
      </c>
      <c r="L353" s="0" t="s">
        <v>74</v>
      </c>
      <c r="M353" s="0" t="s">
        <v>75</v>
      </c>
      <c r="N353" s="0" t="s">
        <v>76</v>
      </c>
      <c r="O353" s="0" t="s">
        <v>77</v>
      </c>
      <c r="P353" s="0" t="s">
        <v>289</v>
      </c>
      <c r="Q353" s="0" t="s">
        <v>79</v>
      </c>
      <c r="R353" s="0" t="s">
        <v>290</v>
      </c>
      <c r="S353" s="0" t="s">
        <v>81</v>
      </c>
      <c r="T353" s="0" t="s">
        <v>82</v>
      </c>
    </row>
    <row r="354" customFormat="false" ht="15" hidden="false" customHeight="false" outlineLevel="0" collapsed="false">
      <c r="A354" s="0" t="str">
        <f aca="false">B354&amp;"|"&amp;C354&amp;"|"&amp;D354&amp;"|"&amp;E354&amp;"|"&amp;F354</f>
        <v>2.8+2506|IR|delta_rw|regular|5y</v>
      </c>
      <c r="B354" s="0" t="s">
        <v>286</v>
      </c>
      <c r="C354" s="0" t="s">
        <v>68</v>
      </c>
      <c r="D354" s="0" t="s">
        <v>69</v>
      </c>
      <c r="E354" s="0" t="s">
        <v>70</v>
      </c>
      <c r="F354" s="0" t="s">
        <v>31</v>
      </c>
      <c r="G354" s="0" t="n">
        <v>61</v>
      </c>
      <c r="H354" s="0" t="s">
        <v>71</v>
      </c>
      <c r="I354" s="0" t="s">
        <v>287</v>
      </c>
      <c r="J354" s="0" t="s">
        <v>286</v>
      </c>
      <c r="K354" s="0" t="s">
        <v>288</v>
      </c>
      <c r="L354" s="0" t="s">
        <v>74</v>
      </c>
      <c r="M354" s="0" t="s">
        <v>75</v>
      </c>
      <c r="N354" s="0" t="s">
        <v>76</v>
      </c>
      <c r="O354" s="0" t="s">
        <v>77</v>
      </c>
      <c r="P354" s="0" t="s">
        <v>289</v>
      </c>
      <c r="Q354" s="0" t="s">
        <v>79</v>
      </c>
      <c r="R354" s="0" t="s">
        <v>290</v>
      </c>
      <c r="S354" s="0" t="s">
        <v>81</v>
      </c>
      <c r="T354" s="0" t="s">
        <v>82</v>
      </c>
    </row>
    <row r="355" customFormat="false" ht="15" hidden="false" customHeight="false" outlineLevel="0" collapsed="false">
      <c r="A355" s="0" t="str">
        <f aca="false">B355&amp;"|"&amp;C355&amp;"|"&amp;D355&amp;"|"&amp;E355&amp;"|"&amp;F355</f>
        <v>2.8+2506|IR|delta_rw|regular|10y</v>
      </c>
      <c r="B355" s="0" t="s">
        <v>286</v>
      </c>
      <c r="C355" s="0" t="s">
        <v>68</v>
      </c>
      <c r="D355" s="0" t="s">
        <v>69</v>
      </c>
      <c r="E355" s="0" t="s">
        <v>70</v>
      </c>
      <c r="F355" s="0" t="s">
        <v>32</v>
      </c>
      <c r="G355" s="0" t="n">
        <v>60</v>
      </c>
      <c r="H355" s="0" t="s">
        <v>71</v>
      </c>
      <c r="I355" s="0" t="s">
        <v>287</v>
      </c>
      <c r="J355" s="0" t="s">
        <v>286</v>
      </c>
      <c r="K355" s="0" t="s">
        <v>288</v>
      </c>
      <c r="L355" s="0" t="s">
        <v>74</v>
      </c>
      <c r="M355" s="0" t="s">
        <v>75</v>
      </c>
      <c r="N355" s="0" t="s">
        <v>76</v>
      </c>
      <c r="O355" s="0" t="s">
        <v>77</v>
      </c>
      <c r="P355" s="0" t="s">
        <v>289</v>
      </c>
      <c r="Q355" s="0" t="s">
        <v>79</v>
      </c>
      <c r="R355" s="0" t="s">
        <v>290</v>
      </c>
      <c r="S355" s="0" t="s">
        <v>81</v>
      </c>
      <c r="T355" s="0" t="s">
        <v>82</v>
      </c>
    </row>
    <row r="356" customFormat="false" ht="15" hidden="false" customHeight="false" outlineLevel="0" collapsed="false">
      <c r="A356" s="0" t="str">
        <f aca="false">B356&amp;"|"&amp;C356&amp;"|"&amp;D356&amp;"|"&amp;E356&amp;"|"&amp;F356</f>
        <v>2.8+2506|IR|delta_rw|regular|15y</v>
      </c>
      <c r="B356" s="0" t="s">
        <v>286</v>
      </c>
      <c r="C356" s="0" t="s">
        <v>68</v>
      </c>
      <c r="D356" s="0" t="s">
        <v>69</v>
      </c>
      <c r="E356" s="0" t="s">
        <v>70</v>
      </c>
      <c r="F356" s="0" t="s">
        <v>33</v>
      </c>
      <c r="G356" s="0" t="n">
        <v>58</v>
      </c>
      <c r="H356" s="0" t="s">
        <v>71</v>
      </c>
      <c r="I356" s="0" t="s">
        <v>287</v>
      </c>
      <c r="J356" s="0" t="s">
        <v>286</v>
      </c>
      <c r="K356" s="0" t="s">
        <v>288</v>
      </c>
      <c r="L356" s="0" t="s">
        <v>74</v>
      </c>
      <c r="M356" s="0" t="s">
        <v>75</v>
      </c>
      <c r="N356" s="0" t="s">
        <v>76</v>
      </c>
      <c r="O356" s="0" t="s">
        <v>77</v>
      </c>
      <c r="P356" s="0" t="s">
        <v>289</v>
      </c>
      <c r="Q356" s="0" t="s">
        <v>79</v>
      </c>
      <c r="R356" s="0" t="s">
        <v>290</v>
      </c>
      <c r="S356" s="0" t="s">
        <v>81</v>
      </c>
      <c r="T356" s="0" t="s">
        <v>82</v>
      </c>
    </row>
    <row r="357" customFormat="false" ht="15" hidden="false" customHeight="false" outlineLevel="0" collapsed="false">
      <c r="A357" s="0" t="str">
        <f aca="false">B357&amp;"|"&amp;C357&amp;"|"&amp;D357&amp;"|"&amp;E357&amp;"|"&amp;F357</f>
        <v>2.8+2506|IR|delta_rw|regular|20y</v>
      </c>
      <c r="B357" s="0" t="s">
        <v>286</v>
      </c>
      <c r="C357" s="0" t="s">
        <v>68</v>
      </c>
      <c r="D357" s="0" t="s">
        <v>69</v>
      </c>
      <c r="E357" s="0" t="s">
        <v>70</v>
      </c>
      <c r="F357" s="0" t="s">
        <v>34</v>
      </c>
      <c r="G357" s="0" t="n">
        <v>58</v>
      </c>
      <c r="H357" s="0" t="s">
        <v>71</v>
      </c>
      <c r="I357" s="0" t="s">
        <v>287</v>
      </c>
      <c r="J357" s="0" t="s">
        <v>286</v>
      </c>
      <c r="K357" s="0" t="s">
        <v>288</v>
      </c>
      <c r="L357" s="0" t="s">
        <v>74</v>
      </c>
      <c r="M357" s="0" t="s">
        <v>75</v>
      </c>
      <c r="N357" s="0" t="s">
        <v>76</v>
      </c>
      <c r="O357" s="0" t="s">
        <v>77</v>
      </c>
      <c r="P357" s="0" t="s">
        <v>289</v>
      </c>
      <c r="Q357" s="0" t="s">
        <v>79</v>
      </c>
      <c r="R357" s="0" t="s">
        <v>290</v>
      </c>
      <c r="S357" s="0" t="s">
        <v>81</v>
      </c>
      <c r="T357" s="0" t="s">
        <v>82</v>
      </c>
    </row>
    <row r="358" customFormat="false" ht="15" hidden="false" customHeight="false" outlineLevel="0" collapsed="false">
      <c r="A358" s="0" t="str">
        <f aca="false">B358&amp;"|"&amp;C358&amp;"|"&amp;D358&amp;"|"&amp;E358&amp;"|"&amp;F358</f>
        <v>2.8+2506|IR|delta_rw|regular|30y</v>
      </c>
      <c r="B358" s="0" t="s">
        <v>286</v>
      </c>
      <c r="C358" s="0" t="s">
        <v>68</v>
      </c>
      <c r="D358" s="0" t="s">
        <v>69</v>
      </c>
      <c r="E358" s="0" t="s">
        <v>70</v>
      </c>
      <c r="F358" s="0" t="s">
        <v>35</v>
      </c>
      <c r="G358" s="0" t="n">
        <v>66</v>
      </c>
      <c r="H358" s="0" t="s">
        <v>71</v>
      </c>
      <c r="I358" s="0" t="s">
        <v>287</v>
      </c>
      <c r="J358" s="0" t="s">
        <v>286</v>
      </c>
      <c r="K358" s="0" t="s">
        <v>288</v>
      </c>
      <c r="L358" s="0" t="s">
        <v>74</v>
      </c>
      <c r="M358" s="0" t="s">
        <v>75</v>
      </c>
      <c r="N358" s="0" t="s">
        <v>76</v>
      </c>
      <c r="O358" s="0" t="s">
        <v>77</v>
      </c>
      <c r="P358" s="0" t="s">
        <v>289</v>
      </c>
      <c r="Q358" s="0" t="s">
        <v>79</v>
      </c>
      <c r="R358" s="0" t="s">
        <v>290</v>
      </c>
      <c r="S358" s="0" t="s">
        <v>81</v>
      </c>
      <c r="T358" s="0" t="s">
        <v>82</v>
      </c>
    </row>
    <row r="359" customFormat="false" ht="15" hidden="false" customHeight="false" outlineLevel="0" collapsed="false">
      <c r="A359" s="0" t="str">
        <f aca="false">B359&amp;"|"&amp;C359&amp;"|"&amp;D359&amp;"|"&amp;E359&amp;"|"&amp;F359</f>
        <v>2.8+2506|IR|delta_rw|low|2w</v>
      </c>
      <c r="B359" s="0" t="s">
        <v>286</v>
      </c>
      <c r="C359" s="0" t="s">
        <v>68</v>
      </c>
      <c r="D359" s="0" t="s">
        <v>69</v>
      </c>
      <c r="E359" s="0" t="s">
        <v>83</v>
      </c>
      <c r="F359" s="0" t="s">
        <v>24</v>
      </c>
      <c r="G359" s="0" t="n">
        <v>15</v>
      </c>
      <c r="H359" s="0" t="s">
        <v>71</v>
      </c>
      <c r="I359" s="0" t="s">
        <v>287</v>
      </c>
      <c r="J359" s="0" t="s">
        <v>286</v>
      </c>
      <c r="K359" s="0" t="s">
        <v>288</v>
      </c>
      <c r="L359" s="0" t="s">
        <v>74</v>
      </c>
      <c r="M359" s="0" t="s">
        <v>75</v>
      </c>
      <c r="N359" s="0" t="s">
        <v>84</v>
      </c>
      <c r="O359" s="0" t="s">
        <v>77</v>
      </c>
      <c r="P359" s="0" t="s">
        <v>289</v>
      </c>
      <c r="Q359" s="0" t="s">
        <v>79</v>
      </c>
      <c r="R359" s="0" t="s">
        <v>290</v>
      </c>
      <c r="S359" s="0" t="s">
        <v>81</v>
      </c>
      <c r="T359" s="0" t="s">
        <v>82</v>
      </c>
    </row>
    <row r="360" customFormat="false" ht="15" hidden="false" customHeight="false" outlineLevel="0" collapsed="false">
      <c r="A360" s="0" t="str">
        <f aca="false">B360&amp;"|"&amp;C360&amp;"|"&amp;D360&amp;"|"&amp;E360&amp;"|"&amp;F360</f>
        <v>2.8+2506|IR|delta_rw|low|1m</v>
      </c>
      <c r="B360" s="0" t="s">
        <v>286</v>
      </c>
      <c r="C360" s="0" t="s">
        <v>68</v>
      </c>
      <c r="D360" s="0" t="s">
        <v>69</v>
      </c>
      <c r="E360" s="0" t="s">
        <v>83</v>
      </c>
      <c r="F360" s="0" t="s">
        <v>25</v>
      </c>
      <c r="G360" s="0" t="n">
        <v>18</v>
      </c>
      <c r="H360" s="0" t="s">
        <v>71</v>
      </c>
      <c r="I360" s="0" t="s">
        <v>287</v>
      </c>
      <c r="J360" s="0" t="s">
        <v>286</v>
      </c>
      <c r="K360" s="0" t="s">
        <v>288</v>
      </c>
      <c r="L360" s="0" t="s">
        <v>74</v>
      </c>
      <c r="M360" s="0" t="s">
        <v>75</v>
      </c>
      <c r="N360" s="0" t="s">
        <v>84</v>
      </c>
      <c r="O360" s="0" t="s">
        <v>77</v>
      </c>
      <c r="P360" s="0" t="s">
        <v>289</v>
      </c>
      <c r="Q360" s="0" t="s">
        <v>79</v>
      </c>
      <c r="R360" s="0" t="s">
        <v>290</v>
      </c>
      <c r="S360" s="0" t="s">
        <v>81</v>
      </c>
      <c r="T360" s="0" t="s">
        <v>82</v>
      </c>
    </row>
    <row r="361" customFormat="false" ht="15" hidden="false" customHeight="false" outlineLevel="0" collapsed="false">
      <c r="A361" s="0" t="str">
        <f aca="false">B361&amp;"|"&amp;C361&amp;"|"&amp;D361&amp;"|"&amp;E361&amp;"|"&amp;F361</f>
        <v>2.8+2506|IR|delta_rw|low|3m</v>
      </c>
      <c r="B361" s="0" t="s">
        <v>286</v>
      </c>
      <c r="C361" s="0" t="s">
        <v>68</v>
      </c>
      <c r="D361" s="0" t="s">
        <v>69</v>
      </c>
      <c r="E361" s="0" t="s">
        <v>83</v>
      </c>
      <c r="F361" s="0" t="s">
        <v>26</v>
      </c>
      <c r="G361" s="0" t="n">
        <v>12</v>
      </c>
      <c r="H361" s="0" t="s">
        <v>71</v>
      </c>
      <c r="I361" s="0" t="s">
        <v>287</v>
      </c>
      <c r="J361" s="0" t="s">
        <v>286</v>
      </c>
      <c r="K361" s="0" t="s">
        <v>288</v>
      </c>
      <c r="L361" s="0" t="s">
        <v>74</v>
      </c>
      <c r="M361" s="0" t="s">
        <v>75</v>
      </c>
      <c r="N361" s="0" t="s">
        <v>84</v>
      </c>
      <c r="O361" s="0" t="s">
        <v>77</v>
      </c>
      <c r="P361" s="0" t="s">
        <v>289</v>
      </c>
      <c r="Q361" s="0" t="s">
        <v>79</v>
      </c>
      <c r="R361" s="0" t="s">
        <v>290</v>
      </c>
      <c r="S361" s="0" t="s">
        <v>81</v>
      </c>
      <c r="T361" s="0" t="s">
        <v>82</v>
      </c>
    </row>
    <row r="362" customFormat="false" ht="15" hidden="false" customHeight="false" outlineLevel="0" collapsed="false">
      <c r="A362" s="0" t="str">
        <f aca="false">B362&amp;"|"&amp;C362&amp;"|"&amp;D362&amp;"|"&amp;E362&amp;"|"&amp;F362</f>
        <v>2.8+2506|IR|delta_rw|low|6m</v>
      </c>
      <c r="B362" s="0" t="s">
        <v>286</v>
      </c>
      <c r="C362" s="0" t="s">
        <v>68</v>
      </c>
      <c r="D362" s="0" t="s">
        <v>69</v>
      </c>
      <c r="E362" s="0" t="s">
        <v>83</v>
      </c>
      <c r="F362" s="0" t="s">
        <v>27</v>
      </c>
      <c r="G362" s="0" t="n">
        <v>11</v>
      </c>
      <c r="H362" s="0" t="s">
        <v>71</v>
      </c>
      <c r="I362" s="0" t="s">
        <v>287</v>
      </c>
      <c r="J362" s="0" t="s">
        <v>286</v>
      </c>
      <c r="K362" s="0" t="s">
        <v>288</v>
      </c>
      <c r="L362" s="0" t="s">
        <v>74</v>
      </c>
      <c r="M362" s="0" t="s">
        <v>75</v>
      </c>
      <c r="N362" s="0" t="s">
        <v>84</v>
      </c>
      <c r="O362" s="0" t="s">
        <v>77</v>
      </c>
      <c r="P362" s="0" t="s">
        <v>289</v>
      </c>
      <c r="Q362" s="0" t="s">
        <v>79</v>
      </c>
      <c r="R362" s="0" t="s">
        <v>290</v>
      </c>
      <c r="S362" s="0" t="s">
        <v>81</v>
      </c>
      <c r="T362" s="0" t="s">
        <v>82</v>
      </c>
    </row>
    <row r="363" customFormat="false" ht="15" hidden="false" customHeight="false" outlineLevel="0" collapsed="false">
      <c r="A363" s="0" t="str">
        <f aca="false">B363&amp;"|"&amp;C363&amp;"|"&amp;D363&amp;"|"&amp;E363&amp;"|"&amp;F363</f>
        <v>2.8+2506|IR|delta_rw|low|1y</v>
      </c>
      <c r="B363" s="0" t="s">
        <v>286</v>
      </c>
      <c r="C363" s="0" t="s">
        <v>68</v>
      </c>
      <c r="D363" s="0" t="s">
        <v>69</v>
      </c>
      <c r="E363" s="0" t="s">
        <v>83</v>
      </c>
      <c r="F363" s="0" t="s">
        <v>28</v>
      </c>
      <c r="G363" s="0" t="n">
        <v>15</v>
      </c>
      <c r="H363" s="0" t="s">
        <v>71</v>
      </c>
      <c r="I363" s="0" t="s">
        <v>287</v>
      </c>
      <c r="J363" s="0" t="s">
        <v>286</v>
      </c>
      <c r="K363" s="0" t="s">
        <v>288</v>
      </c>
      <c r="L363" s="0" t="s">
        <v>74</v>
      </c>
      <c r="M363" s="0" t="s">
        <v>75</v>
      </c>
      <c r="N363" s="0" t="s">
        <v>84</v>
      </c>
      <c r="O363" s="0" t="s">
        <v>77</v>
      </c>
      <c r="P363" s="0" t="s">
        <v>289</v>
      </c>
      <c r="Q363" s="0" t="s">
        <v>79</v>
      </c>
      <c r="R363" s="0" t="s">
        <v>290</v>
      </c>
      <c r="S363" s="0" t="s">
        <v>81</v>
      </c>
      <c r="T363" s="0" t="s">
        <v>82</v>
      </c>
    </row>
    <row r="364" customFormat="false" ht="15" hidden="false" customHeight="false" outlineLevel="0" collapsed="false">
      <c r="A364" s="0" t="str">
        <f aca="false">B364&amp;"|"&amp;C364&amp;"|"&amp;D364&amp;"|"&amp;E364&amp;"|"&amp;F364</f>
        <v>2.8+2506|IR|delta_rw|low|2y</v>
      </c>
      <c r="B364" s="0" t="s">
        <v>286</v>
      </c>
      <c r="C364" s="0" t="s">
        <v>68</v>
      </c>
      <c r="D364" s="0" t="s">
        <v>69</v>
      </c>
      <c r="E364" s="0" t="s">
        <v>83</v>
      </c>
      <c r="F364" s="0" t="s">
        <v>29</v>
      </c>
      <c r="G364" s="0" t="n">
        <v>21</v>
      </c>
      <c r="H364" s="0" t="s">
        <v>71</v>
      </c>
      <c r="I364" s="0" t="s">
        <v>287</v>
      </c>
      <c r="J364" s="0" t="s">
        <v>286</v>
      </c>
      <c r="K364" s="0" t="s">
        <v>288</v>
      </c>
      <c r="L364" s="0" t="s">
        <v>74</v>
      </c>
      <c r="M364" s="0" t="s">
        <v>75</v>
      </c>
      <c r="N364" s="0" t="s">
        <v>84</v>
      </c>
      <c r="O364" s="0" t="s">
        <v>77</v>
      </c>
      <c r="P364" s="0" t="s">
        <v>289</v>
      </c>
      <c r="Q364" s="0" t="s">
        <v>79</v>
      </c>
      <c r="R364" s="0" t="s">
        <v>290</v>
      </c>
      <c r="S364" s="0" t="s">
        <v>81</v>
      </c>
      <c r="T364" s="0" t="s">
        <v>82</v>
      </c>
    </row>
    <row r="365" customFormat="false" ht="15" hidden="false" customHeight="false" outlineLevel="0" collapsed="false">
      <c r="A365" s="0" t="str">
        <f aca="false">B365&amp;"|"&amp;C365&amp;"|"&amp;D365&amp;"|"&amp;E365&amp;"|"&amp;F365</f>
        <v>2.8+2506|IR|delta_rw|low|3y</v>
      </c>
      <c r="B365" s="0" t="s">
        <v>286</v>
      </c>
      <c r="C365" s="0" t="s">
        <v>68</v>
      </c>
      <c r="D365" s="0" t="s">
        <v>69</v>
      </c>
      <c r="E365" s="0" t="s">
        <v>83</v>
      </c>
      <c r="F365" s="0" t="s">
        <v>30</v>
      </c>
      <c r="G365" s="0" t="n">
        <v>23</v>
      </c>
      <c r="H365" s="0" t="s">
        <v>71</v>
      </c>
      <c r="I365" s="0" t="s">
        <v>287</v>
      </c>
      <c r="J365" s="0" t="s">
        <v>286</v>
      </c>
      <c r="K365" s="0" t="s">
        <v>288</v>
      </c>
      <c r="L365" s="0" t="s">
        <v>74</v>
      </c>
      <c r="M365" s="0" t="s">
        <v>75</v>
      </c>
      <c r="N365" s="0" t="s">
        <v>84</v>
      </c>
      <c r="O365" s="0" t="s">
        <v>77</v>
      </c>
      <c r="P365" s="0" t="s">
        <v>289</v>
      </c>
      <c r="Q365" s="0" t="s">
        <v>79</v>
      </c>
      <c r="R365" s="0" t="s">
        <v>290</v>
      </c>
      <c r="S365" s="0" t="s">
        <v>81</v>
      </c>
      <c r="T365" s="0" t="s">
        <v>82</v>
      </c>
    </row>
    <row r="366" customFormat="false" ht="15" hidden="false" customHeight="false" outlineLevel="0" collapsed="false">
      <c r="A366" s="0" t="str">
        <f aca="false">B366&amp;"|"&amp;C366&amp;"|"&amp;D366&amp;"|"&amp;E366&amp;"|"&amp;F366</f>
        <v>2.8+2506|IR|delta_rw|low|5y</v>
      </c>
      <c r="B366" s="0" t="s">
        <v>286</v>
      </c>
      <c r="C366" s="0" t="s">
        <v>68</v>
      </c>
      <c r="D366" s="0" t="s">
        <v>69</v>
      </c>
      <c r="E366" s="0" t="s">
        <v>83</v>
      </c>
      <c r="F366" s="0" t="s">
        <v>31</v>
      </c>
      <c r="G366" s="0" t="n">
        <v>25</v>
      </c>
      <c r="H366" s="0" t="s">
        <v>71</v>
      </c>
      <c r="I366" s="0" t="s">
        <v>287</v>
      </c>
      <c r="J366" s="0" t="s">
        <v>286</v>
      </c>
      <c r="K366" s="0" t="s">
        <v>288</v>
      </c>
      <c r="L366" s="0" t="s">
        <v>74</v>
      </c>
      <c r="M366" s="0" t="s">
        <v>75</v>
      </c>
      <c r="N366" s="0" t="s">
        <v>84</v>
      </c>
      <c r="O366" s="0" t="s">
        <v>77</v>
      </c>
      <c r="P366" s="0" t="s">
        <v>289</v>
      </c>
      <c r="Q366" s="0" t="s">
        <v>79</v>
      </c>
      <c r="R366" s="0" t="s">
        <v>290</v>
      </c>
      <c r="S366" s="0" t="s">
        <v>81</v>
      </c>
      <c r="T366" s="0" t="s">
        <v>82</v>
      </c>
    </row>
    <row r="367" customFormat="false" ht="15" hidden="false" customHeight="false" outlineLevel="0" collapsed="false">
      <c r="A367" s="0" t="str">
        <f aca="false">B367&amp;"|"&amp;C367&amp;"|"&amp;D367&amp;"|"&amp;E367&amp;"|"&amp;F367</f>
        <v>2.8+2506|IR|delta_rw|low|10y</v>
      </c>
      <c r="B367" s="0" t="s">
        <v>286</v>
      </c>
      <c r="C367" s="0" t="s">
        <v>68</v>
      </c>
      <c r="D367" s="0" t="s">
        <v>69</v>
      </c>
      <c r="E367" s="0" t="s">
        <v>83</v>
      </c>
      <c r="F367" s="0" t="s">
        <v>32</v>
      </c>
      <c r="G367" s="0" t="n">
        <v>29</v>
      </c>
      <c r="H367" s="0" t="s">
        <v>71</v>
      </c>
      <c r="I367" s="0" t="s">
        <v>287</v>
      </c>
      <c r="J367" s="0" t="s">
        <v>286</v>
      </c>
      <c r="K367" s="0" t="s">
        <v>288</v>
      </c>
      <c r="L367" s="0" t="s">
        <v>74</v>
      </c>
      <c r="M367" s="0" t="s">
        <v>75</v>
      </c>
      <c r="N367" s="0" t="s">
        <v>84</v>
      </c>
      <c r="O367" s="0" t="s">
        <v>77</v>
      </c>
      <c r="P367" s="0" t="s">
        <v>289</v>
      </c>
      <c r="Q367" s="0" t="s">
        <v>79</v>
      </c>
      <c r="R367" s="0" t="s">
        <v>290</v>
      </c>
      <c r="S367" s="0" t="s">
        <v>81</v>
      </c>
      <c r="T367" s="0" t="s">
        <v>82</v>
      </c>
    </row>
    <row r="368" customFormat="false" ht="15" hidden="false" customHeight="false" outlineLevel="0" collapsed="false">
      <c r="A368" s="0" t="str">
        <f aca="false">B368&amp;"|"&amp;C368&amp;"|"&amp;D368&amp;"|"&amp;E368&amp;"|"&amp;F368</f>
        <v>2.8+2506|IR|delta_rw|low|15y</v>
      </c>
      <c r="B368" s="0" t="s">
        <v>286</v>
      </c>
      <c r="C368" s="0" t="s">
        <v>68</v>
      </c>
      <c r="D368" s="0" t="s">
        <v>69</v>
      </c>
      <c r="E368" s="0" t="s">
        <v>83</v>
      </c>
      <c r="F368" s="0" t="s">
        <v>33</v>
      </c>
      <c r="G368" s="0" t="n">
        <v>27</v>
      </c>
      <c r="H368" s="0" t="s">
        <v>71</v>
      </c>
      <c r="I368" s="0" t="s">
        <v>287</v>
      </c>
      <c r="J368" s="0" t="s">
        <v>286</v>
      </c>
      <c r="K368" s="0" t="s">
        <v>288</v>
      </c>
      <c r="L368" s="0" t="s">
        <v>74</v>
      </c>
      <c r="M368" s="0" t="s">
        <v>75</v>
      </c>
      <c r="N368" s="0" t="s">
        <v>84</v>
      </c>
      <c r="O368" s="0" t="s">
        <v>77</v>
      </c>
      <c r="P368" s="0" t="s">
        <v>289</v>
      </c>
      <c r="Q368" s="0" t="s">
        <v>79</v>
      </c>
      <c r="R368" s="0" t="s">
        <v>290</v>
      </c>
      <c r="S368" s="0" t="s">
        <v>81</v>
      </c>
      <c r="T368" s="0" t="s">
        <v>82</v>
      </c>
    </row>
    <row r="369" customFormat="false" ht="15" hidden="false" customHeight="false" outlineLevel="0" collapsed="false">
      <c r="A369" s="0" t="str">
        <f aca="false">B369&amp;"|"&amp;C369&amp;"|"&amp;D369&amp;"|"&amp;E369&amp;"|"&amp;F369</f>
        <v>2.8+2506|IR|delta_rw|low|20y</v>
      </c>
      <c r="B369" s="0" t="s">
        <v>286</v>
      </c>
      <c r="C369" s="0" t="s">
        <v>68</v>
      </c>
      <c r="D369" s="0" t="s">
        <v>69</v>
      </c>
      <c r="E369" s="0" t="s">
        <v>83</v>
      </c>
      <c r="F369" s="0" t="s">
        <v>34</v>
      </c>
      <c r="G369" s="0" t="n">
        <v>26</v>
      </c>
      <c r="H369" s="0" t="s">
        <v>71</v>
      </c>
      <c r="I369" s="0" t="s">
        <v>287</v>
      </c>
      <c r="J369" s="0" t="s">
        <v>286</v>
      </c>
      <c r="K369" s="0" t="s">
        <v>288</v>
      </c>
      <c r="L369" s="0" t="s">
        <v>74</v>
      </c>
      <c r="M369" s="0" t="s">
        <v>75</v>
      </c>
      <c r="N369" s="0" t="s">
        <v>84</v>
      </c>
      <c r="O369" s="0" t="s">
        <v>77</v>
      </c>
      <c r="P369" s="0" t="s">
        <v>289</v>
      </c>
      <c r="Q369" s="0" t="s">
        <v>79</v>
      </c>
      <c r="R369" s="0" t="s">
        <v>290</v>
      </c>
      <c r="S369" s="0" t="s">
        <v>81</v>
      </c>
      <c r="T369" s="0" t="s">
        <v>82</v>
      </c>
    </row>
    <row r="370" customFormat="false" ht="15" hidden="false" customHeight="false" outlineLevel="0" collapsed="false">
      <c r="A370" s="0" t="str">
        <f aca="false">B370&amp;"|"&amp;C370&amp;"|"&amp;D370&amp;"|"&amp;E370&amp;"|"&amp;F370</f>
        <v>2.8+2506|IR|delta_rw|low|30y</v>
      </c>
      <c r="B370" s="0" t="s">
        <v>286</v>
      </c>
      <c r="C370" s="0" t="s">
        <v>68</v>
      </c>
      <c r="D370" s="0" t="s">
        <v>69</v>
      </c>
      <c r="E370" s="0" t="s">
        <v>83</v>
      </c>
      <c r="F370" s="0" t="s">
        <v>35</v>
      </c>
      <c r="G370" s="0" t="n">
        <v>28</v>
      </c>
      <c r="H370" s="0" t="s">
        <v>71</v>
      </c>
      <c r="I370" s="0" t="s">
        <v>287</v>
      </c>
      <c r="J370" s="0" t="s">
        <v>286</v>
      </c>
      <c r="K370" s="0" t="s">
        <v>288</v>
      </c>
      <c r="L370" s="0" t="s">
        <v>74</v>
      </c>
      <c r="M370" s="0" t="s">
        <v>75</v>
      </c>
      <c r="N370" s="0" t="s">
        <v>84</v>
      </c>
      <c r="O370" s="0" t="s">
        <v>77</v>
      </c>
      <c r="P370" s="0" t="s">
        <v>289</v>
      </c>
      <c r="Q370" s="0" t="s">
        <v>79</v>
      </c>
      <c r="R370" s="0" t="s">
        <v>290</v>
      </c>
      <c r="S370" s="0" t="s">
        <v>81</v>
      </c>
      <c r="T370" s="0" t="s">
        <v>82</v>
      </c>
    </row>
    <row r="371" customFormat="false" ht="15" hidden="false" customHeight="false" outlineLevel="0" collapsed="false">
      <c r="A371" s="0" t="str">
        <f aca="false">B371&amp;"|"&amp;C371&amp;"|"&amp;D371&amp;"|"&amp;E371&amp;"|"&amp;F371</f>
        <v>2.8+2506|IR|delta_rw|high|2w</v>
      </c>
      <c r="B371" s="0" t="s">
        <v>286</v>
      </c>
      <c r="C371" s="0" t="s">
        <v>68</v>
      </c>
      <c r="D371" s="0" t="s">
        <v>69</v>
      </c>
      <c r="E371" s="0" t="s">
        <v>85</v>
      </c>
      <c r="F371" s="0" t="s">
        <v>24</v>
      </c>
      <c r="G371" s="0" t="n">
        <v>167</v>
      </c>
      <c r="H371" s="0" t="s">
        <v>71</v>
      </c>
      <c r="I371" s="0" t="s">
        <v>287</v>
      </c>
      <c r="J371" s="0" t="s">
        <v>286</v>
      </c>
      <c r="K371" s="0" t="s">
        <v>288</v>
      </c>
      <c r="L371" s="0" t="s">
        <v>74</v>
      </c>
      <c r="M371" s="0" t="s">
        <v>75</v>
      </c>
      <c r="N371" s="0" t="s">
        <v>86</v>
      </c>
      <c r="O371" s="0" t="s">
        <v>77</v>
      </c>
      <c r="P371" s="0" t="s">
        <v>289</v>
      </c>
      <c r="Q371" s="0" t="s">
        <v>79</v>
      </c>
      <c r="R371" s="0" t="s">
        <v>290</v>
      </c>
      <c r="S371" s="0" t="s">
        <v>81</v>
      </c>
      <c r="T371" s="0" t="s">
        <v>82</v>
      </c>
    </row>
    <row r="372" customFormat="false" ht="15" hidden="false" customHeight="false" outlineLevel="0" collapsed="false">
      <c r="A372" s="0" t="str">
        <f aca="false">B372&amp;"|"&amp;C372&amp;"|"&amp;D372&amp;"|"&amp;E372&amp;"|"&amp;F372</f>
        <v>2.8+2506|IR|delta_rw|high|1m</v>
      </c>
      <c r="B372" s="0" t="s">
        <v>286</v>
      </c>
      <c r="C372" s="0" t="s">
        <v>68</v>
      </c>
      <c r="D372" s="0" t="s">
        <v>69</v>
      </c>
      <c r="E372" s="0" t="s">
        <v>85</v>
      </c>
      <c r="F372" s="0" t="s">
        <v>25</v>
      </c>
      <c r="G372" s="0" t="n">
        <v>102</v>
      </c>
      <c r="H372" s="0" t="s">
        <v>71</v>
      </c>
      <c r="I372" s="0" t="s">
        <v>287</v>
      </c>
      <c r="J372" s="0" t="s">
        <v>286</v>
      </c>
      <c r="K372" s="0" t="s">
        <v>288</v>
      </c>
      <c r="L372" s="0" t="s">
        <v>74</v>
      </c>
      <c r="M372" s="0" t="s">
        <v>75</v>
      </c>
      <c r="N372" s="0" t="s">
        <v>86</v>
      </c>
      <c r="O372" s="0" t="s">
        <v>77</v>
      </c>
      <c r="P372" s="0" t="s">
        <v>289</v>
      </c>
      <c r="Q372" s="0" t="s">
        <v>79</v>
      </c>
      <c r="R372" s="0" t="s">
        <v>290</v>
      </c>
      <c r="S372" s="0" t="s">
        <v>81</v>
      </c>
      <c r="T372" s="0" t="s">
        <v>82</v>
      </c>
    </row>
    <row r="373" customFormat="false" ht="15" hidden="false" customHeight="false" outlineLevel="0" collapsed="false">
      <c r="A373" s="0" t="str">
        <f aca="false">B373&amp;"|"&amp;C373&amp;"|"&amp;D373&amp;"|"&amp;E373&amp;"|"&amp;F373</f>
        <v>2.8+2506|IR|delta_rw|high|3m</v>
      </c>
      <c r="B373" s="0" t="s">
        <v>286</v>
      </c>
      <c r="C373" s="0" t="s">
        <v>68</v>
      </c>
      <c r="D373" s="0" t="s">
        <v>69</v>
      </c>
      <c r="E373" s="0" t="s">
        <v>85</v>
      </c>
      <c r="F373" s="0" t="s">
        <v>26</v>
      </c>
      <c r="G373" s="0" t="n">
        <v>79</v>
      </c>
      <c r="H373" s="0" t="s">
        <v>71</v>
      </c>
      <c r="I373" s="0" t="s">
        <v>287</v>
      </c>
      <c r="J373" s="0" t="s">
        <v>286</v>
      </c>
      <c r="K373" s="0" t="s">
        <v>288</v>
      </c>
      <c r="L373" s="0" t="s">
        <v>74</v>
      </c>
      <c r="M373" s="0" t="s">
        <v>75</v>
      </c>
      <c r="N373" s="0" t="s">
        <v>86</v>
      </c>
      <c r="O373" s="0" t="s">
        <v>77</v>
      </c>
      <c r="P373" s="0" t="s">
        <v>289</v>
      </c>
      <c r="Q373" s="0" t="s">
        <v>79</v>
      </c>
      <c r="R373" s="0" t="s">
        <v>290</v>
      </c>
      <c r="S373" s="0" t="s">
        <v>81</v>
      </c>
      <c r="T373" s="0" t="s">
        <v>82</v>
      </c>
    </row>
    <row r="374" customFormat="false" ht="15" hidden="false" customHeight="false" outlineLevel="0" collapsed="false">
      <c r="A374" s="0" t="str">
        <f aca="false">B374&amp;"|"&amp;C374&amp;"|"&amp;D374&amp;"|"&amp;E374&amp;"|"&amp;F374</f>
        <v>2.8+2506|IR|delta_rw|high|6m</v>
      </c>
      <c r="B374" s="0" t="s">
        <v>286</v>
      </c>
      <c r="C374" s="0" t="s">
        <v>68</v>
      </c>
      <c r="D374" s="0" t="s">
        <v>69</v>
      </c>
      <c r="E374" s="0" t="s">
        <v>85</v>
      </c>
      <c r="F374" s="0" t="s">
        <v>27</v>
      </c>
      <c r="G374" s="0" t="n">
        <v>82</v>
      </c>
      <c r="H374" s="0" t="s">
        <v>71</v>
      </c>
      <c r="I374" s="0" t="s">
        <v>287</v>
      </c>
      <c r="J374" s="0" t="s">
        <v>286</v>
      </c>
      <c r="K374" s="0" t="s">
        <v>288</v>
      </c>
      <c r="L374" s="0" t="s">
        <v>74</v>
      </c>
      <c r="M374" s="0" t="s">
        <v>75</v>
      </c>
      <c r="N374" s="0" t="s">
        <v>86</v>
      </c>
      <c r="O374" s="0" t="s">
        <v>77</v>
      </c>
      <c r="P374" s="0" t="s">
        <v>289</v>
      </c>
      <c r="Q374" s="0" t="s">
        <v>79</v>
      </c>
      <c r="R374" s="0" t="s">
        <v>290</v>
      </c>
      <c r="S374" s="0" t="s">
        <v>81</v>
      </c>
      <c r="T374" s="0" t="s">
        <v>82</v>
      </c>
    </row>
    <row r="375" customFormat="false" ht="15" hidden="false" customHeight="false" outlineLevel="0" collapsed="false">
      <c r="A375" s="0" t="str">
        <f aca="false">B375&amp;"|"&amp;C375&amp;"|"&amp;D375&amp;"|"&amp;E375&amp;"|"&amp;F375</f>
        <v>2.8+2506|IR|delta_rw|high|1y</v>
      </c>
      <c r="B375" s="0" t="s">
        <v>286</v>
      </c>
      <c r="C375" s="0" t="s">
        <v>68</v>
      </c>
      <c r="D375" s="0" t="s">
        <v>69</v>
      </c>
      <c r="E375" s="0" t="s">
        <v>85</v>
      </c>
      <c r="F375" s="0" t="s">
        <v>28</v>
      </c>
      <c r="G375" s="0" t="n">
        <v>90</v>
      </c>
      <c r="H375" s="0" t="s">
        <v>71</v>
      </c>
      <c r="I375" s="0" t="s">
        <v>287</v>
      </c>
      <c r="J375" s="0" t="s">
        <v>286</v>
      </c>
      <c r="K375" s="0" t="s">
        <v>288</v>
      </c>
      <c r="L375" s="0" t="s">
        <v>74</v>
      </c>
      <c r="M375" s="0" t="s">
        <v>75</v>
      </c>
      <c r="N375" s="0" t="s">
        <v>86</v>
      </c>
      <c r="O375" s="0" t="s">
        <v>77</v>
      </c>
      <c r="P375" s="0" t="s">
        <v>289</v>
      </c>
      <c r="Q375" s="0" t="s">
        <v>79</v>
      </c>
      <c r="R375" s="0" t="s">
        <v>290</v>
      </c>
      <c r="S375" s="0" t="s">
        <v>81</v>
      </c>
      <c r="T375" s="0" t="s">
        <v>82</v>
      </c>
    </row>
    <row r="376" customFormat="false" ht="15" hidden="false" customHeight="false" outlineLevel="0" collapsed="false">
      <c r="A376" s="0" t="str">
        <f aca="false">B376&amp;"|"&amp;C376&amp;"|"&amp;D376&amp;"|"&amp;E376&amp;"|"&amp;F376</f>
        <v>2.8+2506|IR|delta_rw|high|2y</v>
      </c>
      <c r="B376" s="0" t="s">
        <v>286</v>
      </c>
      <c r="C376" s="0" t="s">
        <v>68</v>
      </c>
      <c r="D376" s="0" t="s">
        <v>69</v>
      </c>
      <c r="E376" s="0" t="s">
        <v>85</v>
      </c>
      <c r="F376" s="0" t="s">
        <v>29</v>
      </c>
      <c r="G376" s="0" t="n">
        <v>93</v>
      </c>
      <c r="H376" s="0" t="s">
        <v>71</v>
      </c>
      <c r="I376" s="0" t="s">
        <v>287</v>
      </c>
      <c r="J376" s="0" t="s">
        <v>286</v>
      </c>
      <c r="K376" s="0" t="s">
        <v>288</v>
      </c>
      <c r="L376" s="0" t="s">
        <v>74</v>
      </c>
      <c r="M376" s="0" t="s">
        <v>75</v>
      </c>
      <c r="N376" s="0" t="s">
        <v>86</v>
      </c>
      <c r="O376" s="0" t="s">
        <v>77</v>
      </c>
      <c r="P376" s="0" t="s">
        <v>289</v>
      </c>
      <c r="Q376" s="0" t="s">
        <v>79</v>
      </c>
      <c r="R376" s="0" t="s">
        <v>290</v>
      </c>
      <c r="S376" s="0" t="s">
        <v>81</v>
      </c>
      <c r="T376" s="0" t="s">
        <v>82</v>
      </c>
    </row>
    <row r="377" customFormat="false" ht="15" hidden="false" customHeight="false" outlineLevel="0" collapsed="false">
      <c r="A377" s="0" t="str">
        <f aca="false">B377&amp;"|"&amp;C377&amp;"|"&amp;D377&amp;"|"&amp;E377&amp;"|"&amp;F377</f>
        <v>2.8+2506|IR|delta_rw|high|3y</v>
      </c>
      <c r="B377" s="0" t="s">
        <v>286</v>
      </c>
      <c r="C377" s="0" t="s">
        <v>68</v>
      </c>
      <c r="D377" s="0" t="s">
        <v>69</v>
      </c>
      <c r="E377" s="0" t="s">
        <v>85</v>
      </c>
      <c r="F377" s="0" t="s">
        <v>30</v>
      </c>
      <c r="G377" s="0" t="n">
        <v>92</v>
      </c>
      <c r="H377" s="0" t="s">
        <v>71</v>
      </c>
      <c r="I377" s="0" t="s">
        <v>287</v>
      </c>
      <c r="J377" s="0" t="s">
        <v>286</v>
      </c>
      <c r="K377" s="0" t="s">
        <v>288</v>
      </c>
      <c r="L377" s="0" t="s">
        <v>74</v>
      </c>
      <c r="M377" s="0" t="s">
        <v>75</v>
      </c>
      <c r="N377" s="0" t="s">
        <v>86</v>
      </c>
      <c r="O377" s="0" t="s">
        <v>77</v>
      </c>
      <c r="P377" s="0" t="s">
        <v>289</v>
      </c>
      <c r="Q377" s="0" t="s">
        <v>79</v>
      </c>
      <c r="R377" s="0" t="s">
        <v>290</v>
      </c>
      <c r="S377" s="0" t="s">
        <v>81</v>
      </c>
      <c r="T377" s="0" t="s">
        <v>82</v>
      </c>
    </row>
    <row r="378" customFormat="false" ht="15" hidden="false" customHeight="false" outlineLevel="0" collapsed="false">
      <c r="A378" s="0" t="str">
        <f aca="false">B378&amp;"|"&amp;C378&amp;"|"&amp;D378&amp;"|"&amp;E378&amp;"|"&amp;F378</f>
        <v>2.8+2506|IR|delta_rw|high|5y</v>
      </c>
      <c r="B378" s="0" t="s">
        <v>286</v>
      </c>
      <c r="C378" s="0" t="s">
        <v>68</v>
      </c>
      <c r="D378" s="0" t="s">
        <v>69</v>
      </c>
      <c r="E378" s="0" t="s">
        <v>85</v>
      </c>
      <c r="F378" s="0" t="s">
        <v>31</v>
      </c>
      <c r="G378" s="0" t="n">
        <v>88</v>
      </c>
      <c r="H378" s="0" t="s">
        <v>71</v>
      </c>
      <c r="I378" s="0" t="s">
        <v>287</v>
      </c>
      <c r="J378" s="0" t="s">
        <v>286</v>
      </c>
      <c r="K378" s="0" t="s">
        <v>288</v>
      </c>
      <c r="L378" s="0" t="s">
        <v>74</v>
      </c>
      <c r="M378" s="0" t="s">
        <v>75</v>
      </c>
      <c r="N378" s="0" t="s">
        <v>86</v>
      </c>
      <c r="O378" s="0" t="s">
        <v>77</v>
      </c>
      <c r="P378" s="0" t="s">
        <v>289</v>
      </c>
      <c r="Q378" s="0" t="s">
        <v>79</v>
      </c>
      <c r="R378" s="0" t="s">
        <v>290</v>
      </c>
      <c r="S378" s="0" t="s">
        <v>81</v>
      </c>
      <c r="T378" s="0" t="s">
        <v>82</v>
      </c>
    </row>
    <row r="379" customFormat="false" ht="15" hidden="false" customHeight="false" outlineLevel="0" collapsed="false">
      <c r="A379" s="0" t="str">
        <f aca="false">B379&amp;"|"&amp;C379&amp;"|"&amp;D379&amp;"|"&amp;E379&amp;"|"&amp;F379</f>
        <v>2.8+2506|IR|delta_rw|high|10y</v>
      </c>
      <c r="B379" s="0" t="s">
        <v>286</v>
      </c>
      <c r="C379" s="0" t="s">
        <v>68</v>
      </c>
      <c r="D379" s="0" t="s">
        <v>69</v>
      </c>
      <c r="E379" s="0" t="s">
        <v>85</v>
      </c>
      <c r="F379" s="0" t="s">
        <v>32</v>
      </c>
      <c r="G379" s="0" t="n">
        <v>88</v>
      </c>
      <c r="H379" s="0" t="s">
        <v>71</v>
      </c>
      <c r="I379" s="0" t="s">
        <v>287</v>
      </c>
      <c r="J379" s="0" t="s">
        <v>286</v>
      </c>
      <c r="K379" s="0" t="s">
        <v>288</v>
      </c>
      <c r="L379" s="0" t="s">
        <v>74</v>
      </c>
      <c r="M379" s="0" t="s">
        <v>75</v>
      </c>
      <c r="N379" s="0" t="s">
        <v>86</v>
      </c>
      <c r="O379" s="0" t="s">
        <v>77</v>
      </c>
      <c r="P379" s="0" t="s">
        <v>289</v>
      </c>
      <c r="Q379" s="0" t="s">
        <v>79</v>
      </c>
      <c r="R379" s="0" t="s">
        <v>290</v>
      </c>
      <c r="S379" s="0" t="s">
        <v>81</v>
      </c>
      <c r="T379" s="0" t="s">
        <v>82</v>
      </c>
    </row>
    <row r="380" customFormat="false" ht="15" hidden="false" customHeight="false" outlineLevel="0" collapsed="false">
      <c r="A380" s="0" t="str">
        <f aca="false">B380&amp;"|"&amp;C380&amp;"|"&amp;D380&amp;"|"&amp;E380&amp;"|"&amp;F380</f>
        <v>2.8+2506|IR|delta_rw|high|15y</v>
      </c>
      <c r="B380" s="0" t="s">
        <v>286</v>
      </c>
      <c r="C380" s="0" t="s">
        <v>68</v>
      </c>
      <c r="D380" s="0" t="s">
        <v>69</v>
      </c>
      <c r="E380" s="0" t="s">
        <v>85</v>
      </c>
      <c r="F380" s="0" t="s">
        <v>33</v>
      </c>
      <c r="G380" s="0" t="n">
        <v>98</v>
      </c>
      <c r="H380" s="0" t="s">
        <v>71</v>
      </c>
      <c r="I380" s="0" t="s">
        <v>287</v>
      </c>
      <c r="J380" s="0" t="s">
        <v>286</v>
      </c>
      <c r="K380" s="0" t="s">
        <v>288</v>
      </c>
      <c r="L380" s="0" t="s">
        <v>74</v>
      </c>
      <c r="M380" s="0" t="s">
        <v>75</v>
      </c>
      <c r="N380" s="0" t="s">
        <v>86</v>
      </c>
      <c r="O380" s="0" t="s">
        <v>77</v>
      </c>
      <c r="P380" s="0" t="s">
        <v>289</v>
      </c>
      <c r="Q380" s="0" t="s">
        <v>79</v>
      </c>
      <c r="R380" s="0" t="s">
        <v>290</v>
      </c>
      <c r="S380" s="0" t="s">
        <v>81</v>
      </c>
      <c r="T380" s="0" t="s">
        <v>82</v>
      </c>
    </row>
    <row r="381" customFormat="false" ht="15" hidden="false" customHeight="false" outlineLevel="0" collapsed="false">
      <c r="A381" s="0" t="str">
        <f aca="false">B381&amp;"|"&amp;C381&amp;"|"&amp;D381&amp;"|"&amp;E381&amp;"|"&amp;F381</f>
        <v>2.8+2506|IR|delta_rw|high|20y</v>
      </c>
      <c r="B381" s="0" t="s">
        <v>286</v>
      </c>
      <c r="C381" s="0" t="s">
        <v>68</v>
      </c>
      <c r="D381" s="0" t="s">
        <v>69</v>
      </c>
      <c r="E381" s="0" t="s">
        <v>85</v>
      </c>
      <c r="F381" s="0" t="s">
        <v>34</v>
      </c>
      <c r="G381" s="0" t="n">
        <v>101</v>
      </c>
      <c r="H381" s="0" t="s">
        <v>71</v>
      </c>
      <c r="I381" s="0" t="s">
        <v>287</v>
      </c>
      <c r="J381" s="0" t="s">
        <v>286</v>
      </c>
      <c r="K381" s="0" t="s">
        <v>288</v>
      </c>
      <c r="L381" s="0" t="s">
        <v>74</v>
      </c>
      <c r="M381" s="0" t="s">
        <v>75</v>
      </c>
      <c r="N381" s="0" t="s">
        <v>86</v>
      </c>
      <c r="O381" s="0" t="s">
        <v>77</v>
      </c>
      <c r="P381" s="0" t="s">
        <v>289</v>
      </c>
      <c r="Q381" s="0" t="s">
        <v>79</v>
      </c>
      <c r="R381" s="0" t="s">
        <v>290</v>
      </c>
      <c r="S381" s="0" t="s">
        <v>81</v>
      </c>
      <c r="T381" s="0" t="s">
        <v>82</v>
      </c>
    </row>
    <row r="382" customFormat="false" ht="15" hidden="false" customHeight="false" outlineLevel="0" collapsed="false">
      <c r="A382" s="0" t="str">
        <f aca="false">B382&amp;"|"&amp;C382&amp;"|"&amp;D382&amp;"|"&amp;E382&amp;"|"&amp;F382</f>
        <v>2.8+2506|IR|delta_rw|high|30y</v>
      </c>
      <c r="B382" s="0" t="s">
        <v>286</v>
      </c>
      <c r="C382" s="0" t="s">
        <v>68</v>
      </c>
      <c r="D382" s="0" t="s">
        <v>69</v>
      </c>
      <c r="E382" s="0" t="s">
        <v>85</v>
      </c>
      <c r="F382" s="0" t="s">
        <v>35</v>
      </c>
      <c r="G382" s="0" t="n">
        <v>96</v>
      </c>
      <c r="H382" s="0" t="s">
        <v>71</v>
      </c>
      <c r="I382" s="0" t="s">
        <v>287</v>
      </c>
      <c r="J382" s="0" t="s">
        <v>286</v>
      </c>
      <c r="K382" s="0" t="s">
        <v>288</v>
      </c>
      <c r="L382" s="0" t="s">
        <v>74</v>
      </c>
      <c r="M382" s="0" t="s">
        <v>75</v>
      </c>
      <c r="N382" s="0" t="s">
        <v>86</v>
      </c>
      <c r="O382" s="0" t="s">
        <v>77</v>
      </c>
      <c r="P382" s="0" t="s">
        <v>289</v>
      </c>
      <c r="Q382" s="0" t="s">
        <v>79</v>
      </c>
      <c r="R382" s="0" t="s">
        <v>290</v>
      </c>
      <c r="S382" s="0" t="s">
        <v>81</v>
      </c>
      <c r="T382" s="0" t="s">
        <v>82</v>
      </c>
    </row>
    <row r="383" customFormat="false" ht="15" hidden="false" customHeight="false" outlineLevel="0" collapsed="false">
      <c r="A383" s="0" t="str">
        <f aca="false">B383&amp;"|"&amp;C383&amp;"|"&amp;D383&amp;"|"&amp;E383&amp;"|"&amp;F383</f>
        <v>2.8+2506|IR|delta_rw_inflation|any|</v>
      </c>
      <c r="B383" s="0" t="s">
        <v>286</v>
      </c>
      <c r="C383" s="0" t="s">
        <v>68</v>
      </c>
      <c r="D383" s="0" t="s">
        <v>87</v>
      </c>
      <c r="E383" s="0" t="s">
        <v>88</v>
      </c>
      <c r="G383" s="0" t="n">
        <v>51</v>
      </c>
      <c r="H383" s="0" t="s">
        <v>71</v>
      </c>
      <c r="I383" s="0" t="s">
        <v>287</v>
      </c>
      <c r="J383" s="0" t="s">
        <v>286</v>
      </c>
      <c r="K383" s="0" t="s">
        <v>288</v>
      </c>
      <c r="L383" s="0" t="s">
        <v>74</v>
      </c>
      <c r="M383" s="0" t="s">
        <v>75</v>
      </c>
      <c r="N383" s="0" t="s">
        <v>89</v>
      </c>
      <c r="O383" s="0" t="s">
        <v>77</v>
      </c>
      <c r="P383" s="0" t="s">
        <v>289</v>
      </c>
      <c r="Q383" s="0" t="s">
        <v>79</v>
      </c>
      <c r="R383" s="0" t="s">
        <v>290</v>
      </c>
      <c r="S383" s="0" t="s">
        <v>81</v>
      </c>
      <c r="T383" s="0" t="s">
        <v>82</v>
      </c>
    </row>
    <row r="384" customFormat="false" ht="15" hidden="false" customHeight="false" outlineLevel="0" collapsed="false">
      <c r="A384" s="0" t="str">
        <f aca="false">B384&amp;"|"&amp;C384&amp;"|"&amp;D384&amp;"|"&amp;E384&amp;"|"&amp;F384</f>
        <v>2.8+2506|IR|delta_rw_xccy_basis|any|</v>
      </c>
      <c r="B384" s="0" t="s">
        <v>286</v>
      </c>
      <c r="C384" s="0" t="s">
        <v>68</v>
      </c>
      <c r="D384" s="0" t="s">
        <v>90</v>
      </c>
      <c r="E384" s="0" t="s">
        <v>88</v>
      </c>
      <c r="G384" s="0" t="n">
        <v>21</v>
      </c>
      <c r="H384" s="0" t="s">
        <v>71</v>
      </c>
      <c r="I384" s="0" t="s">
        <v>287</v>
      </c>
      <c r="J384" s="0" t="s">
        <v>286</v>
      </c>
      <c r="K384" s="0" t="s">
        <v>288</v>
      </c>
      <c r="L384" s="0" t="s">
        <v>74</v>
      </c>
      <c r="M384" s="0" t="s">
        <v>75</v>
      </c>
      <c r="N384" s="0" t="s">
        <v>89</v>
      </c>
      <c r="O384" s="0" t="s">
        <v>77</v>
      </c>
      <c r="P384" s="0" t="s">
        <v>289</v>
      </c>
      <c r="Q384" s="0" t="s">
        <v>79</v>
      </c>
      <c r="R384" s="0" t="s">
        <v>290</v>
      </c>
      <c r="S384" s="0" t="s">
        <v>81</v>
      </c>
      <c r="T384" s="0" t="s">
        <v>82</v>
      </c>
    </row>
    <row r="385" customFormat="false" ht="15" hidden="false" customHeight="false" outlineLevel="0" collapsed="false">
      <c r="A385" s="0" t="str">
        <f aca="false">B385&amp;"|"&amp;C385&amp;"|"&amp;D385&amp;"|"&amp;E385&amp;"|"&amp;F385</f>
        <v>2.8+2506|IR|hvr||</v>
      </c>
      <c r="B385" s="0" t="s">
        <v>286</v>
      </c>
      <c r="C385" s="0" t="s">
        <v>68</v>
      </c>
      <c r="D385" s="0" t="s">
        <v>91</v>
      </c>
      <c r="G385" s="0" t="n">
        <v>0.74</v>
      </c>
      <c r="H385" s="0" t="s">
        <v>92</v>
      </c>
      <c r="I385" s="0" t="s">
        <v>287</v>
      </c>
      <c r="J385" s="0" t="s">
        <v>286</v>
      </c>
      <c r="K385" s="0" t="s">
        <v>288</v>
      </c>
      <c r="L385" s="0" t="s">
        <v>74</v>
      </c>
      <c r="M385" s="0" t="s">
        <v>93</v>
      </c>
      <c r="N385" s="0" t="s">
        <v>94</v>
      </c>
      <c r="O385" s="0" t="s">
        <v>77</v>
      </c>
      <c r="P385" s="0" t="s">
        <v>289</v>
      </c>
      <c r="Q385" s="0" t="s">
        <v>79</v>
      </c>
      <c r="R385" s="0" t="s">
        <v>290</v>
      </c>
      <c r="S385" s="0" t="s">
        <v>81</v>
      </c>
      <c r="T385" s="0" t="s">
        <v>82</v>
      </c>
    </row>
    <row r="386" customFormat="false" ht="15" hidden="false" customHeight="false" outlineLevel="0" collapsed="false">
      <c r="A386" s="0" t="str">
        <f aca="false">B386&amp;"|"&amp;C386&amp;"|"&amp;D386&amp;"|"&amp;E386&amp;"|"&amp;F386</f>
        <v>2.8+2506|IR|vega_rw||</v>
      </c>
      <c r="B386" s="0" t="s">
        <v>286</v>
      </c>
      <c r="C386" s="0" t="s">
        <v>68</v>
      </c>
      <c r="D386" s="0" t="s">
        <v>95</v>
      </c>
      <c r="G386" s="0" t="n">
        <v>0.2</v>
      </c>
      <c r="H386" s="0" t="s">
        <v>92</v>
      </c>
      <c r="I386" s="0" t="s">
        <v>287</v>
      </c>
      <c r="J386" s="0" t="s">
        <v>286</v>
      </c>
      <c r="K386" s="0" t="s">
        <v>288</v>
      </c>
      <c r="L386" s="0" t="s">
        <v>74</v>
      </c>
      <c r="M386" s="0" t="s">
        <v>96</v>
      </c>
      <c r="N386" s="0" t="s">
        <v>97</v>
      </c>
      <c r="O386" s="0" t="s">
        <v>77</v>
      </c>
      <c r="P386" s="0" t="s">
        <v>289</v>
      </c>
      <c r="Q386" s="0" t="s">
        <v>79</v>
      </c>
      <c r="R386" s="0" t="s">
        <v>290</v>
      </c>
      <c r="S386" s="0" t="s">
        <v>81</v>
      </c>
      <c r="T386" s="0" t="s">
        <v>82</v>
      </c>
    </row>
    <row r="387" customFormat="false" ht="15" hidden="false" customHeight="false" outlineLevel="0" collapsed="false">
      <c r="A387" s="0" t="str">
        <f aca="false">B387&amp;"|"&amp;C387&amp;"|"&amp;D387&amp;"|"&amp;E387&amp;"|"&amp;F387</f>
        <v>2.8+2506|IR|rw_group_member|regular|USD</v>
      </c>
      <c r="B387" s="0" t="s">
        <v>286</v>
      </c>
      <c r="C387" s="0" t="s">
        <v>68</v>
      </c>
      <c r="D387" s="0" t="s">
        <v>98</v>
      </c>
      <c r="E387" s="0" t="s">
        <v>70</v>
      </c>
      <c r="F387" s="0" t="s">
        <v>11</v>
      </c>
      <c r="G387" s="0" t="n">
        <v>1</v>
      </c>
      <c r="H387" s="0" t="s">
        <v>99</v>
      </c>
      <c r="I387" s="0" t="s">
        <v>287</v>
      </c>
      <c r="J387" s="0" t="s">
        <v>286</v>
      </c>
      <c r="K387" s="0" t="s">
        <v>288</v>
      </c>
      <c r="L387" s="0" t="s">
        <v>74</v>
      </c>
      <c r="M387" s="0" t="s">
        <v>100</v>
      </c>
      <c r="N387" s="0" t="s">
        <v>101</v>
      </c>
      <c r="O387" s="0" t="s">
        <v>77</v>
      </c>
      <c r="P387" s="0" t="s">
        <v>289</v>
      </c>
      <c r="Q387" s="0" t="s">
        <v>79</v>
      </c>
      <c r="R387" s="0" t="s">
        <v>290</v>
      </c>
      <c r="S387" s="0" t="s">
        <v>81</v>
      </c>
      <c r="T387" s="0" t="s">
        <v>82</v>
      </c>
    </row>
    <row r="388" customFormat="false" ht="15" hidden="false" customHeight="false" outlineLevel="0" collapsed="false">
      <c r="A388" s="0" t="str">
        <f aca="false">B388&amp;"|"&amp;C388&amp;"|"&amp;D388&amp;"|"&amp;E388&amp;"|"&amp;F388</f>
        <v>2.8+2506|IR|rw_group_member|regular|EUR</v>
      </c>
      <c r="B388" s="0" t="s">
        <v>286</v>
      </c>
      <c r="C388" s="0" t="s">
        <v>68</v>
      </c>
      <c r="D388" s="0" t="s">
        <v>98</v>
      </c>
      <c r="E388" s="0" t="s">
        <v>70</v>
      </c>
      <c r="F388" s="0" t="s">
        <v>19</v>
      </c>
      <c r="G388" s="0" t="n">
        <v>1</v>
      </c>
      <c r="H388" s="0" t="s">
        <v>99</v>
      </c>
      <c r="I388" s="0" t="s">
        <v>287</v>
      </c>
      <c r="J388" s="0" t="s">
        <v>286</v>
      </c>
      <c r="K388" s="0" t="s">
        <v>288</v>
      </c>
      <c r="L388" s="0" t="s">
        <v>74</v>
      </c>
      <c r="M388" s="0" t="s">
        <v>100</v>
      </c>
      <c r="N388" s="0" t="s">
        <v>101</v>
      </c>
      <c r="O388" s="0" t="s">
        <v>77</v>
      </c>
      <c r="P388" s="0" t="s">
        <v>289</v>
      </c>
      <c r="Q388" s="0" t="s">
        <v>79</v>
      </c>
      <c r="R388" s="0" t="s">
        <v>290</v>
      </c>
      <c r="S388" s="0" t="s">
        <v>81</v>
      </c>
      <c r="T388" s="0" t="s">
        <v>82</v>
      </c>
    </row>
    <row r="389" customFormat="false" ht="15" hidden="false" customHeight="false" outlineLevel="0" collapsed="false">
      <c r="A389" s="0" t="str">
        <f aca="false">B389&amp;"|"&amp;C389&amp;"|"&amp;D389&amp;"|"&amp;E389&amp;"|"&amp;F389</f>
        <v>2.8+2506|IR|rw_group_member|regular|GBP</v>
      </c>
      <c r="B389" s="0" t="s">
        <v>286</v>
      </c>
      <c r="C389" s="0" t="s">
        <v>68</v>
      </c>
      <c r="D389" s="0" t="s">
        <v>98</v>
      </c>
      <c r="E389" s="0" t="s">
        <v>70</v>
      </c>
      <c r="F389" s="0" t="s">
        <v>20</v>
      </c>
      <c r="G389" s="0" t="n">
        <v>1</v>
      </c>
      <c r="H389" s="0" t="s">
        <v>99</v>
      </c>
      <c r="I389" s="0" t="s">
        <v>287</v>
      </c>
      <c r="J389" s="0" t="s">
        <v>286</v>
      </c>
      <c r="K389" s="0" t="s">
        <v>288</v>
      </c>
      <c r="L389" s="0" t="s">
        <v>74</v>
      </c>
      <c r="M389" s="0" t="s">
        <v>100</v>
      </c>
      <c r="N389" s="0" t="s">
        <v>101</v>
      </c>
      <c r="O389" s="0" t="s">
        <v>77</v>
      </c>
      <c r="P389" s="0" t="s">
        <v>289</v>
      </c>
      <c r="Q389" s="0" t="s">
        <v>79</v>
      </c>
      <c r="R389" s="0" t="s">
        <v>290</v>
      </c>
      <c r="S389" s="0" t="s">
        <v>81</v>
      </c>
      <c r="T389" s="0" t="s">
        <v>82</v>
      </c>
    </row>
    <row r="390" customFormat="false" ht="15" hidden="false" customHeight="false" outlineLevel="0" collapsed="false">
      <c r="A390" s="0" t="str">
        <f aca="false">B390&amp;"|"&amp;C390&amp;"|"&amp;D390&amp;"|"&amp;E390&amp;"|"&amp;F390</f>
        <v>2.8+2506|IR|rw_group_member|regular|CHF</v>
      </c>
      <c r="B390" s="0" t="s">
        <v>286</v>
      </c>
      <c r="C390" s="0" t="s">
        <v>68</v>
      </c>
      <c r="D390" s="0" t="s">
        <v>98</v>
      </c>
      <c r="E390" s="0" t="s">
        <v>70</v>
      </c>
      <c r="F390" s="0" t="s">
        <v>102</v>
      </c>
      <c r="G390" s="0" t="n">
        <v>1</v>
      </c>
      <c r="H390" s="0" t="s">
        <v>99</v>
      </c>
      <c r="I390" s="0" t="s">
        <v>287</v>
      </c>
      <c r="J390" s="0" t="s">
        <v>286</v>
      </c>
      <c r="K390" s="0" t="s">
        <v>288</v>
      </c>
      <c r="L390" s="0" t="s">
        <v>74</v>
      </c>
      <c r="M390" s="0" t="s">
        <v>100</v>
      </c>
      <c r="N390" s="0" t="s">
        <v>101</v>
      </c>
      <c r="O390" s="0" t="s">
        <v>77</v>
      </c>
      <c r="P390" s="0" t="s">
        <v>289</v>
      </c>
      <c r="Q390" s="0" t="s">
        <v>79</v>
      </c>
      <c r="R390" s="0" t="s">
        <v>290</v>
      </c>
      <c r="S390" s="0" t="s">
        <v>81</v>
      </c>
      <c r="T390" s="0" t="s">
        <v>82</v>
      </c>
    </row>
    <row r="391" customFormat="false" ht="15" hidden="false" customHeight="false" outlineLevel="0" collapsed="false">
      <c r="A391" s="0" t="str">
        <f aca="false">B391&amp;"|"&amp;C391&amp;"|"&amp;D391&amp;"|"&amp;E391&amp;"|"&amp;F391</f>
        <v>2.8+2506|IR|rw_group_member|regular|AUD</v>
      </c>
      <c r="B391" s="0" t="s">
        <v>286</v>
      </c>
      <c r="C391" s="0" t="s">
        <v>68</v>
      </c>
      <c r="D391" s="0" t="s">
        <v>98</v>
      </c>
      <c r="E391" s="0" t="s">
        <v>70</v>
      </c>
      <c r="F391" s="0" t="s">
        <v>103</v>
      </c>
      <c r="G391" s="0" t="n">
        <v>1</v>
      </c>
      <c r="H391" s="0" t="s">
        <v>99</v>
      </c>
      <c r="I391" s="0" t="s">
        <v>287</v>
      </c>
      <c r="J391" s="0" t="s">
        <v>286</v>
      </c>
      <c r="K391" s="0" t="s">
        <v>288</v>
      </c>
      <c r="L391" s="0" t="s">
        <v>74</v>
      </c>
      <c r="M391" s="0" t="s">
        <v>100</v>
      </c>
      <c r="N391" s="0" t="s">
        <v>101</v>
      </c>
      <c r="O391" s="0" t="s">
        <v>77</v>
      </c>
      <c r="P391" s="0" t="s">
        <v>289</v>
      </c>
      <c r="Q391" s="0" t="s">
        <v>79</v>
      </c>
      <c r="R391" s="0" t="s">
        <v>290</v>
      </c>
      <c r="S391" s="0" t="s">
        <v>81</v>
      </c>
      <c r="T391" s="0" t="s">
        <v>82</v>
      </c>
    </row>
    <row r="392" customFormat="false" ht="15" hidden="false" customHeight="false" outlineLevel="0" collapsed="false">
      <c r="A392" s="0" t="str">
        <f aca="false">B392&amp;"|"&amp;C392&amp;"|"&amp;D392&amp;"|"&amp;E392&amp;"|"&amp;F392</f>
        <v>2.8+2506|IR|rw_group_member|regular|NZD</v>
      </c>
      <c r="B392" s="0" t="s">
        <v>286</v>
      </c>
      <c r="C392" s="0" t="s">
        <v>68</v>
      </c>
      <c r="D392" s="0" t="s">
        <v>98</v>
      </c>
      <c r="E392" s="0" t="s">
        <v>70</v>
      </c>
      <c r="F392" s="0" t="s">
        <v>104</v>
      </c>
      <c r="G392" s="0" t="n">
        <v>1</v>
      </c>
      <c r="H392" s="0" t="s">
        <v>99</v>
      </c>
      <c r="I392" s="0" t="s">
        <v>287</v>
      </c>
      <c r="J392" s="0" t="s">
        <v>286</v>
      </c>
      <c r="K392" s="0" t="s">
        <v>288</v>
      </c>
      <c r="L392" s="0" t="s">
        <v>74</v>
      </c>
      <c r="M392" s="0" t="s">
        <v>100</v>
      </c>
      <c r="N392" s="0" t="s">
        <v>101</v>
      </c>
      <c r="O392" s="0" t="s">
        <v>77</v>
      </c>
      <c r="P392" s="0" t="s">
        <v>289</v>
      </c>
      <c r="Q392" s="0" t="s">
        <v>79</v>
      </c>
      <c r="R392" s="0" t="s">
        <v>290</v>
      </c>
      <c r="S392" s="0" t="s">
        <v>81</v>
      </c>
      <c r="T392" s="0" t="s">
        <v>82</v>
      </c>
    </row>
    <row r="393" customFormat="false" ht="15" hidden="false" customHeight="false" outlineLevel="0" collapsed="false">
      <c r="A393" s="0" t="str">
        <f aca="false">B393&amp;"|"&amp;C393&amp;"|"&amp;D393&amp;"|"&amp;E393&amp;"|"&amp;F393</f>
        <v>2.8+2506|IR|rw_group_member|regular|CAD</v>
      </c>
      <c r="B393" s="0" t="s">
        <v>286</v>
      </c>
      <c r="C393" s="0" t="s">
        <v>68</v>
      </c>
      <c r="D393" s="0" t="s">
        <v>98</v>
      </c>
      <c r="E393" s="0" t="s">
        <v>70</v>
      </c>
      <c r="F393" s="0" t="s">
        <v>105</v>
      </c>
      <c r="G393" s="0" t="n">
        <v>1</v>
      </c>
      <c r="H393" s="0" t="s">
        <v>99</v>
      </c>
      <c r="I393" s="0" t="s">
        <v>287</v>
      </c>
      <c r="J393" s="0" t="s">
        <v>286</v>
      </c>
      <c r="K393" s="0" t="s">
        <v>288</v>
      </c>
      <c r="L393" s="0" t="s">
        <v>74</v>
      </c>
      <c r="M393" s="0" t="s">
        <v>100</v>
      </c>
      <c r="N393" s="0" t="s">
        <v>101</v>
      </c>
      <c r="O393" s="0" t="s">
        <v>77</v>
      </c>
      <c r="P393" s="0" t="s">
        <v>289</v>
      </c>
      <c r="Q393" s="0" t="s">
        <v>79</v>
      </c>
      <c r="R393" s="0" t="s">
        <v>290</v>
      </c>
      <c r="S393" s="0" t="s">
        <v>81</v>
      </c>
      <c r="T393" s="0" t="s">
        <v>82</v>
      </c>
    </row>
    <row r="394" customFormat="false" ht="15" hidden="false" customHeight="false" outlineLevel="0" collapsed="false">
      <c r="A394" s="0" t="str">
        <f aca="false">B394&amp;"|"&amp;C394&amp;"|"&amp;D394&amp;"|"&amp;E394&amp;"|"&amp;F394</f>
        <v>2.8+2506|IR|rw_group_member|regular|SEK</v>
      </c>
      <c r="B394" s="0" t="s">
        <v>286</v>
      </c>
      <c r="C394" s="0" t="s">
        <v>68</v>
      </c>
      <c r="D394" s="0" t="s">
        <v>98</v>
      </c>
      <c r="E394" s="0" t="s">
        <v>70</v>
      </c>
      <c r="F394" s="0" t="s">
        <v>106</v>
      </c>
      <c r="G394" s="0" t="n">
        <v>1</v>
      </c>
      <c r="H394" s="0" t="s">
        <v>99</v>
      </c>
      <c r="I394" s="0" t="s">
        <v>287</v>
      </c>
      <c r="J394" s="0" t="s">
        <v>286</v>
      </c>
      <c r="K394" s="0" t="s">
        <v>288</v>
      </c>
      <c r="L394" s="0" t="s">
        <v>74</v>
      </c>
      <c r="M394" s="0" t="s">
        <v>100</v>
      </c>
      <c r="N394" s="0" t="s">
        <v>101</v>
      </c>
      <c r="O394" s="0" t="s">
        <v>77</v>
      </c>
      <c r="P394" s="0" t="s">
        <v>289</v>
      </c>
      <c r="Q394" s="0" t="s">
        <v>79</v>
      </c>
      <c r="R394" s="0" t="s">
        <v>290</v>
      </c>
      <c r="S394" s="0" t="s">
        <v>81</v>
      </c>
      <c r="T394" s="0" t="s">
        <v>82</v>
      </c>
    </row>
    <row r="395" customFormat="false" ht="15" hidden="false" customHeight="false" outlineLevel="0" collapsed="false">
      <c r="A395" s="0" t="str">
        <f aca="false">B395&amp;"|"&amp;C395&amp;"|"&amp;D395&amp;"|"&amp;E395&amp;"|"&amp;F395</f>
        <v>2.8+2506|IR|rw_group_member|regular|NOK</v>
      </c>
      <c r="B395" s="0" t="s">
        <v>286</v>
      </c>
      <c r="C395" s="0" t="s">
        <v>68</v>
      </c>
      <c r="D395" s="0" t="s">
        <v>98</v>
      </c>
      <c r="E395" s="0" t="s">
        <v>70</v>
      </c>
      <c r="F395" s="0" t="s">
        <v>107</v>
      </c>
      <c r="G395" s="0" t="n">
        <v>1</v>
      </c>
      <c r="H395" s="0" t="s">
        <v>99</v>
      </c>
      <c r="I395" s="0" t="s">
        <v>287</v>
      </c>
      <c r="J395" s="0" t="s">
        <v>286</v>
      </c>
      <c r="K395" s="0" t="s">
        <v>288</v>
      </c>
      <c r="L395" s="0" t="s">
        <v>74</v>
      </c>
      <c r="M395" s="0" t="s">
        <v>100</v>
      </c>
      <c r="N395" s="0" t="s">
        <v>101</v>
      </c>
      <c r="O395" s="0" t="s">
        <v>77</v>
      </c>
      <c r="P395" s="0" t="s">
        <v>289</v>
      </c>
      <c r="Q395" s="0" t="s">
        <v>79</v>
      </c>
      <c r="R395" s="0" t="s">
        <v>290</v>
      </c>
      <c r="S395" s="0" t="s">
        <v>81</v>
      </c>
      <c r="T395" s="0" t="s">
        <v>82</v>
      </c>
    </row>
    <row r="396" customFormat="false" ht="15" hidden="false" customHeight="false" outlineLevel="0" collapsed="false">
      <c r="A396" s="0" t="str">
        <f aca="false">B396&amp;"|"&amp;C396&amp;"|"&amp;D396&amp;"|"&amp;E396&amp;"|"&amp;F396</f>
        <v>2.8+2506|IR|rw_group_member|regular|DKK</v>
      </c>
      <c r="B396" s="0" t="s">
        <v>286</v>
      </c>
      <c r="C396" s="0" t="s">
        <v>68</v>
      </c>
      <c r="D396" s="0" t="s">
        <v>98</v>
      </c>
      <c r="E396" s="0" t="s">
        <v>70</v>
      </c>
      <c r="F396" s="0" t="s">
        <v>108</v>
      </c>
      <c r="G396" s="0" t="n">
        <v>1</v>
      </c>
      <c r="H396" s="0" t="s">
        <v>99</v>
      </c>
      <c r="I396" s="0" t="s">
        <v>287</v>
      </c>
      <c r="J396" s="0" t="s">
        <v>286</v>
      </c>
      <c r="K396" s="0" t="s">
        <v>288</v>
      </c>
      <c r="L396" s="0" t="s">
        <v>74</v>
      </c>
      <c r="M396" s="0" t="s">
        <v>100</v>
      </c>
      <c r="N396" s="0" t="s">
        <v>101</v>
      </c>
      <c r="O396" s="0" t="s">
        <v>77</v>
      </c>
      <c r="P396" s="0" t="s">
        <v>289</v>
      </c>
      <c r="Q396" s="0" t="s">
        <v>79</v>
      </c>
      <c r="R396" s="0" t="s">
        <v>290</v>
      </c>
      <c r="S396" s="0" t="s">
        <v>81</v>
      </c>
      <c r="T396" s="0" t="s">
        <v>82</v>
      </c>
    </row>
    <row r="397" customFormat="false" ht="15" hidden="false" customHeight="false" outlineLevel="0" collapsed="false">
      <c r="A397" s="0" t="str">
        <f aca="false">B397&amp;"|"&amp;C397&amp;"|"&amp;D397&amp;"|"&amp;E397&amp;"|"&amp;F397</f>
        <v>2.8+2506|IR|rw_group_member|regular|HKD</v>
      </c>
      <c r="B397" s="0" t="s">
        <v>286</v>
      </c>
      <c r="C397" s="0" t="s">
        <v>68</v>
      </c>
      <c r="D397" s="0" t="s">
        <v>98</v>
      </c>
      <c r="E397" s="0" t="s">
        <v>70</v>
      </c>
      <c r="F397" s="0" t="s">
        <v>109</v>
      </c>
      <c r="G397" s="0" t="n">
        <v>1</v>
      </c>
      <c r="H397" s="0" t="s">
        <v>99</v>
      </c>
      <c r="I397" s="0" t="s">
        <v>287</v>
      </c>
      <c r="J397" s="0" t="s">
        <v>286</v>
      </c>
      <c r="K397" s="0" t="s">
        <v>288</v>
      </c>
      <c r="L397" s="0" t="s">
        <v>74</v>
      </c>
      <c r="M397" s="0" t="s">
        <v>100</v>
      </c>
      <c r="N397" s="0" t="s">
        <v>101</v>
      </c>
      <c r="O397" s="0" t="s">
        <v>77</v>
      </c>
      <c r="P397" s="0" t="s">
        <v>289</v>
      </c>
      <c r="Q397" s="0" t="s">
        <v>79</v>
      </c>
      <c r="R397" s="0" t="s">
        <v>290</v>
      </c>
      <c r="S397" s="0" t="s">
        <v>81</v>
      </c>
      <c r="T397" s="0" t="s">
        <v>82</v>
      </c>
    </row>
    <row r="398" customFormat="false" ht="15" hidden="false" customHeight="false" outlineLevel="0" collapsed="false">
      <c r="A398" s="0" t="str">
        <f aca="false">B398&amp;"|"&amp;C398&amp;"|"&amp;D398&amp;"|"&amp;E398&amp;"|"&amp;F398</f>
        <v>2.8+2506|IR|rw_group_member|regular|KRW</v>
      </c>
      <c r="B398" s="0" t="s">
        <v>286</v>
      </c>
      <c r="C398" s="0" t="s">
        <v>68</v>
      </c>
      <c r="D398" s="0" t="s">
        <v>98</v>
      </c>
      <c r="E398" s="0" t="s">
        <v>70</v>
      </c>
      <c r="F398" s="0" t="s">
        <v>110</v>
      </c>
      <c r="G398" s="0" t="n">
        <v>1</v>
      </c>
      <c r="H398" s="0" t="s">
        <v>99</v>
      </c>
      <c r="I398" s="0" t="s">
        <v>287</v>
      </c>
      <c r="J398" s="0" t="s">
        <v>286</v>
      </c>
      <c r="K398" s="0" t="s">
        <v>288</v>
      </c>
      <c r="L398" s="0" t="s">
        <v>74</v>
      </c>
      <c r="M398" s="0" t="s">
        <v>100</v>
      </c>
      <c r="N398" s="0" t="s">
        <v>101</v>
      </c>
      <c r="O398" s="0" t="s">
        <v>77</v>
      </c>
      <c r="P398" s="0" t="s">
        <v>289</v>
      </c>
      <c r="Q398" s="0" t="s">
        <v>79</v>
      </c>
      <c r="R398" s="0" t="s">
        <v>290</v>
      </c>
      <c r="S398" s="0" t="s">
        <v>81</v>
      </c>
      <c r="T398" s="0" t="s">
        <v>82</v>
      </c>
    </row>
    <row r="399" customFormat="false" ht="15" hidden="false" customHeight="false" outlineLevel="0" collapsed="false">
      <c r="A399" s="0" t="str">
        <f aca="false">B399&amp;"|"&amp;C399&amp;"|"&amp;D399&amp;"|"&amp;E399&amp;"|"&amp;F399</f>
        <v>2.8+2506|IR|rw_group_member|regular|SGD</v>
      </c>
      <c r="B399" s="0" t="s">
        <v>286</v>
      </c>
      <c r="C399" s="0" t="s">
        <v>68</v>
      </c>
      <c r="D399" s="0" t="s">
        <v>98</v>
      </c>
      <c r="E399" s="0" t="s">
        <v>70</v>
      </c>
      <c r="F399" s="0" t="s">
        <v>111</v>
      </c>
      <c r="G399" s="0" t="n">
        <v>1</v>
      </c>
      <c r="H399" s="0" t="s">
        <v>99</v>
      </c>
      <c r="I399" s="0" t="s">
        <v>287</v>
      </c>
      <c r="J399" s="0" t="s">
        <v>286</v>
      </c>
      <c r="K399" s="0" t="s">
        <v>288</v>
      </c>
      <c r="L399" s="0" t="s">
        <v>74</v>
      </c>
      <c r="M399" s="0" t="s">
        <v>100</v>
      </c>
      <c r="N399" s="0" t="s">
        <v>101</v>
      </c>
      <c r="O399" s="0" t="s">
        <v>77</v>
      </c>
      <c r="P399" s="0" t="s">
        <v>289</v>
      </c>
      <c r="Q399" s="0" t="s">
        <v>79</v>
      </c>
      <c r="R399" s="0" t="s">
        <v>290</v>
      </c>
      <c r="S399" s="0" t="s">
        <v>81</v>
      </c>
      <c r="T399" s="0" t="s">
        <v>82</v>
      </c>
    </row>
    <row r="400" customFormat="false" ht="15" hidden="false" customHeight="false" outlineLevel="0" collapsed="false">
      <c r="A400" s="0" t="str">
        <f aca="false">B400&amp;"|"&amp;C400&amp;"|"&amp;D400&amp;"|"&amp;E400&amp;"|"&amp;F400</f>
        <v>2.8+2506|IR|rw_group_member|regular|TWD</v>
      </c>
      <c r="B400" s="0" t="s">
        <v>286</v>
      </c>
      <c r="C400" s="0" t="s">
        <v>68</v>
      </c>
      <c r="D400" s="0" t="s">
        <v>98</v>
      </c>
      <c r="E400" s="0" t="s">
        <v>70</v>
      </c>
      <c r="F400" s="0" t="s">
        <v>112</v>
      </c>
      <c r="G400" s="0" t="n">
        <v>1</v>
      </c>
      <c r="H400" s="0" t="s">
        <v>99</v>
      </c>
      <c r="I400" s="0" t="s">
        <v>287</v>
      </c>
      <c r="J400" s="0" t="s">
        <v>286</v>
      </c>
      <c r="K400" s="0" t="s">
        <v>288</v>
      </c>
      <c r="L400" s="0" t="s">
        <v>74</v>
      </c>
      <c r="M400" s="0" t="s">
        <v>100</v>
      </c>
      <c r="N400" s="0" t="s">
        <v>101</v>
      </c>
      <c r="O400" s="0" t="s">
        <v>77</v>
      </c>
      <c r="P400" s="0" t="s">
        <v>289</v>
      </c>
      <c r="Q400" s="0" t="s">
        <v>79</v>
      </c>
      <c r="R400" s="0" t="s">
        <v>290</v>
      </c>
      <c r="S400" s="0" t="s">
        <v>81</v>
      </c>
      <c r="T400" s="0" t="s">
        <v>82</v>
      </c>
    </row>
    <row r="401" customFormat="false" ht="15" hidden="false" customHeight="false" outlineLevel="0" collapsed="false">
      <c r="A401" s="0" t="str">
        <f aca="false">B401&amp;"|"&amp;C401&amp;"|"&amp;D401&amp;"|"&amp;E401&amp;"|"&amp;F401</f>
        <v>2.8+2506|IR|rw_group_member|low|JPY</v>
      </c>
      <c r="B401" s="0" t="s">
        <v>286</v>
      </c>
      <c r="C401" s="0" t="s">
        <v>68</v>
      </c>
      <c r="D401" s="0" t="s">
        <v>98</v>
      </c>
      <c r="E401" s="0" t="s">
        <v>83</v>
      </c>
      <c r="F401" s="0" t="s">
        <v>21</v>
      </c>
      <c r="G401" s="0" t="n">
        <v>1</v>
      </c>
      <c r="H401" s="0" t="s">
        <v>99</v>
      </c>
      <c r="I401" s="0" t="s">
        <v>287</v>
      </c>
      <c r="J401" s="0" t="s">
        <v>286</v>
      </c>
      <c r="K401" s="0" t="s">
        <v>288</v>
      </c>
      <c r="L401" s="0" t="s">
        <v>74</v>
      </c>
      <c r="M401" s="0" t="s">
        <v>113</v>
      </c>
      <c r="N401" s="0" t="s">
        <v>114</v>
      </c>
      <c r="O401" s="0" t="s">
        <v>77</v>
      </c>
      <c r="P401" s="0" t="s">
        <v>289</v>
      </c>
      <c r="Q401" s="0" t="s">
        <v>79</v>
      </c>
      <c r="R401" s="0" t="s">
        <v>290</v>
      </c>
      <c r="S401" s="0" t="s">
        <v>81</v>
      </c>
      <c r="T401" s="0" t="s">
        <v>82</v>
      </c>
    </row>
    <row r="402" customFormat="false" ht="15" hidden="false" customHeight="false" outlineLevel="0" collapsed="false">
      <c r="A402" s="0" t="str">
        <f aca="false">B402&amp;"|"&amp;C402&amp;"|"&amp;D402&amp;"|"&amp;E402&amp;"|"&amp;F402</f>
        <v>2.8+2506|IR|rw_group_member|high|ALL_OTHER</v>
      </c>
      <c r="B402" s="0" t="s">
        <v>286</v>
      </c>
      <c r="C402" s="0" t="s">
        <v>68</v>
      </c>
      <c r="D402" s="0" t="s">
        <v>98</v>
      </c>
      <c r="E402" s="0" t="s">
        <v>85</v>
      </c>
      <c r="F402" s="0" t="s">
        <v>115</v>
      </c>
      <c r="G402" s="0" t="n">
        <v>1</v>
      </c>
      <c r="H402" s="0" t="s">
        <v>99</v>
      </c>
      <c r="I402" s="0" t="s">
        <v>287</v>
      </c>
      <c r="J402" s="0" t="s">
        <v>286</v>
      </c>
      <c r="K402" s="0" t="s">
        <v>288</v>
      </c>
      <c r="L402" s="0" t="s">
        <v>74</v>
      </c>
      <c r="M402" s="0" t="s">
        <v>116</v>
      </c>
      <c r="N402" s="0" t="s">
        <v>117</v>
      </c>
      <c r="O402" s="0" t="s">
        <v>77</v>
      </c>
      <c r="P402" s="0" t="s">
        <v>289</v>
      </c>
      <c r="Q402" s="0" t="s">
        <v>79</v>
      </c>
      <c r="R402" s="0" t="s">
        <v>290</v>
      </c>
      <c r="S402" s="0" t="s">
        <v>81</v>
      </c>
      <c r="T402" s="0" t="s">
        <v>82</v>
      </c>
    </row>
    <row r="403" customFormat="false" ht="15" hidden="false" customHeight="false" outlineLevel="0" collapsed="false">
      <c r="A403" s="0" t="str">
        <f aca="false">B403&amp;"|"&amp;C403&amp;"|"&amp;D403&amp;"|"&amp;E403&amp;"|"&amp;F403</f>
        <v>2.8+2506|IR|delta_tenor_corr|2w|2w</v>
      </c>
      <c r="B403" s="0" t="s">
        <v>286</v>
      </c>
      <c r="C403" s="0" t="s">
        <v>68</v>
      </c>
      <c r="D403" s="0" t="s">
        <v>118</v>
      </c>
      <c r="E403" s="0" t="s">
        <v>24</v>
      </c>
      <c r="F403" s="0" t="s">
        <v>24</v>
      </c>
      <c r="G403" s="0" t="n">
        <v>1</v>
      </c>
      <c r="H403" s="0" t="s">
        <v>119</v>
      </c>
      <c r="I403" s="0" t="s">
        <v>287</v>
      </c>
      <c r="J403" s="0" t="s">
        <v>286</v>
      </c>
      <c r="K403" s="0" t="s">
        <v>288</v>
      </c>
      <c r="L403" s="0" t="s">
        <v>120</v>
      </c>
      <c r="M403" s="0" t="s">
        <v>121</v>
      </c>
      <c r="N403" s="0" t="s">
        <v>122</v>
      </c>
      <c r="O403" s="0" t="s">
        <v>128</v>
      </c>
      <c r="P403" s="0" t="s">
        <v>289</v>
      </c>
      <c r="Q403" s="0" t="s">
        <v>79</v>
      </c>
      <c r="R403" s="0" t="s">
        <v>290</v>
      </c>
      <c r="S403" s="0" t="s">
        <v>81</v>
      </c>
      <c r="T403" s="0" t="s">
        <v>123</v>
      </c>
    </row>
    <row r="404" customFormat="false" ht="15" hidden="false" customHeight="false" outlineLevel="0" collapsed="false">
      <c r="A404" s="0" t="str">
        <f aca="false">B404&amp;"|"&amp;C404&amp;"|"&amp;D404&amp;"|"&amp;E404&amp;"|"&amp;F404</f>
        <v>2.8+2506|IR|delta_tenor_corr|2w|1m</v>
      </c>
      <c r="B404" s="0" t="s">
        <v>286</v>
      </c>
      <c r="C404" s="0" t="s">
        <v>68</v>
      </c>
      <c r="D404" s="0" t="s">
        <v>118</v>
      </c>
      <c r="E404" s="0" t="s">
        <v>24</v>
      </c>
      <c r="F404" s="0" t="s">
        <v>25</v>
      </c>
      <c r="G404" s="0" t="n">
        <v>0.74</v>
      </c>
      <c r="H404" s="0" t="s">
        <v>119</v>
      </c>
      <c r="I404" s="0" t="s">
        <v>287</v>
      </c>
      <c r="J404" s="0" t="s">
        <v>286</v>
      </c>
      <c r="K404" s="0" t="s">
        <v>288</v>
      </c>
      <c r="L404" s="0" t="s">
        <v>120</v>
      </c>
      <c r="M404" s="0" t="s">
        <v>121</v>
      </c>
      <c r="N404" s="0" t="s">
        <v>122</v>
      </c>
      <c r="O404" s="0" t="s">
        <v>128</v>
      </c>
      <c r="P404" s="0" t="s">
        <v>289</v>
      </c>
      <c r="Q404" s="0" t="s">
        <v>79</v>
      </c>
      <c r="R404" s="0" t="s">
        <v>290</v>
      </c>
      <c r="S404" s="0" t="s">
        <v>81</v>
      </c>
      <c r="T404" s="0" t="s">
        <v>82</v>
      </c>
    </row>
    <row r="405" customFormat="false" ht="15" hidden="false" customHeight="false" outlineLevel="0" collapsed="false">
      <c r="A405" s="0" t="str">
        <f aca="false">B405&amp;"|"&amp;C405&amp;"|"&amp;D405&amp;"|"&amp;E405&amp;"|"&amp;F405</f>
        <v>2.8+2506|IR|delta_tenor_corr|2w|3m</v>
      </c>
      <c r="B405" s="0" t="s">
        <v>286</v>
      </c>
      <c r="C405" s="0" t="s">
        <v>68</v>
      </c>
      <c r="D405" s="0" t="s">
        <v>118</v>
      </c>
      <c r="E405" s="0" t="s">
        <v>24</v>
      </c>
      <c r="F405" s="0" t="s">
        <v>26</v>
      </c>
      <c r="G405" s="0" t="n">
        <v>0.65</v>
      </c>
      <c r="H405" s="0" t="s">
        <v>119</v>
      </c>
      <c r="I405" s="0" t="s">
        <v>287</v>
      </c>
      <c r="J405" s="0" t="s">
        <v>286</v>
      </c>
      <c r="K405" s="0" t="s">
        <v>288</v>
      </c>
      <c r="L405" s="0" t="s">
        <v>120</v>
      </c>
      <c r="M405" s="0" t="s">
        <v>121</v>
      </c>
      <c r="N405" s="0" t="s">
        <v>122</v>
      </c>
      <c r="O405" s="0" t="s">
        <v>128</v>
      </c>
      <c r="P405" s="0" t="s">
        <v>289</v>
      </c>
      <c r="Q405" s="0" t="s">
        <v>79</v>
      </c>
      <c r="R405" s="0" t="s">
        <v>290</v>
      </c>
      <c r="S405" s="0" t="s">
        <v>81</v>
      </c>
      <c r="T405" s="0" t="s">
        <v>82</v>
      </c>
    </row>
    <row r="406" customFormat="false" ht="15" hidden="false" customHeight="false" outlineLevel="0" collapsed="false">
      <c r="A406" s="0" t="str">
        <f aca="false">B406&amp;"|"&amp;C406&amp;"|"&amp;D406&amp;"|"&amp;E406&amp;"|"&amp;F406</f>
        <v>2.8+2506|IR|delta_tenor_corr|2w|6m</v>
      </c>
      <c r="B406" s="0" t="s">
        <v>286</v>
      </c>
      <c r="C406" s="0" t="s">
        <v>68</v>
      </c>
      <c r="D406" s="0" t="s">
        <v>118</v>
      </c>
      <c r="E406" s="0" t="s">
        <v>24</v>
      </c>
      <c r="F406" s="0" t="s">
        <v>27</v>
      </c>
      <c r="G406" s="0" t="n">
        <v>0.54</v>
      </c>
      <c r="H406" s="0" t="s">
        <v>119</v>
      </c>
      <c r="I406" s="0" t="s">
        <v>287</v>
      </c>
      <c r="J406" s="0" t="s">
        <v>286</v>
      </c>
      <c r="K406" s="0" t="s">
        <v>288</v>
      </c>
      <c r="L406" s="0" t="s">
        <v>120</v>
      </c>
      <c r="M406" s="0" t="s">
        <v>121</v>
      </c>
      <c r="N406" s="0" t="s">
        <v>122</v>
      </c>
      <c r="O406" s="0" t="s">
        <v>128</v>
      </c>
      <c r="P406" s="0" t="s">
        <v>289</v>
      </c>
      <c r="Q406" s="0" t="s">
        <v>79</v>
      </c>
      <c r="R406" s="0" t="s">
        <v>290</v>
      </c>
      <c r="S406" s="0" t="s">
        <v>81</v>
      </c>
      <c r="T406" s="0" t="s">
        <v>82</v>
      </c>
    </row>
    <row r="407" customFormat="false" ht="15" hidden="false" customHeight="false" outlineLevel="0" collapsed="false">
      <c r="A407" s="0" t="str">
        <f aca="false">B407&amp;"|"&amp;C407&amp;"|"&amp;D407&amp;"|"&amp;E407&amp;"|"&amp;F407</f>
        <v>2.8+2506|IR|delta_tenor_corr|2w|1y</v>
      </c>
      <c r="B407" s="0" t="s">
        <v>286</v>
      </c>
      <c r="C407" s="0" t="s">
        <v>68</v>
      </c>
      <c r="D407" s="0" t="s">
        <v>118</v>
      </c>
      <c r="E407" s="0" t="s">
        <v>24</v>
      </c>
      <c r="F407" s="0" t="s">
        <v>28</v>
      </c>
      <c r="G407" s="0" t="n">
        <v>0.4</v>
      </c>
      <c r="H407" s="0" t="s">
        <v>119</v>
      </c>
      <c r="I407" s="0" t="s">
        <v>287</v>
      </c>
      <c r="J407" s="0" t="s">
        <v>286</v>
      </c>
      <c r="K407" s="0" t="s">
        <v>288</v>
      </c>
      <c r="L407" s="0" t="s">
        <v>120</v>
      </c>
      <c r="M407" s="0" t="s">
        <v>121</v>
      </c>
      <c r="N407" s="0" t="s">
        <v>122</v>
      </c>
      <c r="O407" s="0" t="s">
        <v>128</v>
      </c>
      <c r="P407" s="0" t="s">
        <v>289</v>
      </c>
      <c r="Q407" s="0" t="s">
        <v>79</v>
      </c>
      <c r="R407" s="0" t="s">
        <v>290</v>
      </c>
      <c r="S407" s="0" t="s">
        <v>81</v>
      </c>
      <c r="T407" s="0" t="s">
        <v>82</v>
      </c>
    </row>
    <row r="408" customFormat="false" ht="15" hidden="false" customHeight="false" outlineLevel="0" collapsed="false">
      <c r="A408" s="0" t="str">
        <f aca="false">B408&amp;"|"&amp;C408&amp;"|"&amp;D408&amp;"|"&amp;E408&amp;"|"&amp;F408</f>
        <v>2.8+2506|IR|delta_tenor_corr|2w|2y</v>
      </c>
      <c r="B408" s="0" t="s">
        <v>286</v>
      </c>
      <c r="C408" s="0" t="s">
        <v>68</v>
      </c>
      <c r="D408" s="0" t="s">
        <v>118</v>
      </c>
      <c r="E408" s="0" t="s">
        <v>24</v>
      </c>
      <c r="F408" s="0" t="s">
        <v>29</v>
      </c>
      <c r="G408" s="0" t="n">
        <v>0.29</v>
      </c>
      <c r="H408" s="0" t="s">
        <v>119</v>
      </c>
      <c r="I408" s="0" t="s">
        <v>287</v>
      </c>
      <c r="J408" s="0" t="s">
        <v>286</v>
      </c>
      <c r="K408" s="0" t="s">
        <v>288</v>
      </c>
      <c r="L408" s="0" t="s">
        <v>120</v>
      </c>
      <c r="M408" s="0" t="s">
        <v>121</v>
      </c>
      <c r="N408" s="0" t="s">
        <v>122</v>
      </c>
      <c r="O408" s="0" t="s">
        <v>128</v>
      </c>
      <c r="P408" s="0" t="s">
        <v>289</v>
      </c>
      <c r="Q408" s="0" t="s">
        <v>79</v>
      </c>
      <c r="R408" s="0" t="s">
        <v>290</v>
      </c>
      <c r="S408" s="0" t="s">
        <v>81</v>
      </c>
      <c r="T408" s="0" t="s">
        <v>82</v>
      </c>
    </row>
    <row r="409" customFormat="false" ht="15" hidden="false" customHeight="false" outlineLevel="0" collapsed="false">
      <c r="A409" s="0" t="str">
        <f aca="false">B409&amp;"|"&amp;C409&amp;"|"&amp;D409&amp;"|"&amp;E409&amp;"|"&amp;F409</f>
        <v>2.8+2506|IR|delta_tenor_corr|2w|3y</v>
      </c>
      <c r="B409" s="0" t="s">
        <v>286</v>
      </c>
      <c r="C409" s="0" t="s">
        <v>68</v>
      </c>
      <c r="D409" s="0" t="s">
        <v>118</v>
      </c>
      <c r="E409" s="0" t="s">
        <v>24</v>
      </c>
      <c r="F409" s="0" t="s">
        <v>30</v>
      </c>
      <c r="G409" s="0" t="n">
        <v>0.25</v>
      </c>
      <c r="H409" s="0" t="s">
        <v>119</v>
      </c>
      <c r="I409" s="0" t="s">
        <v>287</v>
      </c>
      <c r="J409" s="0" t="s">
        <v>286</v>
      </c>
      <c r="K409" s="0" t="s">
        <v>288</v>
      </c>
      <c r="L409" s="0" t="s">
        <v>120</v>
      </c>
      <c r="M409" s="0" t="s">
        <v>121</v>
      </c>
      <c r="N409" s="0" t="s">
        <v>122</v>
      </c>
      <c r="O409" s="0" t="s">
        <v>128</v>
      </c>
      <c r="P409" s="0" t="s">
        <v>289</v>
      </c>
      <c r="Q409" s="0" t="s">
        <v>79</v>
      </c>
      <c r="R409" s="0" t="s">
        <v>290</v>
      </c>
      <c r="S409" s="0" t="s">
        <v>81</v>
      </c>
      <c r="T409" s="0" t="s">
        <v>82</v>
      </c>
    </row>
    <row r="410" customFormat="false" ht="15" hidden="false" customHeight="false" outlineLevel="0" collapsed="false">
      <c r="A410" s="0" t="str">
        <f aca="false">B410&amp;"|"&amp;C410&amp;"|"&amp;D410&amp;"|"&amp;E410&amp;"|"&amp;F410</f>
        <v>2.8+2506|IR|delta_tenor_corr|2w|5y</v>
      </c>
      <c r="B410" s="0" t="s">
        <v>286</v>
      </c>
      <c r="C410" s="0" t="s">
        <v>68</v>
      </c>
      <c r="D410" s="0" t="s">
        <v>118</v>
      </c>
      <c r="E410" s="0" t="s">
        <v>24</v>
      </c>
      <c r="F410" s="0" t="s">
        <v>31</v>
      </c>
      <c r="G410" s="0" t="n">
        <v>0.22</v>
      </c>
      <c r="H410" s="0" t="s">
        <v>119</v>
      </c>
      <c r="I410" s="0" t="s">
        <v>287</v>
      </c>
      <c r="J410" s="0" t="s">
        <v>286</v>
      </c>
      <c r="K410" s="0" t="s">
        <v>288</v>
      </c>
      <c r="L410" s="0" t="s">
        <v>120</v>
      </c>
      <c r="M410" s="0" t="s">
        <v>121</v>
      </c>
      <c r="N410" s="0" t="s">
        <v>122</v>
      </c>
      <c r="O410" s="0" t="s">
        <v>128</v>
      </c>
      <c r="P410" s="0" t="s">
        <v>289</v>
      </c>
      <c r="Q410" s="0" t="s">
        <v>79</v>
      </c>
      <c r="R410" s="0" t="s">
        <v>290</v>
      </c>
      <c r="S410" s="0" t="s">
        <v>81</v>
      </c>
      <c r="T410" s="0" t="s">
        <v>82</v>
      </c>
    </row>
    <row r="411" customFormat="false" ht="15" hidden="false" customHeight="false" outlineLevel="0" collapsed="false">
      <c r="A411" s="0" t="str">
        <f aca="false">B411&amp;"|"&amp;C411&amp;"|"&amp;D411&amp;"|"&amp;E411&amp;"|"&amp;F411</f>
        <v>2.8+2506|IR|delta_tenor_corr|2w|10y</v>
      </c>
      <c r="B411" s="0" t="s">
        <v>286</v>
      </c>
      <c r="C411" s="0" t="s">
        <v>68</v>
      </c>
      <c r="D411" s="0" t="s">
        <v>118</v>
      </c>
      <c r="E411" s="0" t="s">
        <v>24</v>
      </c>
      <c r="F411" s="0" t="s">
        <v>32</v>
      </c>
      <c r="G411" s="0" t="n">
        <v>0.17</v>
      </c>
      <c r="H411" s="0" t="s">
        <v>119</v>
      </c>
      <c r="I411" s="0" t="s">
        <v>287</v>
      </c>
      <c r="J411" s="0" t="s">
        <v>286</v>
      </c>
      <c r="K411" s="0" t="s">
        <v>288</v>
      </c>
      <c r="L411" s="0" t="s">
        <v>120</v>
      </c>
      <c r="M411" s="0" t="s">
        <v>121</v>
      </c>
      <c r="N411" s="0" t="s">
        <v>122</v>
      </c>
      <c r="O411" s="0" t="s">
        <v>128</v>
      </c>
      <c r="P411" s="0" t="s">
        <v>289</v>
      </c>
      <c r="Q411" s="0" t="s">
        <v>79</v>
      </c>
      <c r="R411" s="0" t="s">
        <v>290</v>
      </c>
      <c r="S411" s="0" t="s">
        <v>81</v>
      </c>
      <c r="T411" s="0" t="s">
        <v>82</v>
      </c>
    </row>
    <row r="412" customFormat="false" ht="15" hidden="false" customHeight="false" outlineLevel="0" collapsed="false">
      <c r="A412" s="0" t="str">
        <f aca="false">B412&amp;"|"&amp;C412&amp;"|"&amp;D412&amp;"|"&amp;E412&amp;"|"&amp;F412</f>
        <v>2.8+2506|IR|delta_tenor_corr|2w|15y</v>
      </c>
      <c r="B412" s="0" t="s">
        <v>286</v>
      </c>
      <c r="C412" s="0" t="s">
        <v>68</v>
      </c>
      <c r="D412" s="0" t="s">
        <v>118</v>
      </c>
      <c r="E412" s="0" t="s">
        <v>24</v>
      </c>
      <c r="F412" s="0" t="s">
        <v>33</v>
      </c>
      <c r="G412" s="0" t="n">
        <v>0.16</v>
      </c>
      <c r="H412" s="0" t="s">
        <v>119</v>
      </c>
      <c r="I412" s="0" t="s">
        <v>287</v>
      </c>
      <c r="J412" s="0" t="s">
        <v>286</v>
      </c>
      <c r="K412" s="0" t="s">
        <v>288</v>
      </c>
      <c r="L412" s="0" t="s">
        <v>120</v>
      </c>
      <c r="M412" s="0" t="s">
        <v>121</v>
      </c>
      <c r="N412" s="0" t="s">
        <v>122</v>
      </c>
      <c r="O412" s="0" t="s">
        <v>128</v>
      </c>
      <c r="P412" s="0" t="s">
        <v>289</v>
      </c>
      <c r="Q412" s="0" t="s">
        <v>79</v>
      </c>
      <c r="R412" s="0" t="s">
        <v>290</v>
      </c>
      <c r="S412" s="0" t="s">
        <v>81</v>
      </c>
      <c r="T412" s="0" t="s">
        <v>82</v>
      </c>
    </row>
    <row r="413" customFormat="false" ht="15" hidden="false" customHeight="false" outlineLevel="0" collapsed="false">
      <c r="A413" s="0" t="str">
        <f aca="false">B413&amp;"|"&amp;C413&amp;"|"&amp;D413&amp;"|"&amp;E413&amp;"|"&amp;F413</f>
        <v>2.8+2506|IR|delta_tenor_corr|2w|20y</v>
      </c>
      <c r="B413" s="0" t="s">
        <v>286</v>
      </c>
      <c r="C413" s="0" t="s">
        <v>68</v>
      </c>
      <c r="D413" s="0" t="s">
        <v>118</v>
      </c>
      <c r="E413" s="0" t="s">
        <v>24</v>
      </c>
      <c r="F413" s="0" t="s">
        <v>34</v>
      </c>
      <c r="G413" s="0" t="n">
        <v>0.14</v>
      </c>
      <c r="H413" s="0" t="s">
        <v>119</v>
      </c>
      <c r="I413" s="0" t="s">
        <v>287</v>
      </c>
      <c r="J413" s="0" t="s">
        <v>286</v>
      </c>
      <c r="K413" s="0" t="s">
        <v>288</v>
      </c>
      <c r="L413" s="0" t="s">
        <v>120</v>
      </c>
      <c r="M413" s="0" t="s">
        <v>121</v>
      </c>
      <c r="N413" s="0" t="s">
        <v>122</v>
      </c>
      <c r="O413" s="0" t="s">
        <v>128</v>
      </c>
      <c r="P413" s="0" t="s">
        <v>289</v>
      </c>
      <c r="Q413" s="0" t="s">
        <v>79</v>
      </c>
      <c r="R413" s="0" t="s">
        <v>290</v>
      </c>
      <c r="S413" s="0" t="s">
        <v>81</v>
      </c>
      <c r="T413" s="0" t="s">
        <v>82</v>
      </c>
    </row>
    <row r="414" customFormat="false" ht="15" hidden="false" customHeight="false" outlineLevel="0" collapsed="false">
      <c r="A414" s="0" t="str">
        <f aca="false">B414&amp;"|"&amp;C414&amp;"|"&amp;D414&amp;"|"&amp;E414&amp;"|"&amp;F414</f>
        <v>2.8+2506|IR|delta_tenor_corr|2w|30y</v>
      </c>
      <c r="B414" s="0" t="s">
        <v>286</v>
      </c>
      <c r="C414" s="0" t="s">
        <v>68</v>
      </c>
      <c r="D414" s="0" t="s">
        <v>118</v>
      </c>
      <c r="E414" s="0" t="s">
        <v>24</v>
      </c>
      <c r="F414" s="0" t="s">
        <v>35</v>
      </c>
      <c r="G414" s="0" t="n">
        <v>0.14</v>
      </c>
      <c r="H414" s="0" t="s">
        <v>119</v>
      </c>
      <c r="I414" s="0" t="s">
        <v>287</v>
      </c>
      <c r="J414" s="0" t="s">
        <v>286</v>
      </c>
      <c r="K414" s="0" t="s">
        <v>288</v>
      </c>
      <c r="L414" s="0" t="s">
        <v>120</v>
      </c>
      <c r="M414" s="0" t="s">
        <v>121</v>
      </c>
      <c r="N414" s="0" t="s">
        <v>122</v>
      </c>
      <c r="O414" s="0" t="s">
        <v>128</v>
      </c>
      <c r="P414" s="0" t="s">
        <v>289</v>
      </c>
      <c r="Q414" s="0" t="s">
        <v>79</v>
      </c>
      <c r="R414" s="0" t="s">
        <v>290</v>
      </c>
      <c r="S414" s="0" t="s">
        <v>81</v>
      </c>
      <c r="T414" s="0" t="s">
        <v>82</v>
      </c>
    </row>
    <row r="415" customFormat="false" ht="15" hidden="false" customHeight="false" outlineLevel="0" collapsed="false">
      <c r="A415" s="0" t="str">
        <f aca="false">B415&amp;"|"&amp;C415&amp;"|"&amp;D415&amp;"|"&amp;E415&amp;"|"&amp;F415</f>
        <v>2.8+2506|IR|delta_tenor_corr|1m|2w</v>
      </c>
      <c r="B415" s="0" t="s">
        <v>286</v>
      </c>
      <c r="C415" s="0" t="s">
        <v>68</v>
      </c>
      <c r="D415" s="0" t="s">
        <v>118</v>
      </c>
      <c r="E415" s="0" t="s">
        <v>25</v>
      </c>
      <c r="F415" s="0" t="s">
        <v>24</v>
      </c>
      <c r="G415" s="0" t="n">
        <v>0.74</v>
      </c>
      <c r="H415" s="0" t="s">
        <v>119</v>
      </c>
      <c r="I415" s="0" t="s">
        <v>287</v>
      </c>
      <c r="J415" s="0" t="s">
        <v>286</v>
      </c>
      <c r="K415" s="0" t="s">
        <v>288</v>
      </c>
      <c r="L415" s="0" t="s">
        <v>120</v>
      </c>
      <c r="M415" s="0" t="s">
        <v>121</v>
      </c>
      <c r="N415" s="0" t="s">
        <v>124</v>
      </c>
      <c r="O415" s="0" t="s">
        <v>128</v>
      </c>
      <c r="P415" s="0" t="s">
        <v>289</v>
      </c>
      <c r="Q415" s="0" t="s">
        <v>79</v>
      </c>
      <c r="R415" s="0" t="s">
        <v>290</v>
      </c>
      <c r="S415" s="0" t="s">
        <v>81</v>
      </c>
      <c r="T415" s="0" t="s">
        <v>82</v>
      </c>
    </row>
    <row r="416" customFormat="false" ht="15" hidden="false" customHeight="false" outlineLevel="0" collapsed="false">
      <c r="A416" s="0" t="str">
        <f aca="false">B416&amp;"|"&amp;C416&amp;"|"&amp;D416&amp;"|"&amp;E416&amp;"|"&amp;F416</f>
        <v>2.8+2506|IR|delta_tenor_corr|1m|1m</v>
      </c>
      <c r="B416" s="0" t="s">
        <v>286</v>
      </c>
      <c r="C416" s="0" t="s">
        <v>68</v>
      </c>
      <c r="D416" s="0" t="s">
        <v>118</v>
      </c>
      <c r="E416" s="0" t="s">
        <v>25</v>
      </c>
      <c r="F416" s="0" t="s">
        <v>25</v>
      </c>
      <c r="G416" s="0" t="n">
        <v>1</v>
      </c>
      <c r="H416" s="0" t="s">
        <v>119</v>
      </c>
      <c r="I416" s="0" t="s">
        <v>287</v>
      </c>
      <c r="J416" s="0" t="s">
        <v>286</v>
      </c>
      <c r="K416" s="0" t="s">
        <v>288</v>
      </c>
      <c r="L416" s="0" t="s">
        <v>120</v>
      </c>
      <c r="M416" s="0" t="s">
        <v>121</v>
      </c>
      <c r="N416" s="0" t="s">
        <v>124</v>
      </c>
      <c r="O416" s="0" t="s">
        <v>128</v>
      </c>
      <c r="P416" s="0" t="s">
        <v>289</v>
      </c>
      <c r="Q416" s="0" t="s">
        <v>79</v>
      </c>
      <c r="R416" s="0" t="s">
        <v>290</v>
      </c>
      <c r="S416" s="0" t="s">
        <v>81</v>
      </c>
      <c r="T416" s="0" t="s">
        <v>123</v>
      </c>
    </row>
    <row r="417" customFormat="false" ht="15" hidden="false" customHeight="false" outlineLevel="0" collapsed="false">
      <c r="A417" s="0" t="str">
        <f aca="false">B417&amp;"|"&amp;C417&amp;"|"&amp;D417&amp;"|"&amp;E417&amp;"|"&amp;F417</f>
        <v>2.8+2506|IR|delta_tenor_corr|1m|3m</v>
      </c>
      <c r="B417" s="0" t="s">
        <v>286</v>
      </c>
      <c r="C417" s="0" t="s">
        <v>68</v>
      </c>
      <c r="D417" s="0" t="s">
        <v>118</v>
      </c>
      <c r="E417" s="0" t="s">
        <v>25</v>
      </c>
      <c r="F417" s="0" t="s">
        <v>26</v>
      </c>
      <c r="G417" s="0" t="n">
        <v>0.85</v>
      </c>
      <c r="H417" s="0" t="s">
        <v>119</v>
      </c>
      <c r="I417" s="0" t="s">
        <v>287</v>
      </c>
      <c r="J417" s="0" t="s">
        <v>286</v>
      </c>
      <c r="K417" s="0" t="s">
        <v>288</v>
      </c>
      <c r="L417" s="0" t="s">
        <v>120</v>
      </c>
      <c r="M417" s="0" t="s">
        <v>121</v>
      </c>
      <c r="N417" s="0" t="s">
        <v>124</v>
      </c>
      <c r="O417" s="0" t="s">
        <v>128</v>
      </c>
      <c r="P417" s="0" t="s">
        <v>289</v>
      </c>
      <c r="Q417" s="0" t="s">
        <v>79</v>
      </c>
      <c r="R417" s="0" t="s">
        <v>290</v>
      </c>
      <c r="S417" s="0" t="s">
        <v>81</v>
      </c>
      <c r="T417" s="0" t="s">
        <v>82</v>
      </c>
    </row>
    <row r="418" customFormat="false" ht="15" hidden="false" customHeight="false" outlineLevel="0" collapsed="false">
      <c r="A418" s="0" t="str">
        <f aca="false">B418&amp;"|"&amp;C418&amp;"|"&amp;D418&amp;"|"&amp;E418&amp;"|"&amp;F418</f>
        <v>2.8+2506|IR|delta_tenor_corr|1m|6m</v>
      </c>
      <c r="B418" s="0" t="s">
        <v>286</v>
      </c>
      <c r="C418" s="0" t="s">
        <v>68</v>
      </c>
      <c r="D418" s="0" t="s">
        <v>118</v>
      </c>
      <c r="E418" s="0" t="s">
        <v>25</v>
      </c>
      <c r="F418" s="0" t="s">
        <v>27</v>
      </c>
      <c r="G418" s="0" t="n">
        <v>0.72</v>
      </c>
      <c r="H418" s="0" t="s">
        <v>119</v>
      </c>
      <c r="I418" s="0" t="s">
        <v>287</v>
      </c>
      <c r="J418" s="0" t="s">
        <v>286</v>
      </c>
      <c r="K418" s="0" t="s">
        <v>288</v>
      </c>
      <c r="L418" s="0" t="s">
        <v>120</v>
      </c>
      <c r="M418" s="0" t="s">
        <v>121</v>
      </c>
      <c r="N418" s="0" t="s">
        <v>124</v>
      </c>
      <c r="O418" s="0" t="s">
        <v>128</v>
      </c>
      <c r="P418" s="0" t="s">
        <v>289</v>
      </c>
      <c r="Q418" s="0" t="s">
        <v>79</v>
      </c>
      <c r="R418" s="0" t="s">
        <v>290</v>
      </c>
      <c r="S418" s="0" t="s">
        <v>81</v>
      </c>
      <c r="T418" s="0" t="s">
        <v>82</v>
      </c>
    </row>
    <row r="419" customFormat="false" ht="15" hidden="false" customHeight="false" outlineLevel="0" collapsed="false">
      <c r="A419" s="0" t="str">
        <f aca="false">B419&amp;"|"&amp;C419&amp;"|"&amp;D419&amp;"|"&amp;E419&amp;"|"&amp;F419</f>
        <v>2.8+2506|IR|delta_tenor_corr|1m|1y</v>
      </c>
      <c r="B419" s="0" t="s">
        <v>286</v>
      </c>
      <c r="C419" s="0" t="s">
        <v>68</v>
      </c>
      <c r="D419" s="0" t="s">
        <v>118</v>
      </c>
      <c r="E419" s="0" t="s">
        <v>25</v>
      </c>
      <c r="F419" s="0" t="s">
        <v>28</v>
      </c>
      <c r="G419" s="0" t="n">
        <v>0.5</v>
      </c>
      <c r="H419" s="0" t="s">
        <v>119</v>
      </c>
      <c r="I419" s="0" t="s">
        <v>287</v>
      </c>
      <c r="J419" s="0" t="s">
        <v>286</v>
      </c>
      <c r="K419" s="0" t="s">
        <v>288</v>
      </c>
      <c r="L419" s="0" t="s">
        <v>120</v>
      </c>
      <c r="M419" s="0" t="s">
        <v>121</v>
      </c>
      <c r="N419" s="0" t="s">
        <v>124</v>
      </c>
      <c r="O419" s="0" t="s">
        <v>128</v>
      </c>
      <c r="P419" s="0" t="s">
        <v>289</v>
      </c>
      <c r="Q419" s="0" t="s">
        <v>79</v>
      </c>
      <c r="R419" s="0" t="s">
        <v>290</v>
      </c>
      <c r="S419" s="0" t="s">
        <v>81</v>
      </c>
      <c r="T419" s="0" t="s">
        <v>82</v>
      </c>
    </row>
    <row r="420" customFormat="false" ht="15" hidden="false" customHeight="false" outlineLevel="0" collapsed="false">
      <c r="A420" s="0" t="str">
        <f aca="false">B420&amp;"|"&amp;C420&amp;"|"&amp;D420&amp;"|"&amp;E420&amp;"|"&amp;F420</f>
        <v>2.8+2506|IR|delta_tenor_corr|1m|2y</v>
      </c>
      <c r="B420" s="0" t="s">
        <v>286</v>
      </c>
      <c r="C420" s="0" t="s">
        <v>68</v>
      </c>
      <c r="D420" s="0" t="s">
        <v>118</v>
      </c>
      <c r="E420" s="0" t="s">
        <v>25</v>
      </c>
      <c r="F420" s="0" t="s">
        <v>29</v>
      </c>
      <c r="G420" s="0" t="n">
        <v>0.36</v>
      </c>
      <c r="H420" s="0" t="s">
        <v>119</v>
      </c>
      <c r="I420" s="0" t="s">
        <v>287</v>
      </c>
      <c r="J420" s="0" t="s">
        <v>286</v>
      </c>
      <c r="K420" s="0" t="s">
        <v>288</v>
      </c>
      <c r="L420" s="0" t="s">
        <v>120</v>
      </c>
      <c r="M420" s="0" t="s">
        <v>121</v>
      </c>
      <c r="N420" s="0" t="s">
        <v>124</v>
      </c>
      <c r="O420" s="0" t="s">
        <v>128</v>
      </c>
      <c r="P420" s="0" t="s">
        <v>289</v>
      </c>
      <c r="Q420" s="0" t="s">
        <v>79</v>
      </c>
      <c r="R420" s="0" t="s">
        <v>290</v>
      </c>
      <c r="S420" s="0" t="s">
        <v>81</v>
      </c>
      <c r="T420" s="0" t="s">
        <v>82</v>
      </c>
    </row>
    <row r="421" customFormat="false" ht="15" hidden="false" customHeight="false" outlineLevel="0" collapsed="false">
      <c r="A421" s="0" t="str">
        <f aca="false">B421&amp;"|"&amp;C421&amp;"|"&amp;D421&amp;"|"&amp;E421&amp;"|"&amp;F421</f>
        <v>2.8+2506|IR|delta_tenor_corr|1m|3y</v>
      </c>
      <c r="B421" s="0" t="s">
        <v>286</v>
      </c>
      <c r="C421" s="0" t="s">
        <v>68</v>
      </c>
      <c r="D421" s="0" t="s">
        <v>118</v>
      </c>
      <c r="E421" s="0" t="s">
        <v>25</v>
      </c>
      <c r="F421" s="0" t="s">
        <v>30</v>
      </c>
      <c r="G421" s="0" t="n">
        <v>0.3</v>
      </c>
      <c r="H421" s="0" t="s">
        <v>119</v>
      </c>
      <c r="I421" s="0" t="s">
        <v>287</v>
      </c>
      <c r="J421" s="0" t="s">
        <v>286</v>
      </c>
      <c r="K421" s="0" t="s">
        <v>288</v>
      </c>
      <c r="L421" s="0" t="s">
        <v>120</v>
      </c>
      <c r="M421" s="0" t="s">
        <v>121</v>
      </c>
      <c r="N421" s="0" t="s">
        <v>124</v>
      </c>
      <c r="O421" s="0" t="s">
        <v>128</v>
      </c>
      <c r="P421" s="0" t="s">
        <v>289</v>
      </c>
      <c r="Q421" s="0" t="s">
        <v>79</v>
      </c>
      <c r="R421" s="0" t="s">
        <v>290</v>
      </c>
      <c r="S421" s="0" t="s">
        <v>81</v>
      </c>
      <c r="T421" s="0" t="s">
        <v>82</v>
      </c>
    </row>
    <row r="422" customFormat="false" ht="15" hidden="false" customHeight="false" outlineLevel="0" collapsed="false">
      <c r="A422" s="0" t="str">
        <f aca="false">B422&amp;"|"&amp;C422&amp;"|"&amp;D422&amp;"|"&amp;E422&amp;"|"&amp;F422</f>
        <v>2.8+2506|IR|delta_tenor_corr|1m|5y</v>
      </c>
      <c r="B422" s="0" t="s">
        <v>286</v>
      </c>
      <c r="C422" s="0" t="s">
        <v>68</v>
      </c>
      <c r="D422" s="0" t="s">
        <v>118</v>
      </c>
      <c r="E422" s="0" t="s">
        <v>25</v>
      </c>
      <c r="F422" s="0" t="s">
        <v>31</v>
      </c>
      <c r="G422" s="0" t="n">
        <v>0.25</v>
      </c>
      <c r="H422" s="0" t="s">
        <v>119</v>
      </c>
      <c r="I422" s="0" t="s">
        <v>287</v>
      </c>
      <c r="J422" s="0" t="s">
        <v>286</v>
      </c>
      <c r="K422" s="0" t="s">
        <v>288</v>
      </c>
      <c r="L422" s="0" t="s">
        <v>120</v>
      </c>
      <c r="M422" s="0" t="s">
        <v>121</v>
      </c>
      <c r="N422" s="0" t="s">
        <v>124</v>
      </c>
      <c r="O422" s="0" t="s">
        <v>128</v>
      </c>
      <c r="P422" s="0" t="s">
        <v>289</v>
      </c>
      <c r="Q422" s="0" t="s">
        <v>79</v>
      </c>
      <c r="R422" s="0" t="s">
        <v>290</v>
      </c>
      <c r="S422" s="0" t="s">
        <v>81</v>
      </c>
      <c r="T422" s="0" t="s">
        <v>82</v>
      </c>
    </row>
    <row r="423" customFormat="false" ht="15" hidden="false" customHeight="false" outlineLevel="0" collapsed="false">
      <c r="A423" s="0" t="str">
        <f aca="false">B423&amp;"|"&amp;C423&amp;"|"&amp;D423&amp;"|"&amp;E423&amp;"|"&amp;F423</f>
        <v>2.8+2506|IR|delta_tenor_corr|1m|10y</v>
      </c>
      <c r="B423" s="0" t="s">
        <v>286</v>
      </c>
      <c r="C423" s="0" t="s">
        <v>68</v>
      </c>
      <c r="D423" s="0" t="s">
        <v>118</v>
      </c>
      <c r="E423" s="0" t="s">
        <v>25</v>
      </c>
      <c r="F423" s="0" t="s">
        <v>32</v>
      </c>
      <c r="G423" s="0" t="n">
        <v>0.2</v>
      </c>
      <c r="H423" s="0" t="s">
        <v>119</v>
      </c>
      <c r="I423" s="0" t="s">
        <v>287</v>
      </c>
      <c r="J423" s="0" t="s">
        <v>286</v>
      </c>
      <c r="K423" s="0" t="s">
        <v>288</v>
      </c>
      <c r="L423" s="0" t="s">
        <v>120</v>
      </c>
      <c r="M423" s="0" t="s">
        <v>121</v>
      </c>
      <c r="N423" s="0" t="s">
        <v>124</v>
      </c>
      <c r="O423" s="0" t="s">
        <v>128</v>
      </c>
      <c r="P423" s="0" t="s">
        <v>289</v>
      </c>
      <c r="Q423" s="0" t="s">
        <v>79</v>
      </c>
      <c r="R423" s="0" t="s">
        <v>290</v>
      </c>
      <c r="S423" s="0" t="s">
        <v>81</v>
      </c>
      <c r="T423" s="0" t="s">
        <v>82</v>
      </c>
    </row>
    <row r="424" customFormat="false" ht="15" hidden="false" customHeight="false" outlineLevel="0" collapsed="false">
      <c r="A424" s="0" t="str">
        <f aca="false">B424&amp;"|"&amp;C424&amp;"|"&amp;D424&amp;"|"&amp;E424&amp;"|"&amp;F424</f>
        <v>2.8+2506|IR|delta_tenor_corr|1m|15y</v>
      </c>
      <c r="B424" s="0" t="s">
        <v>286</v>
      </c>
      <c r="C424" s="0" t="s">
        <v>68</v>
      </c>
      <c r="D424" s="0" t="s">
        <v>118</v>
      </c>
      <c r="E424" s="0" t="s">
        <v>25</v>
      </c>
      <c r="F424" s="0" t="s">
        <v>33</v>
      </c>
      <c r="G424" s="0" t="n">
        <v>0.16</v>
      </c>
      <c r="H424" s="0" t="s">
        <v>119</v>
      </c>
      <c r="I424" s="0" t="s">
        <v>287</v>
      </c>
      <c r="J424" s="0" t="s">
        <v>286</v>
      </c>
      <c r="K424" s="0" t="s">
        <v>288</v>
      </c>
      <c r="L424" s="0" t="s">
        <v>120</v>
      </c>
      <c r="M424" s="0" t="s">
        <v>121</v>
      </c>
      <c r="N424" s="0" t="s">
        <v>124</v>
      </c>
      <c r="O424" s="0" t="s">
        <v>128</v>
      </c>
      <c r="P424" s="0" t="s">
        <v>289</v>
      </c>
      <c r="Q424" s="0" t="s">
        <v>79</v>
      </c>
      <c r="R424" s="0" t="s">
        <v>290</v>
      </c>
      <c r="S424" s="0" t="s">
        <v>81</v>
      </c>
      <c r="T424" s="0" t="s">
        <v>82</v>
      </c>
    </row>
    <row r="425" customFormat="false" ht="15" hidden="false" customHeight="false" outlineLevel="0" collapsed="false">
      <c r="A425" s="0" t="str">
        <f aca="false">B425&amp;"|"&amp;C425&amp;"|"&amp;D425&amp;"|"&amp;E425&amp;"|"&amp;F425</f>
        <v>2.8+2506|IR|delta_tenor_corr|1m|20y</v>
      </c>
      <c r="B425" s="0" t="s">
        <v>286</v>
      </c>
      <c r="C425" s="0" t="s">
        <v>68</v>
      </c>
      <c r="D425" s="0" t="s">
        <v>118</v>
      </c>
      <c r="E425" s="0" t="s">
        <v>25</v>
      </c>
      <c r="F425" s="0" t="s">
        <v>34</v>
      </c>
      <c r="G425" s="0" t="n">
        <v>0.14</v>
      </c>
      <c r="H425" s="0" t="s">
        <v>119</v>
      </c>
      <c r="I425" s="0" t="s">
        <v>287</v>
      </c>
      <c r="J425" s="0" t="s">
        <v>286</v>
      </c>
      <c r="K425" s="0" t="s">
        <v>288</v>
      </c>
      <c r="L425" s="0" t="s">
        <v>120</v>
      </c>
      <c r="M425" s="0" t="s">
        <v>121</v>
      </c>
      <c r="N425" s="0" t="s">
        <v>124</v>
      </c>
      <c r="O425" s="0" t="s">
        <v>128</v>
      </c>
      <c r="P425" s="0" t="s">
        <v>289</v>
      </c>
      <c r="Q425" s="0" t="s">
        <v>79</v>
      </c>
      <c r="R425" s="0" t="s">
        <v>290</v>
      </c>
      <c r="S425" s="0" t="s">
        <v>81</v>
      </c>
      <c r="T425" s="0" t="s">
        <v>82</v>
      </c>
    </row>
    <row r="426" customFormat="false" ht="15" hidden="false" customHeight="false" outlineLevel="0" collapsed="false">
      <c r="A426" s="0" t="str">
        <f aca="false">B426&amp;"|"&amp;C426&amp;"|"&amp;D426&amp;"|"&amp;E426&amp;"|"&amp;F426</f>
        <v>2.8+2506|IR|delta_tenor_corr|1m|30y</v>
      </c>
      <c r="B426" s="0" t="s">
        <v>286</v>
      </c>
      <c r="C426" s="0" t="s">
        <v>68</v>
      </c>
      <c r="D426" s="0" t="s">
        <v>118</v>
      </c>
      <c r="E426" s="0" t="s">
        <v>25</v>
      </c>
      <c r="F426" s="0" t="s">
        <v>35</v>
      </c>
      <c r="G426" s="0" t="n">
        <v>0.14</v>
      </c>
      <c r="H426" s="0" t="s">
        <v>119</v>
      </c>
      <c r="I426" s="0" t="s">
        <v>287</v>
      </c>
      <c r="J426" s="0" t="s">
        <v>286</v>
      </c>
      <c r="K426" s="0" t="s">
        <v>288</v>
      </c>
      <c r="L426" s="0" t="s">
        <v>120</v>
      </c>
      <c r="M426" s="0" t="s">
        <v>121</v>
      </c>
      <c r="N426" s="0" t="s">
        <v>124</v>
      </c>
      <c r="O426" s="0" t="s">
        <v>128</v>
      </c>
      <c r="P426" s="0" t="s">
        <v>289</v>
      </c>
      <c r="Q426" s="0" t="s">
        <v>79</v>
      </c>
      <c r="R426" s="0" t="s">
        <v>290</v>
      </c>
      <c r="S426" s="0" t="s">
        <v>81</v>
      </c>
      <c r="T426" s="0" t="s">
        <v>82</v>
      </c>
    </row>
    <row r="427" customFormat="false" ht="15" hidden="false" customHeight="false" outlineLevel="0" collapsed="false">
      <c r="A427" s="0" t="str">
        <f aca="false">B427&amp;"|"&amp;C427&amp;"|"&amp;D427&amp;"|"&amp;E427&amp;"|"&amp;F427</f>
        <v>2.8+2506|IR|delta_tenor_corr|3m|2w</v>
      </c>
      <c r="B427" s="0" t="s">
        <v>286</v>
      </c>
      <c r="C427" s="0" t="s">
        <v>68</v>
      </c>
      <c r="D427" s="0" t="s">
        <v>118</v>
      </c>
      <c r="E427" s="0" t="s">
        <v>26</v>
      </c>
      <c r="F427" s="0" t="s">
        <v>24</v>
      </c>
      <c r="G427" s="0" t="n">
        <v>0.65</v>
      </c>
      <c r="H427" s="0" t="s">
        <v>119</v>
      </c>
      <c r="I427" s="0" t="s">
        <v>287</v>
      </c>
      <c r="J427" s="0" t="s">
        <v>286</v>
      </c>
      <c r="K427" s="0" t="s">
        <v>288</v>
      </c>
      <c r="L427" s="0" t="s">
        <v>120</v>
      </c>
      <c r="M427" s="0" t="s">
        <v>121</v>
      </c>
      <c r="N427" s="0" t="s">
        <v>125</v>
      </c>
      <c r="O427" s="0" t="s">
        <v>128</v>
      </c>
      <c r="P427" s="0" t="s">
        <v>289</v>
      </c>
      <c r="Q427" s="0" t="s">
        <v>79</v>
      </c>
      <c r="R427" s="0" t="s">
        <v>290</v>
      </c>
      <c r="S427" s="0" t="s">
        <v>81</v>
      </c>
      <c r="T427" s="0" t="s">
        <v>82</v>
      </c>
    </row>
    <row r="428" customFormat="false" ht="15" hidden="false" customHeight="false" outlineLevel="0" collapsed="false">
      <c r="A428" s="0" t="str">
        <f aca="false">B428&amp;"|"&amp;C428&amp;"|"&amp;D428&amp;"|"&amp;E428&amp;"|"&amp;F428</f>
        <v>2.8+2506|IR|delta_tenor_corr|3m|1m</v>
      </c>
      <c r="B428" s="0" t="s">
        <v>286</v>
      </c>
      <c r="C428" s="0" t="s">
        <v>68</v>
      </c>
      <c r="D428" s="0" t="s">
        <v>118</v>
      </c>
      <c r="E428" s="0" t="s">
        <v>26</v>
      </c>
      <c r="F428" s="0" t="s">
        <v>25</v>
      </c>
      <c r="G428" s="0" t="n">
        <v>0.85</v>
      </c>
      <c r="H428" s="0" t="s">
        <v>119</v>
      </c>
      <c r="I428" s="0" t="s">
        <v>287</v>
      </c>
      <c r="J428" s="0" t="s">
        <v>286</v>
      </c>
      <c r="K428" s="0" t="s">
        <v>288</v>
      </c>
      <c r="L428" s="0" t="s">
        <v>120</v>
      </c>
      <c r="M428" s="0" t="s">
        <v>121</v>
      </c>
      <c r="N428" s="0" t="s">
        <v>125</v>
      </c>
      <c r="O428" s="0" t="s">
        <v>128</v>
      </c>
      <c r="P428" s="0" t="s">
        <v>289</v>
      </c>
      <c r="Q428" s="0" t="s">
        <v>79</v>
      </c>
      <c r="R428" s="0" t="s">
        <v>290</v>
      </c>
      <c r="S428" s="0" t="s">
        <v>81</v>
      </c>
      <c r="T428" s="0" t="s">
        <v>82</v>
      </c>
    </row>
    <row r="429" customFormat="false" ht="15" hidden="false" customHeight="false" outlineLevel="0" collapsed="false">
      <c r="A429" s="0" t="str">
        <f aca="false">B429&amp;"|"&amp;C429&amp;"|"&amp;D429&amp;"|"&amp;E429&amp;"|"&amp;F429</f>
        <v>2.8+2506|IR|delta_tenor_corr|3m|3m</v>
      </c>
      <c r="B429" s="0" t="s">
        <v>286</v>
      </c>
      <c r="C429" s="0" t="s">
        <v>68</v>
      </c>
      <c r="D429" s="0" t="s">
        <v>118</v>
      </c>
      <c r="E429" s="0" t="s">
        <v>26</v>
      </c>
      <c r="F429" s="0" t="s">
        <v>26</v>
      </c>
      <c r="G429" s="0" t="n">
        <v>1</v>
      </c>
      <c r="H429" s="0" t="s">
        <v>119</v>
      </c>
      <c r="I429" s="0" t="s">
        <v>287</v>
      </c>
      <c r="J429" s="0" t="s">
        <v>286</v>
      </c>
      <c r="K429" s="0" t="s">
        <v>288</v>
      </c>
      <c r="L429" s="0" t="s">
        <v>120</v>
      </c>
      <c r="M429" s="0" t="s">
        <v>121</v>
      </c>
      <c r="N429" s="0" t="s">
        <v>125</v>
      </c>
      <c r="O429" s="0" t="s">
        <v>128</v>
      </c>
      <c r="P429" s="0" t="s">
        <v>289</v>
      </c>
      <c r="Q429" s="0" t="s">
        <v>79</v>
      </c>
      <c r="R429" s="0" t="s">
        <v>290</v>
      </c>
      <c r="S429" s="0" t="s">
        <v>81</v>
      </c>
      <c r="T429" s="0" t="s">
        <v>123</v>
      </c>
    </row>
    <row r="430" customFormat="false" ht="15" hidden="false" customHeight="false" outlineLevel="0" collapsed="false">
      <c r="A430" s="0" t="str">
        <f aca="false">B430&amp;"|"&amp;C430&amp;"|"&amp;D430&amp;"|"&amp;E430&amp;"|"&amp;F430</f>
        <v>2.8+2506|IR|delta_tenor_corr|3m|6m</v>
      </c>
      <c r="B430" s="0" t="s">
        <v>286</v>
      </c>
      <c r="C430" s="0" t="s">
        <v>68</v>
      </c>
      <c r="D430" s="0" t="s">
        <v>118</v>
      </c>
      <c r="E430" s="0" t="s">
        <v>26</v>
      </c>
      <c r="F430" s="0" t="s">
        <v>27</v>
      </c>
      <c r="G430" s="0" t="n">
        <v>0.9</v>
      </c>
      <c r="H430" s="0" t="s">
        <v>119</v>
      </c>
      <c r="I430" s="0" t="s">
        <v>287</v>
      </c>
      <c r="J430" s="0" t="s">
        <v>286</v>
      </c>
      <c r="K430" s="0" t="s">
        <v>288</v>
      </c>
      <c r="L430" s="0" t="s">
        <v>120</v>
      </c>
      <c r="M430" s="0" t="s">
        <v>121</v>
      </c>
      <c r="N430" s="0" t="s">
        <v>125</v>
      </c>
      <c r="O430" s="0" t="s">
        <v>128</v>
      </c>
      <c r="P430" s="0" t="s">
        <v>289</v>
      </c>
      <c r="Q430" s="0" t="s">
        <v>79</v>
      </c>
      <c r="R430" s="0" t="s">
        <v>290</v>
      </c>
      <c r="S430" s="0" t="s">
        <v>81</v>
      </c>
      <c r="T430" s="0" t="s">
        <v>82</v>
      </c>
    </row>
    <row r="431" customFormat="false" ht="15" hidden="false" customHeight="false" outlineLevel="0" collapsed="false">
      <c r="A431" s="0" t="str">
        <f aca="false">B431&amp;"|"&amp;C431&amp;"|"&amp;D431&amp;"|"&amp;E431&amp;"|"&amp;F431</f>
        <v>2.8+2506|IR|delta_tenor_corr|3m|1y</v>
      </c>
      <c r="B431" s="0" t="s">
        <v>286</v>
      </c>
      <c r="C431" s="0" t="s">
        <v>68</v>
      </c>
      <c r="D431" s="0" t="s">
        <v>118</v>
      </c>
      <c r="E431" s="0" t="s">
        <v>26</v>
      </c>
      <c r="F431" s="0" t="s">
        <v>28</v>
      </c>
      <c r="G431" s="0" t="n">
        <v>0.69</v>
      </c>
      <c r="H431" s="0" t="s">
        <v>119</v>
      </c>
      <c r="I431" s="0" t="s">
        <v>287</v>
      </c>
      <c r="J431" s="0" t="s">
        <v>286</v>
      </c>
      <c r="K431" s="0" t="s">
        <v>288</v>
      </c>
      <c r="L431" s="0" t="s">
        <v>120</v>
      </c>
      <c r="M431" s="0" t="s">
        <v>121</v>
      </c>
      <c r="N431" s="0" t="s">
        <v>125</v>
      </c>
      <c r="O431" s="0" t="s">
        <v>128</v>
      </c>
      <c r="P431" s="0" t="s">
        <v>289</v>
      </c>
      <c r="Q431" s="0" t="s">
        <v>79</v>
      </c>
      <c r="R431" s="0" t="s">
        <v>290</v>
      </c>
      <c r="S431" s="0" t="s">
        <v>81</v>
      </c>
      <c r="T431" s="0" t="s">
        <v>82</v>
      </c>
    </row>
    <row r="432" customFormat="false" ht="15" hidden="false" customHeight="false" outlineLevel="0" collapsed="false">
      <c r="A432" s="0" t="str">
        <f aca="false">B432&amp;"|"&amp;C432&amp;"|"&amp;D432&amp;"|"&amp;E432&amp;"|"&amp;F432</f>
        <v>2.8+2506|IR|delta_tenor_corr|3m|2y</v>
      </c>
      <c r="B432" s="0" t="s">
        <v>286</v>
      </c>
      <c r="C432" s="0" t="s">
        <v>68</v>
      </c>
      <c r="D432" s="0" t="s">
        <v>118</v>
      </c>
      <c r="E432" s="0" t="s">
        <v>26</v>
      </c>
      <c r="F432" s="0" t="s">
        <v>29</v>
      </c>
      <c r="G432" s="0" t="n">
        <v>0.53</v>
      </c>
      <c r="H432" s="0" t="s">
        <v>119</v>
      </c>
      <c r="I432" s="0" t="s">
        <v>287</v>
      </c>
      <c r="J432" s="0" t="s">
        <v>286</v>
      </c>
      <c r="K432" s="0" t="s">
        <v>288</v>
      </c>
      <c r="L432" s="0" t="s">
        <v>120</v>
      </c>
      <c r="M432" s="0" t="s">
        <v>121</v>
      </c>
      <c r="N432" s="0" t="s">
        <v>125</v>
      </c>
      <c r="O432" s="0" t="s">
        <v>128</v>
      </c>
      <c r="P432" s="0" t="s">
        <v>289</v>
      </c>
      <c r="Q432" s="0" t="s">
        <v>79</v>
      </c>
      <c r="R432" s="0" t="s">
        <v>290</v>
      </c>
      <c r="S432" s="0" t="s">
        <v>81</v>
      </c>
      <c r="T432" s="0" t="s">
        <v>82</v>
      </c>
    </row>
    <row r="433" customFormat="false" ht="15" hidden="false" customHeight="false" outlineLevel="0" collapsed="false">
      <c r="A433" s="0" t="str">
        <f aca="false">B433&amp;"|"&amp;C433&amp;"|"&amp;D433&amp;"|"&amp;E433&amp;"|"&amp;F433</f>
        <v>2.8+2506|IR|delta_tenor_corr|3m|3y</v>
      </c>
      <c r="B433" s="0" t="s">
        <v>286</v>
      </c>
      <c r="C433" s="0" t="s">
        <v>68</v>
      </c>
      <c r="D433" s="0" t="s">
        <v>118</v>
      </c>
      <c r="E433" s="0" t="s">
        <v>26</v>
      </c>
      <c r="F433" s="0" t="s">
        <v>30</v>
      </c>
      <c r="G433" s="0" t="n">
        <v>0.46</v>
      </c>
      <c r="H433" s="0" t="s">
        <v>119</v>
      </c>
      <c r="I433" s="0" t="s">
        <v>287</v>
      </c>
      <c r="J433" s="0" t="s">
        <v>286</v>
      </c>
      <c r="K433" s="0" t="s">
        <v>288</v>
      </c>
      <c r="L433" s="0" t="s">
        <v>120</v>
      </c>
      <c r="M433" s="0" t="s">
        <v>121</v>
      </c>
      <c r="N433" s="0" t="s">
        <v>125</v>
      </c>
      <c r="O433" s="0" t="s">
        <v>128</v>
      </c>
      <c r="P433" s="0" t="s">
        <v>289</v>
      </c>
      <c r="Q433" s="0" t="s">
        <v>79</v>
      </c>
      <c r="R433" s="0" t="s">
        <v>290</v>
      </c>
      <c r="S433" s="0" t="s">
        <v>81</v>
      </c>
      <c r="T433" s="0" t="s">
        <v>82</v>
      </c>
    </row>
    <row r="434" customFormat="false" ht="15" hidden="false" customHeight="false" outlineLevel="0" collapsed="false">
      <c r="A434" s="0" t="str">
        <f aca="false">B434&amp;"|"&amp;C434&amp;"|"&amp;D434&amp;"|"&amp;E434&amp;"|"&amp;F434</f>
        <v>2.8+2506|IR|delta_tenor_corr|3m|5y</v>
      </c>
      <c r="B434" s="0" t="s">
        <v>286</v>
      </c>
      <c r="C434" s="0" t="s">
        <v>68</v>
      </c>
      <c r="D434" s="0" t="s">
        <v>118</v>
      </c>
      <c r="E434" s="0" t="s">
        <v>26</v>
      </c>
      <c r="F434" s="0" t="s">
        <v>31</v>
      </c>
      <c r="G434" s="0" t="n">
        <v>0.4</v>
      </c>
      <c r="H434" s="0" t="s">
        <v>119</v>
      </c>
      <c r="I434" s="0" t="s">
        <v>287</v>
      </c>
      <c r="J434" s="0" t="s">
        <v>286</v>
      </c>
      <c r="K434" s="0" t="s">
        <v>288</v>
      </c>
      <c r="L434" s="0" t="s">
        <v>120</v>
      </c>
      <c r="M434" s="0" t="s">
        <v>121</v>
      </c>
      <c r="N434" s="0" t="s">
        <v>125</v>
      </c>
      <c r="O434" s="0" t="s">
        <v>128</v>
      </c>
      <c r="P434" s="0" t="s">
        <v>289</v>
      </c>
      <c r="Q434" s="0" t="s">
        <v>79</v>
      </c>
      <c r="R434" s="0" t="s">
        <v>290</v>
      </c>
      <c r="S434" s="0" t="s">
        <v>81</v>
      </c>
      <c r="T434" s="0" t="s">
        <v>82</v>
      </c>
    </row>
    <row r="435" customFormat="false" ht="15" hidden="false" customHeight="false" outlineLevel="0" collapsed="false">
      <c r="A435" s="0" t="str">
        <f aca="false">B435&amp;"|"&amp;C435&amp;"|"&amp;D435&amp;"|"&amp;E435&amp;"|"&amp;F435</f>
        <v>2.8+2506|IR|delta_tenor_corr|3m|10y</v>
      </c>
      <c r="B435" s="0" t="s">
        <v>286</v>
      </c>
      <c r="C435" s="0" t="s">
        <v>68</v>
      </c>
      <c r="D435" s="0" t="s">
        <v>118</v>
      </c>
      <c r="E435" s="0" t="s">
        <v>26</v>
      </c>
      <c r="F435" s="0" t="s">
        <v>32</v>
      </c>
      <c r="G435" s="0" t="n">
        <v>0.34</v>
      </c>
      <c r="H435" s="0" t="s">
        <v>119</v>
      </c>
      <c r="I435" s="0" t="s">
        <v>287</v>
      </c>
      <c r="J435" s="0" t="s">
        <v>286</v>
      </c>
      <c r="K435" s="0" t="s">
        <v>288</v>
      </c>
      <c r="L435" s="0" t="s">
        <v>120</v>
      </c>
      <c r="M435" s="0" t="s">
        <v>121</v>
      </c>
      <c r="N435" s="0" t="s">
        <v>125</v>
      </c>
      <c r="O435" s="0" t="s">
        <v>128</v>
      </c>
      <c r="P435" s="0" t="s">
        <v>289</v>
      </c>
      <c r="Q435" s="0" t="s">
        <v>79</v>
      </c>
      <c r="R435" s="0" t="s">
        <v>290</v>
      </c>
      <c r="S435" s="0" t="s">
        <v>81</v>
      </c>
      <c r="T435" s="0" t="s">
        <v>82</v>
      </c>
    </row>
    <row r="436" customFormat="false" ht="15" hidden="false" customHeight="false" outlineLevel="0" collapsed="false">
      <c r="A436" s="0" t="str">
        <f aca="false">B436&amp;"|"&amp;C436&amp;"|"&amp;D436&amp;"|"&amp;E436&amp;"|"&amp;F436</f>
        <v>2.8+2506|IR|delta_tenor_corr|3m|15y</v>
      </c>
      <c r="B436" s="0" t="s">
        <v>286</v>
      </c>
      <c r="C436" s="0" t="s">
        <v>68</v>
      </c>
      <c r="D436" s="0" t="s">
        <v>118</v>
      </c>
      <c r="E436" s="0" t="s">
        <v>26</v>
      </c>
      <c r="F436" s="0" t="s">
        <v>33</v>
      </c>
      <c r="G436" s="0" t="n">
        <v>0.27</v>
      </c>
      <c r="H436" s="0" t="s">
        <v>119</v>
      </c>
      <c r="I436" s="0" t="s">
        <v>287</v>
      </c>
      <c r="J436" s="0" t="s">
        <v>286</v>
      </c>
      <c r="K436" s="0" t="s">
        <v>288</v>
      </c>
      <c r="L436" s="0" t="s">
        <v>120</v>
      </c>
      <c r="M436" s="0" t="s">
        <v>121</v>
      </c>
      <c r="N436" s="0" t="s">
        <v>125</v>
      </c>
      <c r="O436" s="0" t="s">
        <v>128</v>
      </c>
      <c r="P436" s="0" t="s">
        <v>289</v>
      </c>
      <c r="Q436" s="0" t="s">
        <v>79</v>
      </c>
      <c r="R436" s="0" t="s">
        <v>290</v>
      </c>
      <c r="S436" s="0" t="s">
        <v>81</v>
      </c>
      <c r="T436" s="0" t="s">
        <v>82</v>
      </c>
    </row>
    <row r="437" customFormat="false" ht="15" hidden="false" customHeight="false" outlineLevel="0" collapsed="false">
      <c r="A437" s="0" t="str">
        <f aca="false">B437&amp;"|"&amp;C437&amp;"|"&amp;D437&amp;"|"&amp;E437&amp;"|"&amp;F437</f>
        <v>2.8+2506|IR|delta_tenor_corr|3m|20y</v>
      </c>
      <c r="B437" s="0" t="s">
        <v>286</v>
      </c>
      <c r="C437" s="0" t="s">
        <v>68</v>
      </c>
      <c r="D437" s="0" t="s">
        <v>118</v>
      </c>
      <c r="E437" s="0" t="s">
        <v>26</v>
      </c>
      <c r="F437" s="0" t="s">
        <v>34</v>
      </c>
      <c r="G437" s="0" t="n">
        <v>0.25</v>
      </c>
      <c r="H437" s="0" t="s">
        <v>119</v>
      </c>
      <c r="I437" s="0" t="s">
        <v>287</v>
      </c>
      <c r="J437" s="0" t="s">
        <v>286</v>
      </c>
      <c r="K437" s="0" t="s">
        <v>288</v>
      </c>
      <c r="L437" s="0" t="s">
        <v>120</v>
      </c>
      <c r="M437" s="0" t="s">
        <v>121</v>
      </c>
      <c r="N437" s="0" t="s">
        <v>125</v>
      </c>
      <c r="O437" s="0" t="s">
        <v>128</v>
      </c>
      <c r="P437" s="0" t="s">
        <v>289</v>
      </c>
      <c r="Q437" s="0" t="s">
        <v>79</v>
      </c>
      <c r="R437" s="0" t="s">
        <v>290</v>
      </c>
      <c r="S437" s="0" t="s">
        <v>81</v>
      </c>
      <c r="T437" s="0" t="s">
        <v>82</v>
      </c>
    </row>
    <row r="438" customFormat="false" ht="15" hidden="false" customHeight="false" outlineLevel="0" collapsed="false">
      <c r="A438" s="0" t="str">
        <f aca="false">B438&amp;"|"&amp;C438&amp;"|"&amp;D438&amp;"|"&amp;E438&amp;"|"&amp;F438</f>
        <v>2.8+2506|IR|delta_tenor_corr|3m|30y</v>
      </c>
      <c r="B438" s="0" t="s">
        <v>286</v>
      </c>
      <c r="C438" s="0" t="s">
        <v>68</v>
      </c>
      <c r="D438" s="0" t="s">
        <v>118</v>
      </c>
      <c r="E438" s="0" t="s">
        <v>26</v>
      </c>
      <c r="F438" s="0" t="s">
        <v>35</v>
      </c>
      <c r="G438" s="0" t="n">
        <v>0.25</v>
      </c>
      <c r="H438" s="0" t="s">
        <v>119</v>
      </c>
      <c r="I438" s="0" t="s">
        <v>287</v>
      </c>
      <c r="J438" s="0" t="s">
        <v>286</v>
      </c>
      <c r="K438" s="0" t="s">
        <v>288</v>
      </c>
      <c r="L438" s="0" t="s">
        <v>120</v>
      </c>
      <c r="M438" s="0" t="s">
        <v>121</v>
      </c>
      <c r="N438" s="0" t="s">
        <v>125</v>
      </c>
      <c r="O438" s="0" t="s">
        <v>128</v>
      </c>
      <c r="P438" s="0" t="s">
        <v>289</v>
      </c>
      <c r="Q438" s="0" t="s">
        <v>79</v>
      </c>
      <c r="R438" s="0" t="s">
        <v>290</v>
      </c>
      <c r="S438" s="0" t="s">
        <v>81</v>
      </c>
      <c r="T438" s="0" t="s">
        <v>82</v>
      </c>
    </row>
    <row r="439" customFormat="false" ht="15" hidden="false" customHeight="false" outlineLevel="0" collapsed="false">
      <c r="A439" s="0" t="str">
        <f aca="false">B439&amp;"|"&amp;C439&amp;"|"&amp;D439&amp;"|"&amp;E439&amp;"|"&amp;F439</f>
        <v>2.8+2506|IR|delta_tenor_corr|6m|2w</v>
      </c>
      <c r="B439" s="0" t="s">
        <v>286</v>
      </c>
      <c r="C439" s="0" t="s">
        <v>68</v>
      </c>
      <c r="D439" s="0" t="s">
        <v>118</v>
      </c>
      <c r="E439" s="0" t="s">
        <v>27</v>
      </c>
      <c r="F439" s="0" t="s">
        <v>24</v>
      </c>
      <c r="G439" s="0" t="n">
        <v>0.54</v>
      </c>
      <c r="H439" s="0" t="s">
        <v>119</v>
      </c>
      <c r="I439" s="0" t="s">
        <v>287</v>
      </c>
      <c r="J439" s="0" t="s">
        <v>286</v>
      </c>
      <c r="K439" s="0" t="s">
        <v>288</v>
      </c>
      <c r="L439" s="0" t="s">
        <v>120</v>
      </c>
      <c r="M439" s="0" t="s">
        <v>121</v>
      </c>
      <c r="N439" s="0" t="s">
        <v>126</v>
      </c>
      <c r="O439" s="0" t="s">
        <v>128</v>
      </c>
      <c r="P439" s="0" t="s">
        <v>289</v>
      </c>
      <c r="Q439" s="0" t="s">
        <v>79</v>
      </c>
      <c r="R439" s="0" t="s">
        <v>290</v>
      </c>
      <c r="S439" s="0" t="s">
        <v>81</v>
      </c>
      <c r="T439" s="0" t="s">
        <v>82</v>
      </c>
    </row>
    <row r="440" customFormat="false" ht="15" hidden="false" customHeight="false" outlineLevel="0" collapsed="false">
      <c r="A440" s="0" t="str">
        <f aca="false">B440&amp;"|"&amp;C440&amp;"|"&amp;D440&amp;"|"&amp;E440&amp;"|"&amp;F440</f>
        <v>2.8+2506|IR|delta_tenor_corr|6m|1m</v>
      </c>
      <c r="B440" s="0" t="s">
        <v>286</v>
      </c>
      <c r="C440" s="0" t="s">
        <v>68</v>
      </c>
      <c r="D440" s="0" t="s">
        <v>118</v>
      </c>
      <c r="E440" s="0" t="s">
        <v>27</v>
      </c>
      <c r="F440" s="0" t="s">
        <v>25</v>
      </c>
      <c r="G440" s="0" t="n">
        <v>0.72</v>
      </c>
      <c r="H440" s="0" t="s">
        <v>119</v>
      </c>
      <c r="I440" s="0" t="s">
        <v>287</v>
      </c>
      <c r="J440" s="0" t="s">
        <v>286</v>
      </c>
      <c r="K440" s="0" t="s">
        <v>288</v>
      </c>
      <c r="L440" s="0" t="s">
        <v>120</v>
      </c>
      <c r="M440" s="0" t="s">
        <v>121</v>
      </c>
      <c r="N440" s="0" t="s">
        <v>126</v>
      </c>
      <c r="O440" s="0" t="s">
        <v>128</v>
      </c>
      <c r="P440" s="0" t="s">
        <v>289</v>
      </c>
      <c r="Q440" s="0" t="s">
        <v>79</v>
      </c>
      <c r="R440" s="0" t="s">
        <v>290</v>
      </c>
      <c r="S440" s="0" t="s">
        <v>81</v>
      </c>
      <c r="T440" s="0" t="s">
        <v>82</v>
      </c>
    </row>
    <row r="441" customFormat="false" ht="15" hidden="false" customHeight="false" outlineLevel="0" collapsed="false">
      <c r="A441" s="0" t="str">
        <f aca="false">B441&amp;"|"&amp;C441&amp;"|"&amp;D441&amp;"|"&amp;E441&amp;"|"&amp;F441</f>
        <v>2.8+2506|IR|delta_tenor_corr|6m|3m</v>
      </c>
      <c r="B441" s="0" t="s">
        <v>286</v>
      </c>
      <c r="C441" s="0" t="s">
        <v>68</v>
      </c>
      <c r="D441" s="0" t="s">
        <v>118</v>
      </c>
      <c r="E441" s="0" t="s">
        <v>27</v>
      </c>
      <c r="F441" s="0" t="s">
        <v>26</v>
      </c>
      <c r="G441" s="0" t="n">
        <v>0.9</v>
      </c>
      <c r="H441" s="0" t="s">
        <v>119</v>
      </c>
      <c r="I441" s="0" t="s">
        <v>287</v>
      </c>
      <c r="J441" s="0" t="s">
        <v>286</v>
      </c>
      <c r="K441" s="0" t="s">
        <v>288</v>
      </c>
      <c r="L441" s="0" t="s">
        <v>120</v>
      </c>
      <c r="M441" s="0" t="s">
        <v>121</v>
      </c>
      <c r="N441" s="0" t="s">
        <v>126</v>
      </c>
      <c r="O441" s="0" t="s">
        <v>128</v>
      </c>
      <c r="P441" s="0" t="s">
        <v>289</v>
      </c>
      <c r="Q441" s="0" t="s">
        <v>79</v>
      </c>
      <c r="R441" s="0" t="s">
        <v>290</v>
      </c>
      <c r="S441" s="0" t="s">
        <v>81</v>
      </c>
      <c r="T441" s="0" t="s">
        <v>82</v>
      </c>
    </row>
    <row r="442" customFormat="false" ht="15" hidden="false" customHeight="false" outlineLevel="0" collapsed="false">
      <c r="A442" s="0" t="str">
        <f aca="false">B442&amp;"|"&amp;C442&amp;"|"&amp;D442&amp;"|"&amp;E442&amp;"|"&amp;F442</f>
        <v>2.8+2506|IR|delta_tenor_corr|6m|6m</v>
      </c>
      <c r="B442" s="0" t="s">
        <v>286</v>
      </c>
      <c r="C442" s="0" t="s">
        <v>68</v>
      </c>
      <c r="D442" s="0" t="s">
        <v>118</v>
      </c>
      <c r="E442" s="0" t="s">
        <v>27</v>
      </c>
      <c r="F442" s="0" t="s">
        <v>27</v>
      </c>
      <c r="G442" s="0" t="n">
        <v>1</v>
      </c>
      <c r="H442" s="0" t="s">
        <v>119</v>
      </c>
      <c r="I442" s="0" t="s">
        <v>287</v>
      </c>
      <c r="J442" s="0" t="s">
        <v>286</v>
      </c>
      <c r="K442" s="0" t="s">
        <v>288</v>
      </c>
      <c r="L442" s="0" t="s">
        <v>120</v>
      </c>
      <c r="M442" s="0" t="s">
        <v>121</v>
      </c>
      <c r="N442" s="0" t="s">
        <v>126</v>
      </c>
      <c r="O442" s="0" t="s">
        <v>128</v>
      </c>
      <c r="P442" s="0" t="s">
        <v>289</v>
      </c>
      <c r="Q442" s="0" t="s">
        <v>79</v>
      </c>
      <c r="R442" s="0" t="s">
        <v>290</v>
      </c>
      <c r="S442" s="0" t="s">
        <v>81</v>
      </c>
      <c r="T442" s="0" t="s">
        <v>123</v>
      </c>
    </row>
    <row r="443" customFormat="false" ht="15" hidden="false" customHeight="false" outlineLevel="0" collapsed="false">
      <c r="A443" s="0" t="str">
        <f aca="false">B443&amp;"|"&amp;C443&amp;"|"&amp;D443&amp;"|"&amp;E443&amp;"|"&amp;F443</f>
        <v>2.8+2506|IR|delta_tenor_corr|6m|1y</v>
      </c>
      <c r="B443" s="0" t="s">
        <v>286</v>
      </c>
      <c r="C443" s="0" t="s">
        <v>68</v>
      </c>
      <c r="D443" s="0" t="s">
        <v>118</v>
      </c>
      <c r="E443" s="0" t="s">
        <v>27</v>
      </c>
      <c r="F443" s="0" t="s">
        <v>28</v>
      </c>
      <c r="G443" s="0" t="n">
        <v>0.86</v>
      </c>
      <c r="H443" s="0" t="s">
        <v>119</v>
      </c>
      <c r="I443" s="0" t="s">
        <v>287</v>
      </c>
      <c r="J443" s="0" t="s">
        <v>286</v>
      </c>
      <c r="K443" s="0" t="s">
        <v>288</v>
      </c>
      <c r="L443" s="0" t="s">
        <v>120</v>
      </c>
      <c r="M443" s="0" t="s">
        <v>121</v>
      </c>
      <c r="N443" s="0" t="s">
        <v>126</v>
      </c>
      <c r="O443" s="0" t="s">
        <v>128</v>
      </c>
      <c r="P443" s="0" t="s">
        <v>289</v>
      </c>
      <c r="Q443" s="0" t="s">
        <v>79</v>
      </c>
      <c r="R443" s="0" t="s">
        <v>290</v>
      </c>
      <c r="S443" s="0" t="s">
        <v>81</v>
      </c>
      <c r="T443" s="0" t="s">
        <v>82</v>
      </c>
    </row>
    <row r="444" customFormat="false" ht="15" hidden="false" customHeight="false" outlineLevel="0" collapsed="false">
      <c r="A444" s="0" t="str">
        <f aca="false">B444&amp;"|"&amp;C444&amp;"|"&amp;D444&amp;"|"&amp;E444&amp;"|"&amp;F444</f>
        <v>2.8+2506|IR|delta_tenor_corr|6m|2y</v>
      </c>
      <c r="B444" s="0" t="s">
        <v>286</v>
      </c>
      <c r="C444" s="0" t="s">
        <v>68</v>
      </c>
      <c r="D444" s="0" t="s">
        <v>118</v>
      </c>
      <c r="E444" s="0" t="s">
        <v>27</v>
      </c>
      <c r="F444" s="0" t="s">
        <v>29</v>
      </c>
      <c r="G444" s="0" t="n">
        <v>0.73</v>
      </c>
      <c r="H444" s="0" t="s">
        <v>119</v>
      </c>
      <c r="I444" s="0" t="s">
        <v>287</v>
      </c>
      <c r="J444" s="0" t="s">
        <v>286</v>
      </c>
      <c r="K444" s="0" t="s">
        <v>288</v>
      </c>
      <c r="L444" s="0" t="s">
        <v>120</v>
      </c>
      <c r="M444" s="0" t="s">
        <v>121</v>
      </c>
      <c r="N444" s="0" t="s">
        <v>126</v>
      </c>
      <c r="O444" s="0" t="s">
        <v>128</v>
      </c>
      <c r="P444" s="0" t="s">
        <v>289</v>
      </c>
      <c r="Q444" s="0" t="s">
        <v>79</v>
      </c>
      <c r="R444" s="0" t="s">
        <v>290</v>
      </c>
      <c r="S444" s="0" t="s">
        <v>81</v>
      </c>
      <c r="T444" s="0" t="s">
        <v>82</v>
      </c>
    </row>
    <row r="445" customFormat="false" ht="15" hidden="false" customHeight="false" outlineLevel="0" collapsed="false">
      <c r="A445" s="0" t="str">
        <f aca="false">B445&amp;"|"&amp;C445&amp;"|"&amp;D445&amp;"|"&amp;E445&amp;"|"&amp;F445</f>
        <v>2.8+2506|IR|delta_tenor_corr|6m|3y</v>
      </c>
      <c r="B445" s="0" t="s">
        <v>286</v>
      </c>
      <c r="C445" s="0" t="s">
        <v>68</v>
      </c>
      <c r="D445" s="0" t="s">
        <v>118</v>
      </c>
      <c r="E445" s="0" t="s">
        <v>27</v>
      </c>
      <c r="F445" s="0" t="s">
        <v>30</v>
      </c>
      <c r="G445" s="0" t="n">
        <v>0.65</v>
      </c>
      <c r="H445" s="0" t="s">
        <v>119</v>
      </c>
      <c r="I445" s="0" t="s">
        <v>287</v>
      </c>
      <c r="J445" s="0" t="s">
        <v>286</v>
      </c>
      <c r="K445" s="0" t="s">
        <v>288</v>
      </c>
      <c r="L445" s="0" t="s">
        <v>120</v>
      </c>
      <c r="M445" s="0" t="s">
        <v>121</v>
      </c>
      <c r="N445" s="0" t="s">
        <v>126</v>
      </c>
      <c r="O445" s="0" t="s">
        <v>128</v>
      </c>
      <c r="P445" s="0" t="s">
        <v>289</v>
      </c>
      <c r="Q445" s="0" t="s">
        <v>79</v>
      </c>
      <c r="R445" s="0" t="s">
        <v>290</v>
      </c>
      <c r="S445" s="0" t="s">
        <v>81</v>
      </c>
      <c r="T445" s="0" t="s">
        <v>82</v>
      </c>
    </row>
    <row r="446" customFormat="false" ht="15" hidden="false" customHeight="false" outlineLevel="0" collapsed="false">
      <c r="A446" s="0" t="str">
        <f aca="false">B446&amp;"|"&amp;C446&amp;"|"&amp;D446&amp;"|"&amp;E446&amp;"|"&amp;F446</f>
        <v>2.8+2506|IR|delta_tenor_corr|6m|5y</v>
      </c>
      <c r="B446" s="0" t="s">
        <v>286</v>
      </c>
      <c r="C446" s="0" t="s">
        <v>68</v>
      </c>
      <c r="D446" s="0" t="s">
        <v>118</v>
      </c>
      <c r="E446" s="0" t="s">
        <v>27</v>
      </c>
      <c r="F446" s="0" t="s">
        <v>31</v>
      </c>
      <c r="G446" s="0" t="n">
        <v>0.58</v>
      </c>
      <c r="H446" s="0" t="s">
        <v>119</v>
      </c>
      <c r="I446" s="0" t="s">
        <v>287</v>
      </c>
      <c r="J446" s="0" t="s">
        <v>286</v>
      </c>
      <c r="K446" s="0" t="s">
        <v>288</v>
      </c>
      <c r="L446" s="0" t="s">
        <v>120</v>
      </c>
      <c r="M446" s="0" t="s">
        <v>121</v>
      </c>
      <c r="N446" s="0" t="s">
        <v>126</v>
      </c>
      <c r="O446" s="0" t="s">
        <v>128</v>
      </c>
      <c r="P446" s="0" t="s">
        <v>289</v>
      </c>
      <c r="Q446" s="0" t="s">
        <v>79</v>
      </c>
      <c r="R446" s="0" t="s">
        <v>290</v>
      </c>
      <c r="S446" s="0" t="s">
        <v>81</v>
      </c>
      <c r="T446" s="0" t="s">
        <v>82</v>
      </c>
    </row>
    <row r="447" customFormat="false" ht="15" hidden="false" customHeight="false" outlineLevel="0" collapsed="false">
      <c r="A447" s="0" t="str">
        <f aca="false">B447&amp;"|"&amp;C447&amp;"|"&amp;D447&amp;"|"&amp;E447&amp;"|"&amp;F447</f>
        <v>2.8+2506|IR|delta_tenor_corr|6m|10y</v>
      </c>
      <c r="B447" s="0" t="s">
        <v>286</v>
      </c>
      <c r="C447" s="0" t="s">
        <v>68</v>
      </c>
      <c r="D447" s="0" t="s">
        <v>118</v>
      </c>
      <c r="E447" s="0" t="s">
        <v>27</v>
      </c>
      <c r="F447" s="0" t="s">
        <v>32</v>
      </c>
      <c r="G447" s="0" t="n">
        <v>0.52</v>
      </c>
      <c r="H447" s="0" t="s">
        <v>119</v>
      </c>
      <c r="I447" s="0" t="s">
        <v>287</v>
      </c>
      <c r="J447" s="0" t="s">
        <v>286</v>
      </c>
      <c r="K447" s="0" t="s">
        <v>288</v>
      </c>
      <c r="L447" s="0" t="s">
        <v>120</v>
      </c>
      <c r="M447" s="0" t="s">
        <v>121</v>
      </c>
      <c r="N447" s="0" t="s">
        <v>126</v>
      </c>
      <c r="O447" s="0" t="s">
        <v>128</v>
      </c>
      <c r="P447" s="0" t="s">
        <v>289</v>
      </c>
      <c r="Q447" s="0" t="s">
        <v>79</v>
      </c>
      <c r="R447" s="0" t="s">
        <v>290</v>
      </c>
      <c r="S447" s="0" t="s">
        <v>81</v>
      </c>
      <c r="T447" s="0" t="s">
        <v>82</v>
      </c>
    </row>
    <row r="448" customFormat="false" ht="15" hidden="false" customHeight="false" outlineLevel="0" collapsed="false">
      <c r="A448" s="0" t="str">
        <f aca="false">B448&amp;"|"&amp;C448&amp;"|"&amp;D448&amp;"|"&amp;E448&amp;"|"&amp;F448</f>
        <v>2.8+2506|IR|delta_tenor_corr|6m|15y</v>
      </c>
      <c r="B448" s="0" t="s">
        <v>286</v>
      </c>
      <c r="C448" s="0" t="s">
        <v>68</v>
      </c>
      <c r="D448" s="0" t="s">
        <v>118</v>
      </c>
      <c r="E448" s="0" t="s">
        <v>27</v>
      </c>
      <c r="F448" s="0" t="s">
        <v>33</v>
      </c>
      <c r="G448" s="0" t="n">
        <v>0.47</v>
      </c>
      <c r="H448" s="0" t="s">
        <v>119</v>
      </c>
      <c r="I448" s="0" t="s">
        <v>287</v>
      </c>
      <c r="J448" s="0" t="s">
        <v>286</v>
      </c>
      <c r="K448" s="0" t="s">
        <v>288</v>
      </c>
      <c r="L448" s="0" t="s">
        <v>120</v>
      </c>
      <c r="M448" s="0" t="s">
        <v>121</v>
      </c>
      <c r="N448" s="0" t="s">
        <v>126</v>
      </c>
      <c r="O448" s="0" t="s">
        <v>128</v>
      </c>
      <c r="P448" s="0" t="s">
        <v>289</v>
      </c>
      <c r="Q448" s="0" t="s">
        <v>79</v>
      </c>
      <c r="R448" s="0" t="s">
        <v>290</v>
      </c>
      <c r="S448" s="0" t="s">
        <v>81</v>
      </c>
      <c r="T448" s="0" t="s">
        <v>82</v>
      </c>
    </row>
    <row r="449" customFormat="false" ht="15" hidden="false" customHeight="false" outlineLevel="0" collapsed="false">
      <c r="A449" s="0" t="str">
        <f aca="false">B449&amp;"|"&amp;C449&amp;"|"&amp;D449&amp;"|"&amp;E449&amp;"|"&amp;F449</f>
        <v>2.8+2506|IR|delta_tenor_corr|6m|20y</v>
      </c>
      <c r="B449" s="0" t="s">
        <v>286</v>
      </c>
      <c r="C449" s="0" t="s">
        <v>68</v>
      </c>
      <c r="D449" s="0" t="s">
        <v>118</v>
      </c>
      <c r="E449" s="0" t="s">
        <v>27</v>
      </c>
      <c r="F449" s="0" t="s">
        <v>34</v>
      </c>
      <c r="G449" s="0" t="n">
        <v>0.44</v>
      </c>
      <c r="H449" s="0" t="s">
        <v>119</v>
      </c>
      <c r="I449" s="0" t="s">
        <v>287</v>
      </c>
      <c r="J449" s="0" t="s">
        <v>286</v>
      </c>
      <c r="K449" s="0" t="s">
        <v>288</v>
      </c>
      <c r="L449" s="0" t="s">
        <v>120</v>
      </c>
      <c r="M449" s="0" t="s">
        <v>121</v>
      </c>
      <c r="N449" s="0" t="s">
        <v>126</v>
      </c>
      <c r="O449" s="0" t="s">
        <v>128</v>
      </c>
      <c r="P449" s="0" t="s">
        <v>289</v>
      </c>
      <c r="Q449" s="0" t="s">
        <v>79</v>
      </c>
      <c r="R449" s="0" t="s">
        <v>290</v>
      </c>
      <c r="S449" s="0" t="s">
        <v>81</v>
      </c>
      <c r="T449" s="0" t="s">
        <v>82</v>
      </c>
    </row>
    <row r="450" customFormat="false" ht="15" hidden="false" customHeight="false" outlineLevel="0" collapsed="false">
      <c r="A450" s="0" t="str">
        <f aca="false">B450&amp;"|"&amp;C450&amp;"|"&amp;D450&amp;"|"&amp;E450&amp;"|"&amp;F450</f>
        <v>2.8+2506|IR|delta_tenor_corr|6m|30y</v>
      </c>
      <c r="B450" s="0" t="s">
        <v>286</v>
      </c>
      <c r="C450" s="0" t="s">
        <v>68</v>
      </c>
      <c r="D450" s="0" t="s">
        <v>118</v>
      </c>
      <c r="E450" s="0" t="s">
        <v>27</v>
      </c>
      <c r="F450" s="0" t="s">
        <v>35</v>
      </c>
      <c r="G450" s="0" t="n">
        <v>0.42</v>
      </c>
      <c r="H450" s="0" t="s">
        <v>119</v>
      </c>
      <c r="I450" s="0" t="s">
        <v>287</v>
      </c>
      <c r="J450" s="0" t="s">
        <v>286</v>
      </c>
      <c r="K450" s="0" t="s">
        <v>288</v>
      </c>
      <c r="L450" s="0" t="s">
        <v>120</v>
      </c>
      <c r="M450" s="0" t="s">
        <v>121</v>
      </c>
      <c r="N450" s="0" t="s">
        <v>126</v>
      </c>
      <c r="O450" s="0" t="s">
        <v>128</v>
      </c>
      <c r="P450" s="0" t="s">
        <v>289</v>
      </c>
      <c r="Q450" s="0" t="s">
        <v>79</v>
      </c>
      <c r="R450" s="0" t="s">
        <v>290</v>
      </c>
      <c r="S450" s="0" t="s">
        <v>81</v>
      </c>
      <c r="T450" s="0" t="s">
        <v>82</v>
      </c>
    </row>
    <row r="451" customFormat="false" ht="15" hidden="false" customHeight="false" outlineLevel="0" collapsed="false">
      <c r="A451" s="0" t="str">
        <f aca="false">B451&amp;"|"&amp;C451&amp;"|"&amp;D451&amp;"|"&amp;E451&amp;"|"&amp;F451</f>
        <v>2.8+2506|IR|delta_tenor_corr|1y|2w</v>
      </c>
      <c r="B451" s="0" t="s">
        <v>286</v>
      </c>
      <c r="C451" s="0" t="s">
        <v>68</v>
      </c>
      <c r="D451" s="0" t="s">
        <v>118</v>
      </c>
      <c r="E451" s="0" t="s">
        <v>28</v>
      </c>
      <c r="F451" s="0" t="s">
        <v>24</v>
      </c>
      <c r="G451" s="0" t="n">
        <v>0.4</v>
      </c>
      <c r="H451" s="0" t="s">
        <v>119</v>
      </c>
      <c r="I451" s="0" t="s">
        <v>287</v>
      </c>
      <c r="J451" s="0" t="s">
        <v>286</v>
      </c>
      <c r="K451" s="0" t="s">
        <v>288</v>
      </c>
      <c r="L451" s="0" t="s">
        <v>120</v>
      </c>
      <c r="M451" s="0" t="s">
        <v>121</v>
      </c>
      <c r="N451" s="0" t="s">
        <v>127</v>
      </c>
      <c r="O451" s="0" t="s">
        <v>128</v>
      </c>
      <c r="P451" s="0" t="s">
        <v>289</v>
      </c>
      <c r="Q451" s="0" t="s">
        <v>79</v>
      </c>
      <c r="R451" s="0" t="s">
        <v>290</v>
      </c>
      <c r="S451" s="0" t="s">
        <v>81</v>
      </c>
      <c r="T451" s="0" t="s">
        <v>82</v>
      </c>
    </row>
    <row r="452" customFormat="false" ht="15" hidden="false" customHeight="false" outlineLevel="0" collapsed="false">
      <c r="A452" s="0" t="str">
        <f aca="false">B452&amp;"|"&amp;C452&amp;"|"&amp;D452&amp;"|"&amp;E452&amp;"|"&amp;F452</f>
        <v>2.8+2506|IR|delta_tenor_corr|1y|1m</v>
      </c>
      <c r="B452" s="0" t="s">
        <v>286</v>
      </c>
      <c r="C452" s="0" t="s">
        <v>68</v>
      </c>
      <c r="D452" s="0" t="s">
        <v>118</v>
      </c>
      <c r="E452" s="0" t="s">
        <v>28</v>
      </c>
      <c r="F452" s="0" t="s">
        <v>25</v>
      </c>
      <c r="G452" s="0" t="n">
        <v>0.5</v>
      </c>
      <c r="H452" s="0" t="s">
        <v>119</v>
      </c>
      <c r="I452" s="0" t="s">
        <v>287</v>
      </c>
      <c r="J452" s="0" t="s">
        <v>286</v>
      </c>
      <c r="K452" s="0" t="s">
        <v>288</v>
      </c>
      <c r="L452" s="0" t="s">
        <v>120</v>
      </c>
      <c r="M452" s="0" t="s">
        <v>121</v>
      </c>
      <c r="N452" s="0" t="s">
        <v>127</v>
      </c>
      <c r="O452" s="0" t="s">
        <v>128</v>
      </c>
      <c r="P452" s="0" t="s">
        <v>289</v>
      </c>
      <c r="Q452" s="0" t="s">
        <v>79</v>
      </c>
      <c r="R452" s="0" t="s">
        <v>290</v>
      </c>
      <c r="S452" s="0" t="s">
        <v>81</v>
      </c>
      <c r="T452" s="0" t="s">
        <v>82</v>
      </c>
    </row>
    <row r="453" customFormat="false" ht="15" hidden="false" customHeight="false" outlineLevel="0" collapsed="false">
      <c r="A453" s="0" t="str">
        <f aca="false">B453&amp;"|"&amp;C453&amp;"|"&amp;D453&amp;"|"&amp;E453&amp;"|"&amp;F453</f>
        <v>2.8+2506|IR|delta_tenor_corr|1y|3m</v>
      </c>
      <c r="B453" s="0" t="s">
        <v>286</v>
      </c>
      <c r="C453" s="0" t="s">
        <v>68</v>
      </c>
      <c r="D453" s="0" t="s">
        <v>118</v>
      </c>
      <c r="E453" s="0" t="s">
        <v>28</v>
      </c>
      <c r="F453" s="0" t="s">
        <v>26</v>
      </c>
      <c r="G453" s="0" t="n">
        <v>0.69</v>
      </c>
      <c r="H453" s="0" t="s">
        <v>119</v>
      </c>
      <c r="I453" s="0" t="s">
        <v>287</v>
      </c>
      <c r="J453" s="0" t="s">
        <v>286</v>
      </c>
      <c r="K453" s="0" t="s">
        <v>288</v>
      </c>
      <c r="L453" s="0" t="s">
        <v>120</v>
      </c>
      <c r="M453" s="0" t="s">
        <v>121</v>
      </c>
      <c r="N453" s="0" t="s">
        <v>127</v>
      </c>
      <c r="O453" s="0" t="s">
        <v>128</v>
      </c>
      <c r="P453" s="0" t="s">
        <v>289</v>
      </c>
      <c r="Q453" s="0" t="s">
        <v>79</v>
      </c>
      <c r="R453" s="0" t="s">
        <v>290</v>
      </c>
      <c r="S453" s="0" t="s">
        <v>81</v>
      </c>
      <c r="T453" s="0" t="s">
        <v>82</v>
      </c>
    </row>
    <row r="454" customFormat="false" ht="15" hidden="false" customHeight="false" outlineLevel="0" collapsed="false">
      <c r="A454" s="0" t="str">
        <f aca="false">B454&amp;"|"&amp;C454&amp;"|"&amp;D454&amp;"|"&amp;E454&amp;"|"&amp;F454</f>
        <v>2.8+2506|IR|delta_tenor_corr|1y|6m</v>
      </c>
      <c r="B454" s="0" t="s">
        <v>286</v>
      </c>
      <c r="C454" s="0" t="s">
        <v>68</v>
      </c>
      <c r="D454" s="0" t="s">
        <v>118</v>
      </c>
      <c r="E454" s="0" t="s">
        <v>28</v>
      </c>
      <c r="F454" s="0" t="s">
        <v>27</v>
      </c>
      <c r="G454" s="0" t="n">
        <v>0.86</v>
      </c>
      <c r="H454" s="0" t="s">
        <v>119</v>
      </c>
      <c r="I454" s="0" t="s">
        <v>287</v>
      </c>
      <c r="J454" s="0" t="s">
        <v>286</v>
      </c>
      <c r="K454" s="0" t="s">
        <v>288</v>
      </c>
      <c r="L454" s="0" t="s">
        <v>120</v>
      </c>
      <c r="M454" s="0" t="s">
        <v>121</v>
      </c>
      <c r="N454" s="0" t="s">
        <v>127</v>
      </c>
      <c r="O454" s="0" t="s">
        <v>128</v>
      </c>
      <c r="P454" s="0" t="s">
        <v>289</v>
      </c>
      <c r="Q454" s="0" t="s">
        <v>79</v>
      </c>
      <c r="R454" s="0" t="s">
        <v>290</v>
      </c>
      <c r="S454" s="0" t="s">
        <v>81</v>
      </c>
      <c r="T454" s="0" t="s">
        <v>82</v>
      </c>
    </row>
    <row r="455" customFormat="false" ht="15" hidden="false" customHeight="false" outlineLevel="0" collapsed="false">
      <c r="A455" s="0" t="str">
        <f aca="false">B455&amp;"|"&amp;C455&amp;"|"&amp;D455&amp;"|"&amp;E455&amp;"|"&amp;F455</f>
        <v>2.8+2506|IR|delta_tenor_corr|1y|1y</v>
      </c>
      <c r="B455" s="0" t="s">
        <v>286</v>
      </c>
      <c r="C455" s="0" t="s">
        <v>68</v>
      </c>
      <c r="D455" s="0" t="s">
        <v>118</v>
      </c>
      <c r="E455" s="0" t="s">
        <v>28</v>
      </c>
      <c r="F455" s="0" t="s">
        <v>28</v>
      </c>
      <c r="G455" s="0" t="n">
        <v>1</v>
      </c>
      <c r="H455" s="0" t="s">
        <v>119</v>
      </c>
      <c r="I455" s="0" t="s">
        <v>287</v>
      </c>
      <c r="J455" s="0" t="s">
        <v>286</v>
      </c>
      <c r="K455" s="0" t="s">
        <v>288</v>
      </c>
      <c r="L455" s="0" t="s">
        <v>120</v>
      </c>
      <c r="M455" s="0" t="s">
        <v>121</v>
      </c>
      <c r="N455" s="0" t="s">
        <v>127</v>
      </c>
      <c r="O455" s="0" t="s">
        <v>128</v>
      </c>
      <c r="P455" s="0" t="s">
        <v>289</v>
      </c>
      <c r="Q455" s="0" t="s">
        <v>79</v>
      </c>
      <c r="R455" s="0" t="s">
        <v>290</v>
      </c>
      <c r="S455" s="0" t="s">
        <v>81</v>
      </c>
      <c r="T455" s="0" t="s">
        <v>123</v>
      </c>
    </row>
    <row r="456" customFormat="false" ht="15" hidden="false" customHeight="false" outlineLevel="0" collapsed="false">
      <c r="A456" s="0" t="str">
        <f aca="false">B456&amp;"|"&amp;C456&amp;"|"&amp;D456&amp;"|"&amp;E456&amp;"|"&amp;F456</f>
        <v>2.8+2506|IR|delta_tenor_corr|1y|2y</v>
      </c>
      <c r="B456" s="0" t="s">
        <v>286</v>
      </c>
      <c r="C456" s="0" t="s">
        <v>68</v>
      </c>
      <c r="D456" s="0" t="s">
        <v>118</v>
      </c>
      <c r="E456" s="0" t="s">
        <v>28</v>
      </c>
      <c r="F456" s="0" t="s">
        <v>29</v>
      </c>
      <c r="G456" s="0" t="n">
        <v>0.94</v>
      </c>
      <c r="H456" s="0" t="s">
        <v>119</v>
      </c>
      <c r="I456" s="0" t="s">
        <v>287</v>
      </c>
      <c r="J456" s="0" t="s">
        <v>286</v>
      </c>
      <c r="K456" s="0" t="s">
        <v>288</v>
      </c>
      <c r="L456" s="0" t="s">
        <v>120</v>
      </c>
      <c r="M456" s="0" t="s">
        <v>121</v>
      </c>
      <c r="N456" s="0" t="s">
        <v>127</v>
      </c>
      <c r="O456" s="0" t="s">
        <v>128</v>
      </c>
      <c r="P456" s="0" t="s">
        <v>289</v>
      </c>
      <c r="Q456" s="0" t="s">
        <v>79</v>
      </c>
      <c r="R456" s="0" t="s">
        <v>290</v>
      </c>
      <c r="S456" s="0" t="s">
        <v>81</v>
      </c>
      <c r="T456" s="0" t="s">
        <v>82</v>
      </c>
    </row>
    <row r="457" customFormat="false" ht="15" hidden="false" customHeight="false" outlineLevel="0" collapsed="false">
      <c r="A457" s="0" t="str">
        <f aca="false">B457&amp;"|"&amp;C457&amp;"|"&amp;D457&amp;"|"&amp;E457&amp;"|"&amp;F457</f>
        <v>2.8+2506|IR|delta_tenor_corr|1y|3y</v>
      </c>
      <c r="B457" s="0" t="s">
        <v>286</v>
      </c>
      <c r="C457" s="0" t="s">
        <v>68</v>
      </c>
      <c r="D457" s="0" t="s">
        <v>118</v>
      </c>
      <c r="E457" s="0" t="s">
        <v>28</v>
      </c>
      <c r="F457" s="0" t="s">
        <v>30</v>
      </c>
      <c r="G457" s="0" t="n">
        <v>0.87</v>
      </c>
      <c r="H457" s="0" t="s">
        <v>119</v>
      </c>
      <c r="I457" s="0" t="s">
        <v>287</v>
      </c>
      <c r="J457" s="0" t="s">
        <v>286</v>
      </c>
      <c r="K457" s="0" t="s">
        <v>288</v>
      </c>
      <c r="L457" s="0" t="s">
        <v>120</v>
      </c>
      <c r="M457" s="0" t="s">
        <v>121</v>
      </c>
      <c r="N457" s="0" t="s">
        <v>127</v>
      </c>
      <c r="O457" s="0" t="s">
        <v>128</v>
      </c>
      <c r="P457" s="0" t="s">
        <v>289</v>
      </c>
      <c r="Q457" s="0" t="s">
        <v>79</v>
      </c>
      <c r="R457" s="0" t="s">
        <v>290</v>
      </c>
      <c r="S457" s="0" t="s">
        <v>81</v>
      </c>
      <c r="T457" s="0" t="s">
        <v>82</v>
      </c>
    </row>
    <row r="458" customFormat="false" ht="15" hidden="false" customHeight="false" outlineLevel="0" collapsed="false">
      <c r="A458" s="0" t="str">
        <f aca="false">B458&amp;"|"&amp;C458&amp;"|"&amp;D458&amp;"|"&amp;E458&amp;"|"&amp;F458</f>
        <v>2.8+2506|IR|delta_tenor_corr|1y|5y</v>
      </c>
      <c r="B458" s="0" t="s">
        <v>286</v>
      </c>
      <c r="C458" s="0" t="s">
        <v>68</v>
      </c>
      <c r="D458" s="0" t="s">
        <v>118</v>
      </c>
      <c r="E458" s="0" t="s">
        <v>28</v>
      </c>
      <c r="F458" s="0" t="s">
        <v>31</v>
      </c>
      <c r="G458" s="0" t="n">
        <v>0.81</v>
      </c>
      <c r="H458" s="0" t="s">
        <v>119</v>
      </c>
      <c r="I458" s="0" t="s">
        <v>287</v>
      </c>
      <c r="J458" s="0" t="s">
        <v>286</v>
      </c>
      <c r="K458" s="0" t="s">
        <v>288</v>
      </c>
      <c r="L458" s="0" t="s">
        <v>120</v>
      </c>
      <c r="M458" s="0" t="s">
        <v>121</v>
      </c>
      <c r="N458" s="0" t="s">
        <v>127</v>
      </c>
      <c r="O458" s="0" t="s">
        <v>128</v>
      </c>
      <c r="P458" s="0" t="s">
        <v>289</v>
      </c>
      <c r="Q458" s="0" t="s">
        <v>79</v>
      </c>
      <c r="R458" s="0" t="s">
        <v>290</v>
      </c>
      <c r="S458" s="0" t="s">
        <v>81</v>
      </c>
      <c r="T458" s="0" t="s">
        <v>82</v>
      </c>
    </row>
    <row r="459" customFormat="false" ht="15" hidden="false" customHeight="false" outlineLevel="0" collapsed="false">
      <c r="A459" s="0" t="str">
        <f aca="false">B459&amp;"|"&amp;C459&amp;"|"&amp;D459&amp;"|"&amp;E459&amp;"|"&amp;F459</f>
        <v>2.8+2506|IR|delta_tenor_corr|1y|10y</v>
      </c>
      <c r="B459" s="0" t="s">
        <v>286</v>
      </c>
      <c r="C459" s="0" t="s">
        <v>68</v>
      </c>
      <c r="D459" s="0" t="s">
        <v>118</v>
      </c>
      <c r="E459" s="0" t="s">
        <v>28</v>
      </c>
      <c r="F459" s="0" t="s">
        <v>32</v>
      </c>
      <c r="G459" s="0" t="n">
        <v>0.73</v>
      </c>
      <c r="H459" s="0" t="s">
        <v>119</v>
      </c>
      <c r="I459" s="0" t="s">
        <v>287</v>
      </c>
      <c r="J459" s="0" t="s">
        <v>286</v>
      </c>
      <c r="K459" s="0" t="s">
        <v>288</v>
      </c>
      <c r="L459" s="0" t="s">
        <v>120</v>
      </c>
      <c r="M459" s="0" t="s">
        <v>121</v>
      </c>
      <c r="N459" s="0" t="s">
        <v>127</v>
      </c>
      <c r="O459" s="0" t="s">
        <v>128</v>
      </c>
      <c r="P459" s="0" t="s">
        <v>289</v>
      </c>
      <c r="Q459" s="0" t="s">
        <v>79</v>
      </c>
      <c r="R459" s="0" t="s">
        <v>290</v>
      </c>
      <c r="S459" s="0" t="s">
        <v>81</v>
      </c>
      <c r="T459" s="0" t="s">
        <v>82</v>
      </c>
    </row>
    <row r="460" customFormat="false" ht="15" hidden="false" customHeight="false" outlineLevel="0" collapsed="false">
      <c r="A460" s="0" t="str">
        <f aca="false">B460&amp;"|"&amp;C460&amp;"|"&amp;D460&amp;"|"&amp;E460&amp;"|"&amp;F460</f>
        <v>2.8+2506|IR|delta_tenor_corr|1y|15y</v>
      </c>
      <c r="B460" s="0" t="s">
        <v>286</v>
      </c>
      <c r="C460" s="0" t="s">
        <v>68</v>
      </c>
      <c r="D460" s="0" t="s">
        <v>118</v>
      </c>
      <c r="E460" s="0" t="s">
        <v>28</v>
      </c>
      <c r="F460" s="0" t="s">
        <v>33</v>
      </c>
      <c r="G460" s="0" t="n">
        <v>0.69</v>
      </c>
      <c r="H460" s="0" t="s">
        <v>119</v>
      </c>
      <c r="I460" s="0" t="s">
        <v>287</v>
      </c>
      <c r="J460" s="0" t="s">
        <v>286</v>
      </c>
      <c r="K460" s="0" t="s">
        <v>288</v>
      </c>
      <c r="L460" s="0" t="s">
        <v>120</v>
      </c>
      <c r="M460" s="0" t="s">
        <v>121</v>
      </c>
      <c r="N460" s="0" t="s">
        <v>127</v>
      </c>
      <c r="O460" s="0" t="s">
        <v>128</v>
      </c>
      <c r="P460" s="0" t="s">
        <v>289</v>
      </c>
      <c r="Q460" s="0" t="s">
        <v>79</v>
      </c>
      <c r="R460" s="0" t="s">
        <v>290</v>
      </c>
      <c r="S460" s="0" t="s">
        <v>81</v>
      </c>
      <c r="T460" s="0" t="s">
        <v>82</v>
      </c>
    </row>
    <row r="461" customFormat="false" ht="15" hidden="false" customHeight="false" outlineLevel="0" collapsed="false">
      <c r="A461" s="0" t="str">
        <f aca="false">B461&amp;"|"&amp;C461&amp;"|"&amp;D461&amp;"|"&amp;E461&amp;"|"&amp;F461</f>
        <v>2.8+2506|IR|delta_tenor_corr|1y|20y</v>
      </c>
      <c r="B461" s="0" t="s">
        <v>286</v>
      </c>
      <c r="C461" s="0" t="s">
        <v>68</v>
      </c>
      <c r="D461" s="0" t="s">
        <v>118</v>
      </c>
      <c r="E461" s="0" t="s">
        <v>28</v>
      </c>
      <c r="F461" s="0" t="s">
        <v>34</v>
      </c>
      <c r="G461" s="0" t="n">
        <v>0.64</v>
      </c>
      <c r="H461" s="0" t="s">
        <v>119</v>
      </c>
      <c r="I461" s="0" t="s">
        <v>287</v>
      </c>
      <c r="J461" s="0" t="s">
        <v>286</v>
      </c>
      <c r="K461" s="0" t="s">
        <v>288</v>
      </c>
      <c r="L461" s="0" t="s">
        <v>120</v>
      </c>
      <c r="M461" s="0" t="s">
        <v>121</v>
      </c>
      <c r="N461" s="0" t="s">
        <v>127</v>
      </c>
      <c r="O461" s="0" t="s">
        <v>128</v>
      </c>
      <c r="P461" s="0" t="s">
        <v>289</v>
      </c>
      <c r="Q461" s="0" t="s">
        <v>79</v>
      </c>
      <c r="R461" s="0" t="s">
        <v>290</v>
      </c>
      <c r="S461" s="0" t="s">
        <v>81</v>
      </c>
      <c r="T461" s="0" t="s">
        <v>82</v>
      </c>
    </row>
    <row r="462" customFormat="false" ht="15" hidden="false" customHeight="false" outlineLevel="0" collapsed="false">
      <c r="A462" s="0" t="str">
        <f aca="false">B462&amp;"|"&amp;C462&amp;"|"&amp;D462&amp;"|"&amp;E462&amp;"|"&amp;F462</f>
        <v>2.8+2506|IR|delta_tenor_corr|1y|30y</v>
      </c>
      <c r="B462" s="0" t="s">
        <v>286</v>
      </c>
      <c r="C462" s="0" t="s">
        <v>68</v>
      </c>
      <c r="D462" s="0" t="s">
        <v>118</v>
      </c>
      <c r="E462" s="0" t="s">
        <v>28</v>
      </c>
      <c r="F462" s="0" t="s">
        <v>35</v>
      </c>
      <c r="G462" s="0" t="n">
        <v>0.63</v>
      </c>
      <c r="H462" s="0" t="s">
        <v>119</v>
      </c>
      <c r="I462" s="0" t="s">
        <v>287</v>
      </c>
      <c r="J462" s="0" t="s">
        <v>286</v>
      </c>
      <c r="K462" s="0" t="s">
        <v>288</v>
      </c>
      <c r="L462" s="0" t="s">
        <v>120</v>
      </c>
      <c r="M462" s="0" t="s">
        <v>121</v>
      </c>
      <c r="N462" s="0" t="s">
        <v>127</v>
      </c>
      <c r="O462" s="0" t="s">
        <v>128</v>
      </c>
      <c r="P462" s="0" t="s">
        <v>289</v>
      </c>
      <c r="Q462" s="0" t="s">
        <v>79</v>
      </c>
      <c r="R462" s="0" t="s">
        <v>290</v>
      </c>
      <c r="S462" s="0" t="s">
        <v>81</v>
      </c>
      <c r="T462" s="0" t="s">
        <v>82</v>
      </c>
    </row>
    <row r="463" customFormat="false" ht="15" hidden="false" customHeight="false" outlineLevel="0" collapsed="false">
      <c r="A463" s="0" t="str">
        <f aca="false">B463&amp;"|"&amp;C463&amp;"|"&amp;D463&amp;"|"&amp;E463&amp;"|"&amp;F463</f>
        <v>2.8+2506|IR|delta_tenor_corr|2y|2w</v>
      </c>
      <c r="B463" s="0" t="s">
        <v>286</v>
      </c>
      <c r="C463" s="0" t="s">
        <v>68</v>
      </c>
      <c r="D463" s="0" t="s">
        <v>118</v>
      </c>
      <c r="E463" s="0" t="s">
        <v>29</v>
      </c>
      <c r="F463" s="0" t="s">
        <v>24</v>
      </c>
      <c r="G463" s="0" t="n">
        <v>0.29</v>
      </c>
      <c r="H463" s="0" t="s">
        <v>119</v>
      </c>
      <c r="I463" s="0" t="s">
        <v>287</v>
      </c>
      <c r="J463" s="0" t="s">
        <v>286</v>
      </c>
      <c r="K463" s="0" t="s">
        <v>288</v>
      </c>
      <c r="L463" s="0" t="s">
        <v>120</v>
      </c>
      <c r="M463" s="0" t="s">
        <v>121</v>
      </c>
      <c r="N463" s="0" t="s">
        <v>129</v>
      </c>
      <c r="O463" s="0" t="s">
        <v>128</v>
      </c>
      <c r="P463" s="0" t="s">
        <v>289</v>
      </c>
      <c r="Q463" s="0" t="s">
        <v>79</v>
      </c>
      <c r="R463" s="0" t="s">
        <v>290</v>
      </c>
      <c r="S463" s="0" t="s">
        <v>81</v>
      </c>
      <c r="T463" s="0" t="s">
        <v>82</v>
      </c>
    </row>
    <row r="464" customFormat="false" ht="15" hidden="false" customHeight="false" outlineLevel="0" collapsed="false">
      <c r="A464" s="0" t="str">
        <f aca="false">B464&amp;"|"&amp;C464&amp;"|"&amp;D464&amp;"|"&amp;E464&amp;"|"&amp;F464</f>
        <v>2.8+2506|IR|delta_tenor_corr|2y|1m</v>
      </c>
      <c r="B464" s="0" t="s">
        <v>286</v>
      </c>
      <c r="C464" s="0" t="s">
        <v>68</v>
      </c>
      <c r="D464" s="0" t="s">
        <v>118</v>
      </c>
      <c r="E464" s="0" t="s">
        <v>29</v>
      </c>
      <c r="F464" s="0" t="s">
        <v>25</v>
      </c>
      <c r="G464" s="0" t="n">
        <v>0.36</v>
      </c>
      <c r="H464" s="0" t="s">
        <v>119</v>
      </c>
      <c r="I464" s="0" t="s">
        <v>287</v>
      </c>
      <c r="J464" s="0" t="s">
        <v>286</v>
      </c>
      <c r="K464" s="0" t="s">
        <v>288</v>
      </c>
      <c r="L464" s="0" t="s">
        <v>120</v>
      </c>
      <c r="M464" s="0" t="s">
        <v>121</v>
      </c>
      <c r="N464" s="0" t="s">
        <v>129</v>
      </c>
      <c r="O464" s="0" t="s">
        <v>128</v>
      </c>
      <c r="P464" s="0" t="s">
        <v>289</v>
      </c>
      <c r="Q464" s="0" t="s">
        <v>79</v>
      </c>
      <c r="R464" s="0" t="s">
        <v>290</v>
      </c>
      <c r="S464" s="0" t="s">
        <v>81</v>
      </c>
      <c r="T464" s="0" t="s">
        <v>82</v>
      </c>
    </row>
    <row r="465" customFormat="false" ht="15" hidden="false" customHeight="false" outlineLevel="0" collapsed="false">
      <c r="A465" s="0" t="str">
        <f aca="false">B465&amp;"|"&amp;C465&amp;"|"&amp;D465&amp;"|"&amp;E465&amp;"|"&amp;F465</f>
        <v>2.8+2506|IR|delta_tenor_corr|2y|3m</v>
      </c>
      <c r="B465" s="0" t="s">
        <v>286</v>
      </c>
      <c r="C465" s="0" t="s">
        <v>68</v>
      </c>
      <c r="D465" s="0" t="s">
        <v>118</v>
      </c>
      <c r="E465" s="0" t="s">
        <v>29</v>
      </c>
      <c r="F465" s="0" t="s">
        <v>26</v>
      </c>
      <c r="G465" s="0" t="n">
        <v>0.53</v>
      </c>
      <c r="H465" s="0" t="s">
        <v>119</v>
      </c>
      <c r="I465" s="0" t="s">
        <v>287</v>
      </c>
      <c r="J465" s="0" t="s">
        <v>286</v>
      </c>
      <c r="K465" s="0" t="s">
        <v>288</v>
      </c>
      <c r="L465" s="0" t="s">
        <v>120</v>
      </c>
      <c r="M465" s="0" t="s">
        <v>121</v>
      </c>
      <c r="N465" s="0" t="s">
        <v>129</v>
      </c>
      <c r="O465" s="0" t="s">
        <v>128</v>
      </c>
      <c r="P465" s="0" t="s">
        <v>289</v>
      </c>
      <c r="Q465" s="0" t="s">
        <v>79</v>
      </c>
      <c r="R465" s="0" t="s">
        <v>290</v>
      </c>
      <c r="S465" s="0" t="s">
        <v>81</v>
      </c>
      <c r="T465" s="0" t="s">
        <v>82</v>
      </c>
    </row>
    <row r="466" customFormat="false" ht="15" hidden="false" customHeight="false" outlineLevel="0" collapsed="false">
      <c r="A466" s="0" t="str">
        <f aca="false">B466&amp;"|"&amp;C466&amp;"|"&amp;D466&amp;"|"&amp;E466&amp;"|"&amp;F466</f>
        <v>2.8+2506|IR|delta_tenor_corr|2y|6m</v>
      </c>
      <c r="B466" s="0" t="s">
        <v>286</v>
      </c>
      <c r="C466" s="0" t="s">
        <v>68</v>
      </c>
      <c r="D466" s="0" t="s">
        <v>118</v>
      </c>
      <c r="E466" s="0" t="s">
        <v>29</v>
      </c>
      <c r="F466" s="0" t="s">
        <v>27</v>
      </c>
      <c r="G466" s="0" t="n">
        <v>0.73</v>
      </c>
      <c r="H466" s="0" t="s">
        <v>119</v>
      </c>
      <c r="I466" s="0" t="s">
        <v>287</v>
      </c>
      <c r="J466" s="0" t="s">
        <v>286</v>
      </c>
      <c r="K466" s="0" t="s">
        <v>288</v>
      </c>
      <c r="L466" s="0" t="s">
        <v>120</v>
      </c>
      <c r="M466" s="0" t="s">
        <v>121</v>
      </c>
      <c r="N466" s="0" t="s">
        <v>129</v>
      </c>
      <c r="O466" s="0" t="s">
        <v>128</v>
      </c>
      <c r="P466" s="0" t="s">
        <v>289</v>
      </c>
      <c r="Q466" s="0" t="s">
        <v>79</v>
      </c>
      <c r="R466" s="0" t="s">
        <v>290</v>
      </c>
      <c r="S466" s="0" t="s">
        <v>81</v>
      </c>
      <c r="T466" s="0" t="s">
        <v>82</v>
      </c>
    </row>
    <row r="467" customFormat="false" ht="15" hidden="false" customHeight="false" outlineLevel="0" collapsed="false">
      <c r="A467" s="0" t="str">
        <f aca="false">B467&amp;"|"&amp;C467&amp;"|"&amp;D467&amp;"|"&amp;E467&amp;"|"&amp;F467</f>
        <v>2.8+2506|IR|delta_tenor_corr|2y|1y</v>
      </c>
      <c r="B467" s="0" t="s">
        <v>286</v>
      </c>
      <c r="C467" s="0" t="s">
        <v>68</v>
      </c>
      <c r="D467" s="0" t="s">
        <v>118</v>
      </c>
      <c r="E467" s="0" t="s">
        <v>29</v>
      </c>
      <c r="F467" s="0" t="s">
        <v>28</v>
      </c>
      <c r="G467" s="0" t="n">
        <v>0.94</v>
      </c>
      <c r="H467" s="0" t="s">
        <v>119</v>
      </c>
      <c r="I467" s="0" t="s">
        <v>287</v>
      </c>
      <c r="J467" s="0" t="s">
        <v>286</v>
      </c>
      <c r="K467" s="0" t="s">
        <v>288</v>
      </c>
      <c r="L467" s="0" t="s">
        <v>120</v>
      </c>
      <c r="M467" s="0" t="s">
        <v>121</v>
      </c>
      <c r="N467" s="0" t="s">
        <v>129</v>
      </c>
      <c r="O467" s="0" t="s">
        <v>128</v>
      </c>
      <c r="P467" s="0" t="s">
        <v>289</v>
      </c>
      <c r="Q467" s="0" t="s">
        <v>79</v>
      </c>
      <c r="R467" s="0" t="s">
        <v>290</v>
      </c>
      <c r="S467" s="0" t="s">
        <v>81</v>
      </c>
      <c r="T467" s="0" t="s">
        <v>82</v>
      </c>
    </row>
    <row r="468" customFormat="false" ht="15" hidden="false" customHeight="false" outlineLevel="0" collapsed="false">
      <c r="A468" s="0" t="str">
        <f aca="false">B468&amp;"|"&amp;C468&amp;"|"&amp;D468&amp;"|"&amp;E468&amp;"|"&amp;F468</f>
        <v>2.8+2506|IR|delta_tenor_corr|2y|2y</v>
      </c>
      <c r="B468" s="0" t="s">
        <v>286</v>
      </c>
      <c r="C468" s="0" t="s">
        <v>68</v>
      </c>
      <c r="D468" s="0" t="s">
        <v>118</v>
      </c>
      <c r="E468" s="0" t="s">
        <v>29</v>
      </c>
      <c r="F468" s="0" t="s">
        <v>29</v>
      </c>
      <c r="G468" s="0" t="n">
        <v>1</v>
      </c>
      <c r="H468" s="0" t="s">
        <v>119</v>
      </c>
      <c r="I468" s="0" t="s">
        <v>287</v>
      </c>
      <c r="J468" s="0" t="s">
        <v>286</v>
      </c>
      <c r="K468" s="0" t="s">
        <v>288</v>
      </c>
      <c r="L468" s="0" t="s">
        <v>120</v>
      </c>
      <c r="M468" s="0" t="s">
        <v>121</v>
      </c>
      <c r="N468" s="0" t="s">
        <v>129</v>
      </c>
      <c r="O468" s="0" t="s">
        <v>128</v>
      </c>
      <c r="P468" s="0" t="s">
        <v>289</v>
      </c>
      <c r="Q468" s="0" t="s">
        <v>79</v>
      </c>
      <c r="R468" s="0" t="s">
        <v>290</v>
      </c>
      <c r="S468" s="0" t="s">
        <v>81</v>
      </c>
      <c r="T468" s="0" t="s">
        <v>123</v>
      </c>
    </row>
    <row r="469" customFormat="false" ht="15" hidden="false" customHeight="false" outlineLevel="0" collapsed="false">
      <c r="A469" s="0" t="str">
        <f aca="false">B469&amp;"|"&amp;C469&amp;"|"&amp;D469&amp;"|"&amp;E469&amp;"|"&amp;F469</f>
        <v>2.8+2506|IR|delta_tenor_corr|2y|3y</v>
      </c>
      <c r="B469" s="0" t="s">
        <v>286</v>
      </c>
      <c r="C469" s="0" t="s">
        <v>68</v>
      </c>
      <c r="D469" s="0" t="s">
        <v>118</v>
      </c>
      <c r="E469" s="0" t="s">
        <v>29</v>
      </c>
      <c r="F469" s="0" t="s">
        <v>30</v>
      </c>
      <c r="G469" s="0" t="n">
        <v>0.97</v>
      </c>
      <c r="H469" s="0" t="s">
        <v>119</v>
      </c>
      <c r="I469" s="0" t="s">
        <v>287</v>
      </c>
      <c r="J469" s="0" t="s">
        <v>286</v>
      </c>
      <c r="K469" s="0" t="s">
        <v>288</v>
      </c>
      <c r="L469" s="0" t="s">
        <v>120</v>
      </c>
      <c r="M469" s="0" t="s">
        <v>121</v>
      </c>
      <c r="N469" s="0" t="s">
        <v>129</v>
      </c>
      <c r="O469" s="0" t="s">
        <v>128</v>
      </c>
      <c r="P469" s="0" t="s">
        <v>289</v>
      </c>
      <c r="Q469" s="0" t="s">
        <v>79</v>
      </c>
      <c r="R469" s="0" t="s">
        <v>290</v>
      </c>
      <c r="S469" s="0" t="s">
        <v>81</v>
      </c>
      <c r="T469" s="0" t="s">
        <v>82</v>
      </c>
    </row>
    <row r="470" customFormat="false" ht="15" hidden="false" customHeight="false" outlineLevel="0" collapsed="false">
      <c r="A470" s="0" t="str">
        <f aca="false">B470&amp;"|"&amp;C470&amp;"|"&amp;D470&amp;"|"&amp;E470&amp;"|"&amp;F470</f>
        <v>2.8+2506|IR|delta_tenor_corr|2y|5y</v>
      </c>
      <c r="B470" s="0" t="s">
        <v>286</v>
      </c>
      <c r="C470" s="0" t="s">
        <v>68</v>
      </c>
      <c r="D470" s="0" t="s">
        <v>118</v>
      </c>
      <c r="E470" s="0" t="s">
        <v>29</v>
      </c>
      <c r="F470" s="0" t="s">
        <v>31</v>
      </c>
      <c r="G470" s="0" t="n">
        <v>0.92</v>
      </c>
      <c r="H470" s="0" t="s">
        <v>119</v>
      </c>
      <c r="I470" s="0" t="s">
        <v>287</v>
      </c>
      <c r="J470" s="0" t="s">
        <v>286</v>
      </c>
      <c r="K470" s="0" t="s">
        <v>288</v>
      </c>
      <c r="L470" s="0" t="s">
        <v>120</v>
      </c>
      <c r="M470" s="0" t="s">
        <v>121</v>
      </c>
      <c r="N470" s="0" t="s">
        <v>129</v>
      </c>
      <c r="O470" s="0" t="s">
        <v>128</v>
      </c>
      <c r="P470" s="0" t="s">
        <v>289</v>
      </c>
      <c r="Q470" s="0" t="s">
        <v>79</v>
      </c>
      <c r="R470" s="0" t="s">
        <v>290</v>
      </c>
      <c r="S470" s="0" t="s">
        <v>81</v>
      </c>
      <c r="T470" s="0" t="s">
        <v>82</v>
      </c>
    </row>
    <row r="471" customFormat="false" ht="15" hidden="false" customHeight="false" outlineLevel="0" collapsed="false">
      <c r="A471" s="0" t="str">
        <f aca="false">B471&amp;"|"&amp;C471&amp;"|"&amp;D471&amp;"|"&amp;E471&amp;"|"&amp;F471</f>
        <v>2.8+2506|IR|delta_tenor_corr|2y|10y</v>
      </c>
      <c r="B471" s="0" t="s">
        <v>286</v>
      </c>
      <c r="C471" s="0" t="s">
        <v>68</v>
      </c>
      <c r="D471" s="0" t="s">
        <v>118</v>
      </c>
      <c r="E471" s="0" t="s">
        <v>29</v>
      </c>
      <c r="F471" s="0" t="s">
        <v>32</v>
      </c>
      <c r="G471" s="0" t="n">
        <v>0.86</v>
      </c>
      <c r="H471" s="0" t="s">
        <v>119</v>
      </c>
      <c r="I471" s="0" t="s">
        <v>287</v>
      </c>
      <c r="J471" s="0" t="s">
        <v>286</v>
      </c>
      <c r="K471" s="0" t="s">
        <v>288</v>
      </c>
      <c r="L471" s="0" t="s">
        <v>120</v>
      </c>
      <c r="M471" s="0" t="s">
        <v>121</v>
      </c>
      <c r="N471" s="0" t="s">
        <v>129</v>
      </c>
      <c r="O471" s="0" t="s">
        <v>128</v>
      </c>
      <c r="P471" s="0" t="s">
        <v>289</v>
      </c>
      <c r="Q471" s="0" t="s">
        <v>79</v>
      </c>
      <c r="R471" s="0" t="s">
        <v>290</v>
      </c>
      <c r="S471" s="0" t="s">
        <v>81</v>
      </c>
      <c r="T471" s="0" t="s">
        <v>82</v>
      </c>
    </row>
    <row r="472" customFormat="false" ht="15" hidden="false" customHeight="false" outlineLevel="0" collapsed="false">
      <c r="A472" s="0" t="str">
        <f aca="false">B472&amp;"|"&amp;C472&amp;"|"&amp;D472&amp;"|"&amp;E472&amp;"|"&amp;F472</f>
        <v>2.8+2506|IR|delta_tenor_corr|2y|15y</v>
      </c>
      <c r="B472" s="0" t="s">
        <v>286</v>
      </c>
      <c r="C472" s="0" t="s">
        <v>68</v>
      </c>
      <c r="D472" s="0" t="s">
        <v>118</v>
      </c>
      <c r="E472" s="0" t="s">
        <v>29</v>
      </c>
      <c r="F472" s="0" t="s">
        <v>33</v>
      </c>
      <c r="G472" s="0" t="n">
        <v>0.82</v>
      </c>
      <c r="H472" s="0" t="s">
        <v>119</v>
      </c>
      <c r="I472" s="0" t="s">
        <v>287</v>
      </c>
      <c r="J472" s="0" t="s">
        <v>286</v>
      </c>
      <c r="K472" s="0" t="s">
        <v>288</v>
      </c>
      <c r="L472" s="0" t="s">
        <v>120</v>
      </c>
      <c r="M472" s="0" t="s">
        <v>121</v>
      </c>
      <c r="N472" s="0" t="s">
        <v>129</v>
      </c>
      <c r="O472" s="0" t="s">
        <v>128</v>
      </c>
      <c r="P472" s="0" t="s">
        <v>289</v>
      </c>
      <c r="Q472" s="0" t="s">
        <v>79</v>
      </c>
      <c r="R472" s="0" t="s">
        <v>290</v>
      </c>
      <c r="S472" s="0" t="s">
        <v>81</v>
      </c>
      <c r="T472" s="0" t="s">
        <v>82</v>
      </c>
    </row>
    <row r="473" customFormat="false" ht="15" hidden="false" customHeight="false" outlineLevel="0" collapsed="false">
      <c r="A473" s="0" t="str">
        <f aca="false">B473&amp;"|"&amp;C473&amp;"|"&amp;D473&amp;"|"&amp;E473&amp;"|"&amp;F473</f>
        <v>2.8+2506|IR|delta_tenor_corr|2y|20y</v>
      </c>
      <c r="B473" s="0" t="s">
        <v>286</v>
      </c>
      <c r="C473" s="0" t="s">
        <v>68</v>
      </c>
      <c r="D473" s="0" t="s">
        <v>118</v>
      </c>
      <c r="E473" s="0" t="s">
        <v>29</v>
      </c>
      <c r="F473" s="0" t="s">
        <v>34</v>
      </c>
      <c r="G473" s="0" t="n">
        <v>0.77</v>
      </c>
      <c r="H473" s="0" t="s">
        <v>119</v>
      </c>
      <c r="I473" s="0" t="s">
        <v>287</v>
      </c>
      <c r="J473" s="0" t="s">
        <v>286</v>
      </c>
      <c r="K473" s="0" t="s">
        <v>288</v>
      </c>
      <c r="L473" s="0" t="s">
        <v>120</v>
      </c>
      <c r="M473" s="0" t="s">
        <v>121</v>
      </c>
      <c r="N473" s="0" t="s">
        <v>129</v>
      </c>
      <c r="O473" s="0" t="s">
        <v>128</v>
      </c>
      <c r="P473" s="0" t="s">
        <v>289</v>
      </c>
      <c r="Q473" s="0" t="s">
        <v>79</v>
      </c>
      <c r="R473" s="0" t="s">
        <v>290</v>
      </c>
      <c r="S473" s="0" t="s">
        <v>81</v>
      </c>
      <c r="T473" s="0" t="s">
        <v>82</v>
      </c>
    </row>
    <row r="474" customFormat="false" ht="15" hidden="false" customHeight="false" outlineLevel="0" collapsed="false">
      <c r="A474" s="0" t="str">
        <f aca="false">B474&amp;"|"&amp;C474&amp;"|"&amp;D474&amp;"|"&amp;E474&amp;"|"&amp;F474</f>
        <v>2.8+2506|IR|delta_tenor_corr|2y|30y</v>
      </c>
      <c r="B474" s="0" t="s">
        <v>286</v>
      </c>
      <c r="C474" s="0" t="s">
        <v>68</v>
      </c>
      <c r="D474" s="0" t="s">
        <v>118</v>
      </c>
      <c r="E474" s="0" t="s">
        <v>29</v>
      </c>
      <c r="F474" s="0" t="s">
        <v>35</v>
      </c>
      <c r="G474" s="0" t="n">
        <v>0.76</v>
      </c>
      <c r="H474" s="0" t="s">
        <v>119</v>
      </c>
      <c r="I474" s="0" t="s">
        <v>287</v>
      </c>
      <c r="J474" s="0" t="s">
        <v>286</v>
      </c>
      <c r="K474" s="0" t="s">
        <v>288</v>
      </c>
      <c r="L474" s="0" t="s">
        <v>120</v>
      </c>
      <c r="M474" s="0" t="s">
        <v>121</v>
      </c>
      <c r="N474" s="0" t="s">
        <v>129</v>
      </c>
      <c r="O474" s="0" t="s">
        <v>128</v>
      </c>
      <c r="P474" s="0" t="s">
        <v>289</v>
      </c>
      <c r="Q474" s="0" t="s">
        <v>79</v>
      </c>
      <c r="R474" s="0" t="s">
        <v>290</v>
      </c>
      <c r="S474" s="0" t="s">
        <v>81</v>
      </c>
      <c r="T474" s="0" t="s">
        <v>82</v>
      </c>
    </row>
    <row r="475" customFormat="false" ht="15" hidden="false" customHeight="false" outlineLevel="0" collapsed="false">
      <c r="A475" s="0" t="str">
        <f aca="false">B475&amp;"|"&amp;C475&amp;"|"&amp;D475&amp;"|"&amp;E475&amp;"|"&amp;F475</f>
        <v>2.8+2506|IR|delta_tenor_corr|3y|2w</v>
      </c>
      <c r="B475" s="0" t="s">
        <v>286</v>
      </c>
      <c r="C475" s="0" t="s">
        <v>68</v>
      </c>
      <c r="D475" s="0" t="s">
        <v>118</v>
      </c>
      <c r="E475" s="0" t="s">
        <v>30</v>
      </c>
      <c r="F475" s="0" t="s">
        <v>24</v>
      </c>
      <c r="G475" s="0" t="n">
        <v>0.25</v>
      </c>
      <c r="H475" s="0" t="s">
        <v>119</v>
      </c>
      <c r="I475" s="0" t="s">
        <v>287</v>
      </c>
      <c r="J475" s="0" t="s">
        <v>286</v>
      </c>
      <c r="K475" s="0" t="s">
        <v>288</v>
      </c>
      <c r="L475" s="0" t="s">
        <v>120</v>
      </c>
      <c r="M475" s="0" t="s">
        <v>121</v>
      </c>
      <c r="N475" s="0" t="s">
        <v>130</v>
      </c>
      <c r="O475" s="0" t="s">
        <v>128</v>
      </c>
      <c r="P475" s="0" t="s">
        <v>289</v>
      </c>
      <c r="Q475" s="0" t="s">
        <v>79</v>
      </c>
      <c r="R475" s="0" t="s">
        <v>290</v>
      </c>
      <c r="S475" s="0" t="s">
        <v>81</v>
      </c>
      <c r="T475" s="0" t="s">
        <v>82</v>
      </c>
    </row>
    <row r="476" customFormat="false" ht="15" hidden="false" customHeight="false" outlineLevel="0" collapsed="false">
      <c r="A476" s="0" t="str">
        <f aca="false">B476&amp;"|"&amp;C476&amp;"|"&amp;D476&amp;"|"&amp;E476&amp;"|"&amp;F476</f>
        <v>2.8+2506|IR|delta_tenor_corr|3y|1m</v>
      </c>
      <c r="B476" s="0" t="s">
        <v>286</v>
      </c>
      <c r="C476" s="0" t="s">
        <v>68</v>
      </c>
      <c r="D476" s="0" t="s">
        <v>118</v>
      </c>
      <c r="E476" s="0" t="s">
        <v>30</v>
      </c>
      <c r="F476" s="0" t="s">
        <v>25</v>
      </c>
      <c r="G476" s="0" t="n">
        <v>0.3</v>
      </c>
      <c r="H476" s="0" t="s">
        <v>119</v>
      </c>
      <c r="I476" s="0" t="s">
        <v>287</v>
      </c>
      <c r="J476" s="0" t="s">
        <v>286</v>
      </c>
      <c r="K476" s="0" t="s">
        <v>288</v>
      </c>
      <c r="L476" s="0" t="s">
        <v>120</v>
      </c>
      <c r="M476" s="0" t="s">
        <v>121</v>
      </c>
      <c r="N476" s="0" t="s">
        <v>130</v>
      </c>
      <c r="O476" s="0" t="s">
        <v>128</v>
      </c>
      <c r="P476" s="0" t="s">
        <v>289</v>
      </c>
      <c r="Q476" s="0" t="s">
        <v>79</v>
      </c>
      <c r="R476" s="0" t="s">
        <v>290</v>
      </c>
      <c r="S476" s="0" t="s">
        <v>81</v>
      </c>
      <c r="T476" s="0" t="s">
        <v>82</v>
      </c>
    </row>
    <row r="477" customFormat="false" ht="15" hidden="false" customHeight="false" outlineLevel="0" collapsed="false">
      <c r="A477" s="0" t="str">
        <f aca="false">B477&amp;"|"&amp;C477&amp;"|"&amp;D477&amp;"|"&amp;E477&amp;"|"&amp;F477</f>
        <v>2.8+2506|IR|delta_tenor_corr|3y|3m</v>
      </c>
      <c r="B477" s="0" t="s">
        <v>286</v>
      </c>
      <c r="C477" s="0" t="s">
        <v>68</v>
      </c>
      <c r="D477" s="0" t="s">
        <v>118</v>
      </c>
      <c r="E477" s="0" t="s">
        <v>30</v>
      </c>
      <c r="F477" s="0" t="s">
        <v>26</v>
      </c>
      <c r="G477" s="0" t="n">
        <v>0.46</v>
      </c>
      <c r="H477" s="0" t="s">
        <v>119</v>
      </c>
      <c r="I477" s="0" t="s">
        <v>287</v>
      </c>
      <c r="J477" s="0" t="s">
        <v>286</v>
      </c>
      <c r="K477" s="0" t="s">
        <v>288</v>
      </c>
      <c r="L477" s="0" t="s">
        <v>120</v>
      </c>
      <c r="M477" s="0" t="s">
        <v>121</v>
      </c>
      <c r="N477" s="0" t="s">
        <v>130</v>
      </c>
      <c r="O477" s="0" t="s">
        <v>128</v>
      </c>
      <c r="P477" s="0" t="s">
        <v>289</v>
      </c>
      <c r="Q477" s="0" t="s">
        <v>79</v>
      </c>
      <c r="R477" s="0" t="s">
        <v>290</v>
      </c>
      <c r="S477" s="0" t="s">
        <v>81</v>
      </c>
      <c r="T477" s="0" t="s">
        <v>82</v>
      </c>
    </row>
    <row r="478" customFormat="false" ht="15" hidden="false" customHeight="false" outlineLevel="0" collapsed="false">
      <c r="A478" s="0" t="str">
        <f aca="false">B478&amp;"|"&amp;C478&amp;"|"&amp;D478&amp;"|"&amp;E478&amp;"|"&amp;F478</f>
        <v>2.8+2506|IR|delta_tenor_corr|3y|6m</v>
      </c>
      <c r="B478" s="0" t="s">
        <v>286</v>
      </c>
      <c r="C478" s="0" t="s">
        <v>68</v>
      </c>
      <c r="D478" s="0" t="s">
        <v>118</v>
      </c>
      <c r="E478" s="0" t="s">
        <v>30</v>
      </c>
      <c r="F478" s="0" t="s">
        <v>27</v>
      </c>
      <c r="G478" s="0" t="n">
        <v>0.65</v>
      </c>
      <c r="H478" s="0" t="s">
        <v>119</v>
      </c>
      <c r="I478" s="0" t="s">
        <v>287</v>
      </c>
      <c r="J478" s="0" t="s">
        <v>286</v>
      </c>
      <c r="K478" s="0" t="s">
        <v>288</v>
      </c>
      <c r="L478" s="0" t="s">
        <v>120</v>
      </c>
      <c r="M478" s="0" t="s">
        <v>121</v>
      </c>
      <c r="N478" s="0" t="s">
        <v>130</v>
      </c>
      <c r="O478" s="0" t="s">
        <v>128</v>
      </c>
      <c r="P478" s="0" t="s">
        <v>289</v>
      </c>
      <c r="Q478" s="0" t="s">
        <v>79</v>
      </c>
      <c r="R478" s="0" t="s">
        <v>290</v>
      </c>
      <c r="S478" s="0" t="s">
        <v>81</v>
      </c>
      <c r="T478" s="0" t="s">
        <v>82</v>
      </c>
    </row>
    <row r="479" customFormat="false" ht="15" hidden="false" customHeight="false" outlineLevel="0" collapsed="false">
      <c r="A479" s="0" t="str">
        <f aca="false">B479&amp;"|"&amp;C479&amp;"|"&amp;D479&amp;"|"&amp;E479&amp;"|"&amp;F479</f>
        <v>2.8+2506|IR|delta_tenor_corr|3y|1y</v>
      </c>
      <c r="B479" s="0" t="s">
        <v>286</v>
      </c>
      <c r="C479" s="0" t="s">
        <v>68</v>
      </c>
      <c r="D479" s="0" t="s">
        <v>118</v>
      </c>
      <c r="E479" s="0" t="s">
        <v>30</v>
      </c>
      <c r="F479" s="0" t="s">
        <v>28</v>
      </c>
      <c r="G479" s="0" t="n">
        <v>0.87</v>
      </c>
      <c r="H479" s="0" t="s">
        <v>119</v>
      </c>
      <c r="I479" s="0" t="s">
        <v>287</v>
      </c>
      <c r="J479" s="0" t="s">
        <v>286</v>
      </c>
      <c r="K479" s="0" t="s">
        <v>288</v>
      </c>
      <c r="L479" s="0" t="s">
        <v>120</v>
      </c>
      <c r="M479" s="0" t="s">
        <v>121</v>
      </c>
      <c r="N479" s="0" t="s">
        <v>130</v>
      </c>
      <c r="O479" s="0" t="s">
        <v>128</v>
      </c>
      <c r="P479" s="0" t="s">
        <v>289</v>
      </c>
      <c r="Q479" s="0" t="s">
        <v>79</v>
      </c>
      <c r="R479" s="0" t="s">
        <v>290</v>
      </c>
      <c r="S479" s="0" t="s">
        <v>81</v>
      </c>
      <c r="T479" s="0" t="s">
        <v>82</v>
      </c>
    </row>
    <row r="480" customFormat="false" ht="15" hidden="false" customHeight="false" outlineLevel="0" collapsed="false">
      <c r="A480" s="0" t="str">
        <f aca="false">B480&amp;"|"&amp;C480&amp;"|"&amp;D480&amp;"|"&amp;E480&amp;"|"&amp;F480</f>
        <v>2.8+2506|IR|delta_tenor_corr|3y|2y</v>
      </c>
      <c r="B480" s="0" t="s">
        <v>286</v>
      </c>
      <c r="C480" s="0" t="s">
        <v>68</v>
      </c>
      <c r="D480" s="0" t="s">
        <v>118</v>
      </c>
      <c r="E480" s="0" t="s">
        <v>30</v>
      </c>
      <c r="F480" s="0" t="s">
        <v>29</v>
      </c>
      <c r="G480" s="0" t="n">
        <v>0.97</v>
      </c>
      <c r="H480" s="0" t="s">
        <v>119</v>
      </c>
      <c r="I480" s="0" t="s">
        <v>287</v>
      </c>
      <c r="J480" s="0" t="s">
        <v>286</v>
      </c>
      <c r="K480" s="0" t="s">
        <v>288</v>
      </c>
      <c r="L480" s="0" t="s">
        <v>120</v>
      </c>
      <c r="M480" s="0" t="s">
        <v>121</v>
      </c>
      <c r="N480" s="0" t="s">
        <v>130</v>
      </c>
      <c r="O480" s="0" t="s">
        <v>128</v>
      </c>
      <c r="P480" s="0" t="s">
        <v>289</v>
      </c>
      <c r="Q480" s="0" t="s">
        <v>79</v>
      </c>
      <c r="R480" s="0" t="s">
        <v>290</v>
      </c>
      <c r="S480" s="0" t="s">
        <v>81</v>
      </c>
      <c r="T480" s="0" t="s">
        <v>82</v>
      </c>
    </row>
    <row r="481" customFormat="false" ht="15" hidden="false" customHeight="false" outlineLevel="0" collapsed="false">
      <c r="A481" s="0" t="str">
        <f aca="false">B481&amp;"|"&amp;C481&amp;"|"&amp;D481&amp;"|"&amp;E481&amp;"|"&amp;F481</f>
        <v>2.8+2506|IR|delta_tenor_corr|3y|3y</v>
      </c>
      <c r="B481" s="0" t="s">
        <v>286</v>
      </c>
      <c r="C481" s="0" t="s">
        <v>68</v>
      </c>
      <c r="D481" s="0" t="s">
        <v>118</v>
      </c>
      <c r="E481" s="0" t="s">
        <v>30</v>
      </c>
      <c r="F481" s="0" t="s">
        <v>30</v>
      </c>
      <c r="G481" s="0" t="n">
        <v>1</v>
      </c>
      <c r="H481" s="0" t="s">
        <v>119</v>
      </c>
      <c r="I481" s="0" t="s">
        <v>287</v>
      </c>
      <c r="J481" s="0" t="s">
        <v>286</v>
      </c>
      <c r="K481" s="0" t="s">
        <v>288</v>
      </c>
      <c r="L481" s="0" t="s">
        <v>120</v>
      </c>
      <c r="M481" s="0" t="s">
        <v>121</v>
      </c>
      <c r="N481" s="0" t="s">
        <v>130</v>
      </c>
      <c r="O481" s="0" t="s">
        <v>128</v>
      </c>
      <c r="P481" s="0" t="s">
        <v>289</v>
      </c>
      <c r="Q481" s="0" t="s">
        <v>79</v>
      </c>
      <c r="R481" s="0" t="s">
        <v>290</v>
      </c>
      <c r="S481" s="0" t="s">
        <v>81</v>
      </c>
      <c r="T481" s="0" t="s">
        <v>123</v>
      </c>
    </row>
    <row r="482" customFormat="false" ht="15" hidden="false" customHeight="false" outlineLevel="0" collapsed="false">
      <c r="A482" s="0" t="str">
        <f aca="false">B482&amp;"|"&amp;C482&amp;"|"&amp;D482&amp;"|"&amp;E482&amp;"|"&amp;F482</f>
        <v>2.8+2506|IR|delta_tenor_corr|3y|5y</v>
      </c>
      <c r="B482" s="0" t="s">
        <v>286</v>
      </c>
      <c r="C482" s="0" t="s">
        <v>68</v>
      </c>
      <c r="D482" s="0" t="s">
        <v>118</v>
      </c>
      <c r="E482" s="0" t="s">
        <v>30</v>
      </c>
      <c r="F482" s="0" t="s">
        <v>31</v>
      </c>
      <c r="G482" s="0" t="n">
        <v>0.97</v>
      </c>
      <c r="H482" s="0" t="s">
        <v>119</v>
      </c>
      <c r="I482" s="0" t="s">
        <v>287</v>
      </c>
      <c r="J482" s="0" t="s">
        <v>286</v>
      </c>
      <c r="K482" s="0" t="s">
        <v>288</v>
      </c>
      <c r="L482" s="0" t="s">
        <v>120</v>
      </c>
      <c r="M482" s="0" t="s">
        <v>121</v>
      </c>
      <c r="N482" s="0" t="s">
        <v>130</v>
      </c>
      <c r="O482" s="0" t="s">
        <v>128</v>
      </c>
      <c r="P482" s="0" t="s">
        <v>289</v>
      </c>
      <c r="Q482" s="0" t="s">
        <v>79</v>
      </c>
      <c r="R482" s="0" t="s">
        <v>290</v>
      </c>
      <c r="S482" s="0" t="s">
        <v>81</v>
      </c>
      <c r="T482" s="0" t="s">
        <v>82</v>
      </c>
    </row>
    <row r="483" customFormat="false" ht="15" hidden="false" customHeight="false" outlineLevel="0" collapsed="false">
      <c r="A483" s="0" t="str">
        <f aca="false">B483&amp;"|"&amp;C483&amp;"|"&amp;D483&amp;"|"&amp;E483&amp;"|"&amp;F483</f>
        <v>2.8+2506|IR|delta_tenor_corr|3y|10y</v>
      </c>
      <c r="B483" s="0" t="s">
        <v>286</v>
      </c>
      <c r="C483" s="0" t="s">
        <v>68</v>
      </c>
      <c r="D483" s="0" t="s">
        <v>118</v>
      </c>
      <c r="E483" s="0" t="s">
        <v>30</v>
      </c>
      <c r="F483" s="0" t="s">
        <v>32</v>
      </c>
      <c r="G483" s="0" t="n">
        <v>0.91</v>
      </c>
      <c r="H483" s="0" t="s">
        <v>119</v>
      </c>
      <c r="I483" s="0" t="s">
        <v>287</v>
      </c>
      <c r="J483" s="0" t="s">
        <v>286</v>
      </c>
      <c r="K483" s="0" t="s">
        <v>288</v>
      </c>
      <c r="L483" s="0" t="s">
        <v>120</v>
      </c>
      <c r="M483" s="0" t="s">
        <v>121</v>
      </c>
      <c r="N483" s="0" t="s">
        <v>130</v>
      </c>
      <c r="O483" s="0" t="s">
        <v>128</v>
      </c>
      <c r="P483" s="0" t="s">
        <v>289</v>
      </c>
      <c r="Q483" s="0" t="s">
        <v>79</v>
      </c>
      <c r="R483" s="0" t="s">
        <v>290</v>
      </c>
      <c r="S483" s="0" t="s">
        <v>81</v>
      </c>
      <c r="T483" s="0" t="s">
        <v>82</v>
      </c>
    </row>
    <row r="484" customFormat="false" ht="15" hidden="false" customHeight="false" outlineLevel="0" collapsed="false">
      <c r="A484" s="0" t="str">
        <f aca="false">B484&amp;"|"&amp;C484&amp;"|"&amp;D484&amp;"|"&amp;E484&amp;"|"&amp;F484</f>
        <v>2.8+2506|IR|delta_tenor_corr|3y|15y</v>
      </c>
      <c r="B484" s="0" t="s">
        <v>286</v>
      </c>
      <c r="C484" s="0" t="s">
        <v>68</v>
      </c>
      <c r="D484" s="0" t="s">
        <v>118</v>
      </c>
      <c r="E484" s="0" t="s">
        <v>30</v>
      </c>
      <c r="F484" s="0" t="s">
        <v>33</v>
      </c>
      <c r="G484" s="0" t="n">
        <v>0.87</v>
      </c>
      <c r="H484" s="0" t="s">
        <v>119</v>
      </c>
      <c r="I484" s="0" t="s">
        <v>287</v>
      </c>
      <c r="J484" s="0" t="s">
        <v>286</v>
      </c>
      <c r="K484" s="0" t="s">
        <v>288</v>
      </c>
      <c r="L484" s="0" t="s">
        <v>120</v>
      </c>
      <c r="M484" s="0" t="s">
        <v>121</v>
      </c>
      <c r="N484" s="0" t="s">
        <v>130</v>
      </c>
      <c r="O484" s="0" t="s">
        <v>128</v>
      </c>
      <c r="P484" s="0" t="s">
        <v>289</v>
      </c>
      <c r="Q484" s="0" t="s">
        <v>79</v>
      </c>
      <c r="R484" s="0" t="s">
        <v>290</v>
      </c>
      <c r="S484" s="0" t="s">
        <v>81</v>
      </c>
      <c r="T484" s="0" t="s">
        <v>82</v>
      </c>
    </row>
    <row r="485" customFormat="false" ht="15" hidden="false" customHeight="false" outlineLevel="0" collapsed="false">
      <c r="A485" s="0" t="str">
        <f aca="false">B485&amp;"|"&amp;C485&amp;"|"&amp;D485&amp;"|"&amp;E485&amp;"|"&amp;F485</f>
        <v>2.8+2506|IR|delta_tenor_corr|3y|20y</v>
      </c>
      <c r="B485" s="0" t="s">
        <v>286</v>
      </c>
      <c r="C485" s="0" t="s">
        <v>68</v>
      </c>
      <c r="D485" s="0" t="s">
        <v>118</v>
      </c>
      <c r="E485" s="0" t="s">
        <v>30</v>
      </c>
      <c r="F485" s="0" t="s">
        <v>34</v>
      </c>
      <c r="G485" s="0" t="n">
        <v>0.82</v>
      </c>
      <c r="H485" s="0" t="s">
        <v>119</v>
      </c>
      <c r="I485" s="0" t="s">
        <v>287</v>
      </c>
      <c r="J485" s="0" t="s">
        <v>286</v>
      </c>
      <c r="K485" s="0" t="s">
        <v>288</v>
      </c>
      <c r="L485" s="0" t="s">
        <v>120</v>
      </c>
      <c r="M485" s="0" t="s">
        <v>121</v>
      </c>
      <c r="N485" s="0" t="s">
        <v>130</v>
      </c>
      <c r="O485" s="0" t="s">
        <v>128</v>
      </c>
      <c r="P485" s="0" t="s">
        <v>289</v>
      </c>
      <c r="Q485" s="0" t="s">
        <v>79</v>
      </c>
      <c r="R485" s="0" t="s">
        <v>290</v>
      </c>
      <c r="S485" s="0" t="s">
        <v>81</v>
      </c>
      <c r="T485" s="0" t="s">
        <v>82</v>
      </c>
    </row>
    <row r="486" customFormat="false" ht="15" hidden="false" customHeight="false" outlineLevel="0" collapsed="false">
      <c r="A486" s="0" t="str">
        <f aca="false">B486&amp;"|"&amp;C486&amp;"|"&amp;D486&amp;"|"&amp;E486&amp;"|"&amp;F486</f>
        <v>2.8+2506|IR|delta_tenor_corr|3y|30y</v>
      </c>
      <c r="B486" s="0" t="s">
        <v>286</v>
      </c>
      <c r="C486" s="0" t="s">
        <v>68</v>
      </c>
      <c r="D486" s="0" t="s">
        <v>118</v>
      </c>
      <c r="E486" s="0" t="s">
        <v>30</v>
      </c>
      <c r="F486" s="0" t="s">
        <v>35</v>
      </c>
      <c r="G486" s="0" t="n">
        <v>0.81</v>
      </c>
      <c r="H486" s="0" t="s">
        <v>119</v>
      </c>
      <c r="I486" s="0" t="s">
        <v>287</v>
      </c>
      <c r="J486" s="0" t="s">
        <v>286</v>
      </c>
      <c r="K486" s="0" t="s">
        <v>288</v>
      </c>
      <c r="L486" s="0" t="s">
        <v>120</v>
      </c>
      <c r="M486" s="0" t="s">
        <v>121</v>
      </c>
      <c r="N486" s="0" t="s">
        <v>130</v>
      </c>
      <c r="O486" s="0" t="s">
        <v>128</v>
      </c>
      <c r="P486" s="0" t="s">
        <v>289</v>
      </c>
      <c r="Q486" s="0" t="s">
        <v>79</v>
      </c>
      <c r="R486" s="0" t="s">
        <v>290</v>
      </c>
      <c r="S486" s="0" t="s">
        <v>81</v>
      </c>
      <c r="T486" s="0" t="s">
        <v>82</v>
      </c>
    </row>
    <row r="487" customFormat="false" ht="15" hidden="false" customHeight="false" outlineLevel="0" collapsed="false">
      <c r="A487" s="0" t="str">
        <f aca="false">B487&amp;"|"&amp;C487&amp;"|"&amp;D487&amp;"|"&amp;E487&amp;"|"&amp;F487</f>
        <v>2.8+2506|IR|delta_tenor_corr|5y|2w</v>
      </c>
      <c r="B487" s="0" t="s">
        <v>286</v>
      </c>
      <c r="C487" s="0" t="s">
        <v>68</v>
      </c>
      <c r="D487" s="0" t="s">
        <v>118</v>
      </c>
      <c r="E487" s="0" t="s">
        <v>31</v>
      </c>
      <c r="F487" s="0" t="s">
        <v>24</v>
      </c>
      <c r="G487" s="0" t="n">
        <v>0.22</v>
      </c>
      <c r="H487" s="0" t="s">
        <v>119</v>
      </c>
      <c r="I487" s="0" t="s">
        <v>287</v>
      </c>
      <c r="J487" s="0" t="s">
        <v>286</v>
      </c>
      <c r="K487" s="0" t="s">
        <v>288</v>
      </c>
      <c r="L487" s="0" t="s">
        <v>120</v>
      </c>
      <c r="M487" s="0" t="s">
        <v>121</v>
      </c>
      <c r="N487" s="0" t="s">
        <v>131</v>
      </c>
      <c r="O487" s="0" t="s">
        <v>128</v>
      </c>
      <c r="P487" s="0" t="s">
        <v>289</v>
      </c>
      <c r="Q487" s="0" t="s">
        <v>79</v>
      </c>
      <c r="R487" s="0" t="s">
        <v>290</v>
      </c>
      <c r="S487" s="0" t="s">
        <v>81</v>
      </c>
      <c r="T487" s="0" t="s">
        <v>82</v>
      </c>
    </row>
    <row r="488" customFormat="false" ht="15" hidden="false" customHeight="false" outlineLevel="0" collapsed="false">
      <c r="A488" s="0" t="str">
        <f aca="false">B488&amp;"|"&amp;C488&amp;"|"&amp;D488&amp;"|"&amp;E488&amp;"|"&amp;F488</f>
        <v>2.8+2506|IR|delta_tenor_corr|5y|1m</v>
      </c>
      <c r="B488" s="0" t="s">
        <v>286</v>
      </c>
      <c r="C488" s="0" t="s">
        <v>68</v>
      </c>
      <c r="D488" s="0" t="s">
        <v>118</v>
      </c>
      <c r="E488" s="0" t="s">
        <v>31</v>
      </c>
      <c r="F488" s="0" t="s">
        <v>25</v>
      </c>
      <c r="G488" s="0" t="n">
        <v>0.25</v>
      </c>
      <c r="H488" s="0" t="s">
        <v>119</v>
      </c>
      <c r="I488" s="0" t="s">
        <v>287</v>
      </c>
      <c r="J488" s="0" t="s">
        <v>286</v>
      </c>
      <c r="K488" s="0" t="s">
        <v>288</v>
      </c>
      <c r="L488" s="0" t="s">
        <v>120</v>
      </c>
      <c r="M488" s="0" t="s">
        <v>121</v>
      </c>
      <c r="N488" s="0" t="s">
        <v>131</v>
      </c>
      <c r="O488" s="0" t="s">
        <v>128</v>
      </c>
      <c r="P488" s="0" t="s">
        <v>289</v>
      </c>
      <c r="Q488" s="0" t="s">
        <v>79</v>
      </c>
      <c r="R488" s="0" t="s">
        <v>290</v>
      </c>
      <c r="S488" s="0" t="s">
        <v>81</v>
      </c>
      <c r="T488" s="0" t="s">
        <v>82</v>
      </c>
    </row>
    <row r="489" customFormat="false" ht="15" hidden="false" customHeight="false" outlineLevel="0" collapsed="false">
      <c r="A489" s="0" t="str">
        <f aca="false">B489&amp;"|"&amp;C489&amp;"|"&amp;D489&amp;"|"&amp;E489&amp;"|"&amp;F489</f>
        <v>2.8+2506|IR|delta_tenor_corr|5y|3m</v>
      </c>
      <c r="B489" s="0" t="s">
        <v>286</v>
      </c>
      <c r="C489" s="0" t="s">
        <v>68</v>
      </c>
      <c r="D489" s="0" t="s">
        <v>118</v>
      </c>
      <c r="E489" s="0" t="s">
        <v>31</v>
      </c>
      <c r="F489" s="0" t="s">
        <v>26</v>
      </c>
      <c r="G489" s="0" t="n">
        <v>0.4</v>
      </c>
      <c r="H489" s="0" t="s">
        <v>119</v>
      </c>
      <c r="I489" s="0" t="s">
        <v>287</v>
      </c>
      <c r="J489" s="0" t="s">
        <v>286</v>
      </c>
      <c r="K489" s="0" t="s">
        <v>288</v>
      </c>
      <c r="L489" s="0" t="s">
        <v>120</v>
      </c>
      <c r="M489" s="0" t="s">
        <v>121</v>
      </c>
      <c r="N489" s="0" t="s">
        <v>131</v>
      </c>
      <c r="O489" s="0" t="s">
        <v>128</v>
      </c>
      <c r="P489" s="0" t="s">
        <v>289</v>
      </c>
      <c r="Q489" s="0" t="s">
        <v>79</v>
      </c>
      <c r="R489" s="0" t="s">
        <v>290</v>
      </c>
      <c r="S489" s="0" t="s">
        <v>81</v>
      </c>
      <c r="T489" s="0" t="s">
        <v>82</v>
      </c>
    </row>
    <row r="490" customFormat="false" ht="15" hidden="false" customHeight="false" outlineLevel="0" collapsed="false">
      <c r="A490" s="0" t="str">
        <f aca="false">B490&amp;"|"&amp;C490&amp;"|"&amp;D490&amp;"|"&amp;E490&amp;"|"&amp;F490</f>
        <v>2.8+2506|IR|delta_tenor_corr|5y|6m</v>
      </c>
      <c r="B490" s="0" t="s">
        <v>286</v>
      </c>
      <c r="C490" s="0" t="s">
        <v>68</v>
      </c>
      <c r="D490" s="0" t="s">
        <v>118</v>
      </c>
      <c r="E490" s="0" t="s">
        <v>31</v>
      </c>
      <c r="F490" s="0" t="s">
        <v>27</v>
      </c>
      <c r="G490" s="0" t="n">
        <v>0.58</v>
      </c>
      <c r="H490" s="0" t="s">
        <v>119</v>
      </c>
      <c r="I490" s="0" t="s">
        <v>287</v>
      </c>
      <c r="J490" s="0" t="s">
        <v>286</v>
      </c>
      <c r="K490" s="0" t="s">
        <v>288</v>
      </c>
      <c r="L490" s="0" t="s">
        <v>120</v>
      </c>
      <c r="M490" s="0" t="s">
        <v>121</v>
      </c>
      <c r="N490" s="0" t="s">
        <v>131</v>
      </c>
      <c r="O490" s="0" t="s">
        <v>128</v>
      </c>
      <c r="P490" s="0" t="s">
        <v>289</v>
      </c>
      <c r="Q490" s="0" t="s">
        <v>79</v>
      </c>
      <c r="R490" s="0" t="s">
        <v>290</v>
      </c>
      <c r="S490" s="0" t="s">
        <v>81</v>
      </c>
      <c r="T490" s="0" t="s">
        <v>82</v>
      </c>
    </row>
    <row r="491" customFormat="false" ht="15" hidden="false" customHeight="false" outlineLevel="0" collapsed="false">
      <c r="A491" s="0" t="str">
        <f aca="false">B491&amp;"|"&amp;C491&amp;"|"&amp;D491&amp;"|"&amp;E491&amp;"|"&amp;F491</f>
        <v>2.8+2506|IR|delta_tenor_corr|5y|1y</v>
      </c>
      <c r="B491" s="0" t="s">
        <v>286</v>
      </c>
      <c r="C491" s="0" t="s">
        <v>68</v>
      </c>
      <c r="D491" s="0" t="s">
        <v>118</v>
      </c>
      <c r="E491" s="0" t="s">
        <v>31</v>
      </c>
      <c r="F491" s="0" t="s">
        <v>28</v>
      </c>
      <c r="G491" s="0" t="n">
        <v>0.81</v>
      </c>
      <c r="H491" s="0" t="s">
        <v>119</v>
      </c>
      <c r="I491" s="0" t="s">
        <v>287</v>
      </c>
      <c r="J491" s="0" t="s">
        <v>286</v>
      </c>
      <c r="K491" s="0" t="s">
        <v>288</v>
      </c>
      <c r="L491" s="0" t="s">
        <v>120</v>
      </c>
      <c r="M491" s="0" t="s">
        <v>121</v>
      </c>
      <c r="N491" s="0" t="s">
        <v>131</v>
      </c>
      <c r="O491" s="0" t="s">
        <v>128</v>
      </c>
      <c r="P491" s="0" t="s">
        <v>289</v>
      </c>
      <c r="Q491" s="0" t="s">
        <v>79</v>
      </c>
      <c r="R491" s="0" t="s">
        <v>290</v>
      </c>
      <c r="S491" s="0" t="s">
        <v>81</v>
      </c>
      <c r="T491" s="0" t="s">
        <v>82</v>
      </c>
    </row>
    <row r="492" customFormat="false" ht="15" hidden="false" customHeight="false" outlineLevel="0" collapsed="false">
      <c r="A492" s="0" t="str">
        <f aca="false">B492&amp;"|"&amp;C492&amp;"|"&amp;D492&amp;"|"&amp;E492&amp;"|"&amp;F492</f>
        <v>2.8+2506|IR|delta_tenor_corr|5y|2y</v>
      </c>
      <c r="B492" s="0" t="s">
        <v>286</v>
      </c>
      <c r="C492" s="0" t="s">
        <v>68</v>
      </c>
      <c r="D492" s="0" t="s">
        <v>118</v>
      </c>
      <c r="E492" s="0" t="s">
        <v>31</v>
      </c>
      <c r="F492" s="0" t="s">
        <v>29</v>
      </c>
      <c r="G492" s="0" t="n">
        <v>0.92</v>
      </c>
      <c r="H492" s="0" t="s">
        <v>119</v>
      </c>
      <c r="I492" s="0" t="s">
        <v>287</v>
      </c>
      <c r="J492" s="0" t="s">
        <v>286</v>
      </c>
      <c r="K492" s="0" t="s">
        <v>288</v>
      </c>
      <c r="L492" s="0" t="s">
        <v>120</v>
      </c>
      <c r="M492" s="0" t="s">
        <v>121</v>
      </c>
      <c r="N492" s="0" t="s">
        <v>131</v>
      </c>
      <c r="O492" s="0" t="s">
        <v>128</v>
      </c>
      <c r="P492" s="0" t="s">
        <v>289</v>
      </c>
      <c r="Q492" s="0" t="s">
        <v>79</v>
      </c>
      <c r="R492" s="0" t="s">
        <v>290</v>
      </c>
      <c r="S492" s="0" t="s">
        <v>81</v>
      </c>
      <c r="T492" s="0" t="s">
        <v>82</v>
      </c>
    </row>
    <row r="493" customFormat="false" ht="15" hidden="false" customHeight="false" outlineLevel="0" collapsed="false">
      <c r="A493" s="0" t="str">
        <f aca="false">B493&amp;"|"&amp;C493&amp;"|"&amp;D493&amp;"|"&amp;E493&amp;"|"&amp;F493</f>
        <v>2.8+2506|IR|delta_tenor_corr|5y|3y</v>
      </c>
      <c r="B493" s="0" t="s">
        <v>286</v>
      </c>
      <c r="C493" s="0" t="s">
        <v>68</v>
      </c>
      <c r="D493" s="0" t="s">
        <v>118</v>
      </c>
      <c r="E493" s="0" t="s">
        <v>31</v>
      </c>
      <c r="F493" s="0" t="s">
        <v>30</v>
      </c>
      <c r="G493" s="0" t="n">
        <v>0.97</v>
      </c>
      <c r="H493" s="0" t="s">
        <v>119</v>
      </c>
      <c r="I493" s="0" t="s">
        <v>287</v>
      </c>
      <c r="J493" s="0" t="s">
        <v>286</v>
      </c>
      <c r="K493" s="0" t="s">
        <v>288</v>
      </c>
      <c r="L493" s="0" t="s">
        <v>120</v>
      </c>
      <c r="M493" s="0" t="s">
        <v>121</v>
      </c>
      <c r="N493" s="0" t="s">
        <v>131</v>
      </c>
      <c r="O493" s="0" t="s">
        <v>128</v>
      </c>
      <c r="P493" s="0" t="s">
        <v>289</v>
      </c>
      <c r="Q493" s="0" t="s">
        <v>79</v>
      </c>
      <c r="R493" s="0" t="s">
        <v>290</v>
      </c>
      <c r="S493" s="0" t="s">
        <v>81</v>
      </c>
      <c r="T493" s="0" t="s">
        <v>82</v>
      </c>
    </row>
    <row r="494" customFormat="false" ht="15" hidden="false" customHeight="false" outlineLevel="0" collapsed="false">
      <c r="A494" s="0" t="str">
        <f aca="false">B494&amp;"|"&amp;C494&amp;"|"&amp;D494&amp;"|"&amp;E494&amp;"|"&amp;F494</f>
        <v>2.8+2506|IR|delta_tenor_corr|5y|5y</v>
      </c>
      <c r="B494" s="0" t="s">
        <v>286</v>
      </c>
      <c r="C494" s="0" t="s">
        <v>68</v>
      </c>
      <c r="D494" s="0" t="s">
        <v>118</v>
      </c>
      <c r="E494" s="0" t="s">
        <v>31</v>
      </c>
      <c r="F494" s="0" t="s">
        <v>31</v>
      </c>
      <c r="G494" s="0" t="n">
        <v>1</v>
      </c>
      <c r="H494" s="0" t="s">
        <v>119</v>
      </c>
      <c r="I494" s="0" t="s">
        <v>287</v>
      </c>
      <c r="J494" s="0" t="s">
        <v>286</v>
      </c>
      <c r="K494" s="0" t="s">
        <v>288</v>
      </c>
      <c r="L494" s="0" t="s">
        <v>120</v>
      </c>
      <c r="M494" s="0" t="s">
        <v>121</v>
      </c>
      <c r="N494" s="0" t="s">
        <v>131</v>
      </c>
      <c r="O494" s="0" t="s">
        <v>128</v>
      </c>
      <c r="P494" s="0" t="s">
        <v>289</v>
      </c>
      <c r="Q494" s="0" t="s">
        <v>79</v>
      </c>
      <c r="R494" s="0" t="s">
        <v>290</v>
      </c>
      <c r="S494" s="0" t="s">
        <v>81</v>
      </c>
      <c r="T494" s="0" t="s">
        <v>123</v>
      </c>
    </row>
    <row r="495" customFormat="false" ht="15" hidden="false" customHeight="false" outlineLevel="0" collapsed="false">
      <c r="A495" s="0" t="str">
        <f aca="false">B495&amp;"|"&amp;C495&amp;"|"&amp;D495&amp;"|"&amp;E495&amp;"|"&amp;F495</f>
        <v>2.8+2506|IR|delta_tenor_corr|5y|10y</v>
      </c>
      <c r="B495" s="0" t="s">
        <v>286</v>
      </c>
      <c r="C495" s="0" t="s">
        <v>68</v>
      </c>
      <c r="D495" s="0" t="s">
        <v>118</v>
      </c>
      <c r="E495" s="0" t="s">
        <v>31</v>
      </c>
      <c r="F495" s="0" t="s">
        <v>32</v>
      </c>
      <c r="G495" s="0" t="n">
        <v>0.96</v>
      </c>
      <c r="H495" s="0" t="s">
        <v>119</v>
      </c>
      <c r="I495" s="0" t="s">
        <v>287</v>
      </c>
      <c r="J495" s="0" t="s">
        <v>286</v>
      </c>
      <c r="K495" s="0" t="s">
        <v>288</v>
      </c>
      <c r="L495" s="0" t="s">
        <v>120</v>
      </c>
      <c r="M495" s="0" t="s">
        <v>121</v>
      </c>
      <c r="N495" s="0" t="s">
        <v>131</v>
      </c>
      <c r="O495" s="0" t="s">
        <v>128</v>
      </c>
      <c r="P495" s="0" t="s">
        <v>289</v>
      </c>
      <c r="Q495" s="0" t="s">
        <v>79</v>
      </c>
      <c r="R495" s="0" t="s">
        <v>290</v>
      </c>
      <c r="S495" s="0" t="s">
        <v>81</v>
      </c>
      <c r="T495" s="0" t="s">
        <v>82</v>
      </c>
    </row>
    <row r="496" customFormat="false" ht="15" hidden="false" customHeight="false" outlineLevel="0" collapsed="false">
      <c r="A496" s="0" t="str">
        <f aca="false">B496&amp;"|"&amp;C496&amp;"|"&amp;D496&amp;"|"&amp;E496&amp;"|"&amp;F496</f>
        <v>2.8+2506|IR|delta_tenor_corr|5y|15y</v>
      </c>
      <c r="B496" s="0" t="s">
        <v>286</v>
      </c>
      <c r="C496" s="0" t="s">
        <v>68</v>
      </c>
      <c r="D496" s="0" t="s">
        <v>118</v>
      </c>
      <c r="E496" s="0" t="s">
        <v>31</v>
      </c>
      <c r="F496" s="0" t="s">
        <v>33</v>
      </c>
      <c r="G496" s="0" t="n">
        <v>0.93</v>
      </c>
      <c r="H496" s="0" t="s">
        <v>119</v>
      </c>
      <c r="I496" s="0" t="s">
        <v>287</v>
      </c>
      <c r="J496" s="0" t="s">
        <v>286</v>
      </c>
      <c r="K496" s="0" t="s">
        <v>288</v>
      </c>
      <c r="L496" s="0" t="s">
        <v>120</v>
      </c>
      <c r="M496" s="0" t="s">
        <v>121</v>
      </c>
      <c r="N496" s="0" t="s">
        <v>131</v>
      </c>
      <c r="O496" s="0" t="s">
        <v>128</v>
      </c>
      <c r="P496" s="0" t="s">
        <v>289</v>
      </c>
      <c r="Q496" s="0" t="s">
        <v>79</v>
      </c>
      <c r="R496" s="0" t="s">
        <v>290</v>
      </c>
      <c r="S496" s="0" t="s">
        <v>81</v>
      </c>
      <c r="T496" s="0" t="s">
        <v>82</v>
      </c>
    </row>
    <row r="497" customFormat="false" ht="15" hidden="false" customHeight="false" outlineLevel="0" collapsed="false">
      <c r="A497" s="0" t="str">
        <f aca="false">B497&amp;"|"&amp;C497&amp;"|"&amp;D497&amp;"|"&amp;E497&amp;"|"&amp;F497</f>
        <v>2.8+2506|IR|delta_tenor_corr|5y|20y</v>
      </c>
      <c r="B497" s="0" t="s">
        <v>286</v>
      </c>
      <c r="C497" s="0" t="s">
        <v>68</v>
      </c>
      <c r="D497" s="0" t="s">
        <v>118</v>
      </c>
      <c r="E497" s="0" t="s">
        <v>31</v>
      </c>
      <c r="F497" s="0" t="s">
        <v>34</v>
      </c>
      <c r="G497" s="0" t="n">
        <v>0.89</v>
      </c>
      <c r="H497" s="0" t="s">
        <v>119</v>
      </c>
      <c r="I497" s="0" t="s">
        <v>287</v>
      </c>
      <c r="J497" s="0" t="s">
        <v>286</v>
      </c>
      <c r="K497" s="0" t="s">
        <v>288</v>
      </c>
      <c r="L497" s="0" t="s">
        <v>120</v>
      </c>
      <c r="M497" s="0" t="s">
        <v>121</v>
      </c>
      <c r="N497" s="0" t="s">
        <v>131</v>
      </c>
      <c r="O497" s="0" t="s">
        <v>128</v>
      </c>
      <c r="P497" s="0" t="s">
        <v>289</v>
      </c>
      <c r="Q497" s="0" t="s">
        <v>79</v>
      </c>
      <c r="R497" s="0" t="s">
        <v>290</v>
      </c>
      <c r="S497" s="0" t="s">
        <v>81</v>
      </c>
      <c r="T497" s="0" t="s">
        <v>82</v>
      </c>
    </row>
    <row r="498" customFormat="false" ht="15" hidden="false" customHeight="false" outlineLevel="0" collapsed="false">
      <c r="A498" s="0" t="str">
        <f aca="false">B498&amp;"|"&amp;C498&amp;"|"&amp;D498&amp;"|"&amp;E498&amp;"|"&amp;F498</f>
        <v>2.8+2506|IR|delta_tenor_corr|5y|30y</v>
      </c>
      <c r="B498" s="0" t="s">
        <v>286</v>
      </c>
      <c r="C498" s="0" t="s">
        <v>68</v>
      </c>
      <c r="D498" s="0" t="s">
        <v>118</v>
      </c>
      <c r="E498" s="0" t="s">
        <v>31</v>
      </c>
      <c r="F498" s="0" t="s">
        <v>35</v>
      </c>
      <c r="G498" s="0" t="n">
        <v>0.88</v>
      </c>
      <c r="H498" s="0" t="s">
        <v>119</v>
      </c>
      <c r="I498" s="0" t="s">
        <v>287</v>
      </c>
      <c r="J498" s="0" t="s">
        <v>286</v>
      </c>
      <c r="K498" s="0" t="s">
        <v>288</v>
      </c>
      <c r="L498" s="0" t="s">
        <v>120</v>
      </c>
      <c r="M498" s="0" t="s">
        <v>121</v>
      </c>
      <c r="N498" s="0" t="s">
        <v>131</v>
      </c>
      <c r="O498" s="0" t="s">
        <v>128</v>
      </c>
      <c r="P498" s="0" t="s">
        <v>289</v>
      </c>
      <c r="Q498" s="0" t="s">
        <v>79</v>
      </c>
      <c r="R498" s="0" t="s">
        <v>290</v>
      </c>
      <c r="S498" s="0" t="s">
        <v>81</v>
      </c>
      <c r="T498" s="0" t="s">
        <v>82</v>
      </c>
    </row>
    <row r="499" customFormat="false" ht="15" hidden="false" customHeight="false" outlineLevel="0" collapsed="false">
      <c r="A499" s="0" t="str">
        <f aca="false">B499&amp;"|"&amp;C499&amp;"|"&amp;D499&amp;"|"&amp;E499&amp;"|"&amp;F499</f>
        <v>2.8+2506|IR|delta_tenor_corr|10y|2w</v>
      </c>
      <c r="B499" s="0" t="s">
        <v>286</v>
      </c>
      <c r="C499" s="0" t="s">
        <v>68</v>
      </c>
      <c r="D499" s="0" t="s">
        <v>118</v>
      </c>
      <c r="E499" s="0" t="s">
        <v>32</v>
      </c>
      <c r="F499" s="0" t="s">
        <v>24</v>
      </c>
      <c r="G499" s="0" t="n">
        <v>0.17</v>
      </c>
      <c r="H499" s="0" t="s">
        <v>119</v>
      </c>
      <c r="I499" s="0" t="s">
        <v>287</v>
      </c>
      <c r="J499" s="0" t="s">
        <v>286</v>
      </c>
      <c r="K499" s="0" t="s">
        <v>288</v>
      </c>
      <c r="L499" s="0" t="s">
        <v>120</v>
      </c>
      <c r="M499" s="0" t="s">
        <v>121</v>
      </c>
      <c r="N499" s="0" t="s">
        <v>132</v>
      </c>
      <c r="O499" s="0" t="s">
        <v>128</v>
      </c>
      <c r="P499" s="0" t="s">
        <v>289</v>
      </c>
      <c r="Q499" s="0" t="s">
        <v>79</v>
      </c>
      <c r="R499" s="0" t="s">
        <v>290</v>
      </c>
      <c r="S499" s="0" t="s">
        <v>81</v>
      </c>
      <c r="T499" s="0" t="s">
        <v>82</v>
      </c>
    </row>
    <row r="500" customFormat="false" ht="15" hidden="false" customHeight="false" outlineLevel="0" collapsed="false">
      <c r="A500" s="0" t="str">
        <f aca="false">B500&amp;"|"&amp;C500&amp;"|"&amp;D500&amp;"|"&amp;E500&amp;"|"&amp;F500</f>
        <v>2.8+2506|IR|delta_tenor_corr|10y|1m</v>
      </c>
      <c r="B500" s="0" t="s">
        <v>286</v>
      </c>
      <c r="C500" s="0" t="s">
        <v>68</v>
      </c>
      <c r="D500" s="0" t="s">
        <v>118</v>
      </c>
      <c r="E500" s="0" t="s">
        <v>32</v>
      </c>
      <c r="F500" s="0" t="s">
        <v>25</v>
      </c>
      <c r="G500" s="0" t="n">
        <v>0.2</v>
      </c>
      <c r="H500" s="0" t="s">
        <v>119</v>
      </c>
      <c r="I500" s="0" t="s">
        <v>287</v>
      </c>
      <c r="J500" s="0" t="s">
        <v>286</v>
      </c>
      <c r="K500" s="0" t="s">
        <v>288</v>
      </c>
      <c r="L500" s="0" t="s">
        <v>120</v>
      </c>
      <c r="M500" s="0" t="s">
        <v>121</v>
      </c>
      <c r="N500" s="0" t="s">
        <v>132</v>
      </c>
      <c r="O500" s="0" t="s">
        <v>128</v>
      </c>
      <c r="P500" s="0" t="s">
        <v>289</v>
      </c>
      <c r="Q500" s="0" t="s">
        <v>79</v>
      </c>
      <c r="R500" s="0" t="s">
        <v>290</v>
      </c>
      <c r="S500" s="0" t="s">
        <v>81</v>
      </c>
      <c r="T500" s="0" t="s">
        <v>82</v>
      </c>
    </row>
    <row r="501" customFormat="false" ht="15" hidden="false" customHeight="false" outlineLevel="0" collapsed="false">
      <c r="A501" s="0" t="str">
        <f aca="false">B501&amp;"|"&amp;C501&amp;"|"&amp;D501&amp;"|"&amp;E501&amp;"|"&amp;F501</f>
        <v>2.8+2506|IR|delta_tenor_corr|10y|3m</v>
      </c>
      <c r="B501" s="0" t="s">
        <v>286</v>
      </c>
      <c r="C501" s="0" t="s">
        <v>68</v>
      </c>
      <c r="D501" s="0" t="s">
        <v>118</v>
      </c>
      <c r="E501" s="0" t="s">
        <v>32</v>
      </c>
      <c r="F501" s="0" t="s">
        <v>26</v>
      </c>
      <c r="G501" s="0" t="n">
        <v>0.34</v>
      </c>
      <c r="H501" s="0" t="s">
        <v>119</v>
      </c>
      <c r="I501" s="0" t="s">
        <v>287</v>
      </c>
      <c r="J501" s="0" t="s">
        <v>286</v>
      </c>
      <c r="K501" s="0" t="s">
        <v>288</v>
      </c>
      <c r="L501" s="0" t="s">
        <v>120</v>
      </c>
      <c r="M501" s="0" t="s">
        <v>121</v>
      </c>
      <c r="N501" s="0" t="s">
        <v>132</v>
      </c>
      <c r="O501" s="0" t="s">
        <v>128</v>
      </c>
      <c r="P501" s="0" t="s">
        <v>289</v>
      </c>
      <c r="Q501" s="0" t="s">
        <v>79</v>
      </c>
      <c r="R501" s="0" t="s">
        <v>290</v>
      </c>
      <c r="S501" s="0" t="s">
        <v>81</v>
      </c>
      <c r="T501" s="0" t="s">
        <v>82</v>
      </c>
    </row>
    <row r="502" customFormat="false" ht="15" hidden="false" customHeight="false" outlineLevel="0" collapsed="false">
      <c r="A502" s="0" t="str">
        <f aca="false">B502&amp;"|"&amp;C502&amp;"|"&amp;D502&amp;"|"&amp;E502&amp;"|"&amp;F502</f>
        <v>2.8+2506|IR|delta_tenor_corr|10y|6m</v>
      </c>
      <c r="B502" s="0" t="s">
        <v>286</v>
      </c>
      <c r="C502" s="0" t="s">
        <v>68</v>
      </c>
      <c r="D502" s="0" t="s">
        <v>118</v>
      </c>
      <c r="E502" s="0" t="s">
        <v>32</v>
      </c>
      <c r="F502" s="0" t="s">
        <v>27</v>
      </c>
      <c r="G502" s="0" t="n">
        <v>0.52</v>
      </c>
      <c r="H502" s="0" t="s">
        <v>119</v>
      </c>
      <c r="I502" s="0" t="s">
        <v>287</v>
      </c>
      <c r="J502" s="0" t="s">
        <v>286</v>
      </c>
      <c r="K502" s="0" t="s">
        <v>288</v>
      </c>
      <c r="L502" s="0" t="s">
        <v>120</v>
      </c>
      <c r="M502" s="0" t="s">
        <v>121</v>
      </c>
      <c r="N502" s="0" t="s">
        <v>132</v>
      </c>
      <c r="O502" s="0" t="s">
        <v>128</v>
      </c>
      <c r="P502" s="0" t="s">
        <v>289</v>
      </c>
      <c r="Q502" s="0" t="s">
        <v>79</v>
      </c>
      <c r="R502" s="0" t="s">
        <v>290</v>
      </c>
      <c r="S502" s="0" t="s">
        <v>81</v>
      </c>
      <c r="T502" s="0" t="s">
        <v>82</v>
      </c>
    </row>
    <row r="503" customFormat="false" ht="15" hidden="false" customHeight="false" outlineLevel="0" collapsed="false">
      <c r="A503" s="0" t="str">
        <f aca="false">B503&amp;"|"&amp;C503&amp;"|"&amp;D503&amp;"|"&amp;E503&amp;"|"&amp;F503</f>
        <v>2.8+2506|IR|delta_tenor_corr|10y|1y</v>
      </c>
      <c r="B503" s="0" t="s">
        <v>286</v>
      </c>
      <c r="C503" s="0" t="s">
        <v>68</v>
      </c>
      <c r="D503" s="0" t="s">
        <v>118</v>
      </c>
      <c r="E503" s="0" t="s">
        <v>32</v>
      </c>
      <c r="F503" s="0" t="s">
        <v>28</v>
      </c>
      <c r="G503" s="0" t="n">
        <v>0.73</v>
      </c>
      <c r="H503" s="0" t="s">
        <v>119</v>
      </c>
      <c r="I503" s="0" t="s">
        <v>287</v>
      </c>
      <c r="J503" s="0" t="s">
        <v>286</v>
      </c>
      <c r="K503" s="0" t="s">
        <v>288</v>
      </c>
      <c r="L503" s="0" t="s">
        <v>120</v>
      </c>
      <c r="M503" s="0" t="s">
        <v>121</v>
      </c>
      <c r="N503" s="0" t="s">
        <v>132</v>
      </c>
      <c r="O503" s="0" t="s">
        <v>128</v>
      </c>
      <c r="P503" s="0" t="s">
        <v>289</v>
      </c>
      <c r="Q503" s="0" t="s">
        <v>79</v>
      </c>
      <c r="R503" s="0" t="s">
        <v>290</v>
      </c>
      <c r="S503" s="0" t="s">
        <v>81</v>
      </c>
      <c r="T503" s="0" t="s">
        <v>82</v>
      </c>
    </row>
    <row r="504" customFormat="false" ht="15" hidden="false" customHeight="false" outlineLevel="0" collapsed="false">
      <c r="A504" s="0" t="str">
        <f aca="false">B504&amp;"|"&amp;C504&amp;"|"&amp;D504&amp;"|"&amp;E504&amp;"|"&amp;F504</f>
        <v>2.8+2506|IR|delta_tenor_corr|10y|2y</v>
      </c>
      <c r="B504" s="0" t="s">
        <v>286</v>
      </c>
      <c r="C504" s="0" t="s">
        <v>68</v>
      </c>
      <c r="D504" s="0" t="s">
        <v>118</v>
      </c>
      <c r="E504" s="0" t="s">
        <v>32</v>
      </c>
      <c r="F504" s="0" t="s">
        <v>29</v>
      </c>
      <c r="G504" s="0" t="n">
        <v>0.86</v>
      </c>
      <c r="H504" s="0" t="s">
        <v>119</v>
      </c>
      <c r="I504" s="0" t="s">
        <v>287</v>
      </c>
      <c r="J504" s="0" t="s">
        <v>286</v>
      </c>
      <c r="K504" s="0" t="s">
        <v>288</v>
      </c>
      <c r="L504" s="0" t="s">
        <v>120</v>
      </c>
      <c r="M504" s="0" t="s">
        <v>121</v>
      </c>
      <c r="N504" s="0" t="s">
        <v>132</v>
      </c>
      <c r="O504" s="0" t="s">
        <v>128</v>
      </c>
      <c r="P504" s="0" t="s">
        <v>289</v>
      </c>
      <c r="Q504" s="0" t="s">
        <v>79</v>
      </c>
      <c r="R504" s="0" t="s">
        <v>290</v>
      </c>
      <c r="S504" s="0" t="s">
        <v>81</v>
      </c>
      <c r="T504" s="0" t="s">
        <v>82</v>
      </c>
    </row>
    <row r="505" customFormat="false" ht="15" hidden="false" customHeight="false" outlineLevel="0" collapsed="false">
      <c r="A505" s="0" t="str">
        <f aca="false">B505&amp;"|"&amp;C505&amp;"|"&amp;D505&amp;"|"&amp;E505&amp;"|"&amp;F505</f>
        <v>2.8+2506|IR|delta_tenor_corr|10y|3y</v>
      </c>
      <c r="B505" s="0" t="s">
        <v>286</v>
      </c>
      <c r="C505" s="0" t="s">
        <v>68</v>
      </c>
      <c r="D505" s="0" t="s">
        <v>118</v>
      </c>
      <c r="E505" s="0" t="s">
        <v>32</v>
      </c>
      <c r="F505" s="0" t="s">
        <v>30</v>
      </c>
      <c r="G505" s="0" t="n">
        <v>0.91</v>
      </c>
      <c r="H505" s="0" t="s">
        <v>119</v>
      </c>
      <c r="I505" s="0" t="s">
        <v>287</v>
      </c>
      <c r="J505" s="0" t="s">
        <v>286</v>
      </c>
      <c r="K505" s="0" t="s">
        <v>288</v>
      </c>
      <c r="L505" s="0" t="s">
        <v>120</v>
      </c>
      <c r="M505" s="0" t="s">
        <v>121</v>
      </c>
      <c r="N505" s="0" t="s">
        <v>132</v>
      </c>
      <c r="O505" s="0" t="s">
        <v>128</v>
      </c>
      <c r="P505" s="0" t="s">
        <v>289</v>
      </c>
      <c r="Q505" s="0" t="s">
        <v>79</v>
      </c>
      <c r="R505" s="0" t="s">
        <v>290</v>
      </c>
      <c r="S505" s="0" t="s">
        <v>81</v>
      </c>
      <c r="T505" s="0" t="s">
        <v>82</v>
      </c>
    </row>
    <row r="506" customFormat="false" ht="15" hidden="false" customHeight="false" outlineLevel="0" collapsed="false">
      <c r="A506" s="0" t="str">
        <f aca="false">B506&amp;"|"&amp;C506&amp;"|"&amp;D506&amp;"|"&amp;E506&amp;"|"&amp;F506</f>
        <v>2.8+2506|IR|delta_tenor_corr|10y|5y</v>
      </c>
      <c r="B506" s="0" t="s">
        <v>286</v>
      </c>
      <c r="C506" s="0" t="s">
        <v>68</v>
      </c>
      <c r="D506" s="0" t="s">
        <v>118</v>
      </c>
      <c r="E506" s="0" t="s">
        <v>32</v>
      </c>
      <c r="F506" s="0" t="s">
        <v>31</v>
      </c>
      <c r="G506" s="0" t="n">
        <v>0.96</v>
      </c>
      <c r="H506" s="0" t="s">
        <v>119</v>
      </c>
      <c r="I506" s="0" t="s">
        <v>287</v>
      </c>
      <c r="J506" s="0" t="s">
        <v>286</v>
      </c>
      <c r="K506" s="0" t="s">
        <v>288</v>
      </c>
      <c r="L506" s="0" t="s">
        <v>120</v>
      </c>
      <c r="M506" s="0" t="s">
        <v>121</v>
      </c>
      <c r="N506" s="0" t="s">
        <v>132</v>
      </c>
      <c r="O506" s="0" t="s">
        <v>128</v>
      </c>
      <c r="P506" s="0" t="s">
        <v>289</v>
      </c>
      <c r="Q506" s="0" t="s">
        <v>79</v>
      </c>
      <c r="R506" s="0" t="s">
        <v>290</v>
      </c>
      <c r="S506" s="0" t="s">
        <v>81</v>
      </c>
      <c r="T506" s="0" t="s">
        <v>82</v>
      </c>
    </row>
    <row r="507" customFormat="false" ht="15" hidden="false" customHeight="false" outlineLevel="0" collapsed="false">
      <c r="A507" s="0" t="str">
        <f aca="false">B507&amp;"|"&amp;C507&amp;"|"&amp;D507&amp;"|"&amp;E507&amp;"|"&amp;F507</f>
        <v>2.8+2506|IR|delta_tenor_corr|10y|10y</v>
      </c>
      <c r="B507" s="0" t="s">
        <v>286</v>
      </c>
      <c r="C507" s="0" t="s">
        <v>68</v>
      </c>
      <c r="D507" s="0" t="s">
        <v>118</v>
      </c>
      <c r="E507" s="0" t="s">
        <v>32</v>
      </c>
      <c r="F507" s="0" t="s">
        <v>32</v>
      </c>
      <c r="G507" s="0" t="n">
        <v>1</v>
      </c>
      <c r="H507" s="0" t="s">
        <v>119</v>
      </c>
      <c r="I507" s="0" t="s">
        <v>287</v>
      </c>
      <c r="J507" s="0" t="s">
        <v>286</v>
      </c>
      <c r="K507" s="0" t="s">
        <v>288</v>
      </c>
      <c r="L507" s="0" t="s">
        <v>120</v>
      </c>
      <c r="M507" s="0" t="s">
        <v>121</v>
      </c>
      <c r="N507" s="0" t="s">
        <v>132</v>
      </c>
      <c r="O507" s="0" t="s">
        <v>128</v>
      </c>
      <c r="P507" s="0" t="s">
        <v>289</v>
      </c>
      <c r="Q507" s="0" t="s">
        <v>79</v>
      </c>
      <c r="R507" s="0" t="s">
        <v>290</v>
      </c>
      <c r="S507" s="0" t="s">
        <v>81</v>
      </c>
      <c r="T507" s="0" t="s">
        <v>123</v>
      </c>
    </row>
    <row r="508" customFormat="false" ht="15" hidden="false" customHeight="false" outlineLevel="0" collapsed="false">
      <c r="A508" s="0" t="str">
        <f aca="false">B508&amp;"|"&amp;C508&amp;"|"&amp;D508&amp;"|"&amp;E508&amp;"|"&amp;F508</f>
        <v>2.8+2506|IR|delta_tenor_corr|10y|15y</v>
      </c>
      <c r="B508" s="0" t="s">
        <v>286</v>
      </c>
      <c r="C508" s="0" t="s">
        <v>68</v>
      </c>
      <c r="D508" s="0" t="s">
        <v>118</v>
      </c>
      <c r="E508" s="0" t="s">
        <v>32</v>
      </c>
      <c r="F508" s="0" t="s">
        <v>33</v>
      </c>
      <c r="G508" s="0" t="n">
        <v>0.98</v>
      </c>
      <c r="H508" s="0" t="s">
        <v>119</v>
      </c>
      <c r="I508" s="0" t="s">
        <v>287</v>
      </c>
      <c r="J508" s="0" t="s">
        <v>286</v>
      </c>
      <c r="K508" s="0" t="s">
        <v>288</v>
      </c>
      <c r="L508" s="0" t="s">
        <v>120</v>
      </c>
      <c r="M508" s="0" t="s">
        <v>121</v>
      </c>
      <c r="N508" s="0" t="s">
        <v>132</v>
      </c>
      <c r="O508" s="0" t="s">
        <v>128</v>
      </c>
      <c r="P508" s="0" t="s">
        <v>289</v>
      </c>
      <c r="Q508" s="0" t="s">
        <v>79</v>
      </c>
      <c r="R508" s="0" t="s">
        <v>290</v>
      </c>
      <c r="S508" s="0" t="s">
        <v>81</v>
      </c>
      <c r="T508" s="0" t="s">
        <v>82</v>
      </c>
    </row>
    <row r="509" customFormat="false" ht="15" hidden="false" customHeight="false" outlineLevel="0" collapsed="false">
      <c r="A509" s="0" t="str">
        <f aca="false">B509&amp;"|"&amp;C509&amp;"|"&amp;D509&amp;"|"&amp;E509&amp;"|"&amp;F509</f>
        <v>2.8+2506|IR|delta_tenor_corr|10y|20y</v>
      </c>
      <c r="B509" s="0" t="s">
        <v>286</v>
      </c>
      <c r="C509" s="0" t="s">
        <v>68</v>
      </c>
      <c r="D509" s="0" t="s">
        <v>118</v>
      </c>
      <c r="E509" s="0" t="s">
        <v>32</v>
      </c>
      <c r="F509" s="0" t="s">
        <v>34</v>
      </c>
      <c r="G509" s="0" t="n">
        <v>0.95</v>
      </c>
      <c r="H509" s="0" t="s">
        <v>119</v>
      </c>
      <c r="I509" s="0" t="s">
        <v>287</v>
      </c>
      <c r="J509" s="0" t="s">
        <v>286</v>
      </c>
      <c r="K509" s="0" t="s">
        <v>288</v>
      </c>
      <c r="L509" s="0" t="s">
        <v>120</v>
      </c>
      <c r="M509" s="0" t="s">
        <v>121</v>
      </c>
      <c r="N509" s="0" t="s">
        <v>132</v>
      </c>
      <c r="O509" s="0" t="s">
        <v>128</v>
      </c>
      <c r="P509" s="0" t="s">
        <v>289</v>
      </c>
      <c r="Q509" s="0" t="s">
        <v>79</v>
      </c>
      <c r="R509" s="0" t="s">
        <v>290</v>
      </c>
      <c r="S509" s="0" t="s">
        <v>81</v>
      </c>
      <c r="T509" s="0" t="s">
        <v>82</v>
      </c>
    </row>
    <row r="510" customFormat="false" ht="15" hidden="false" customHeight="false" outlineLevel="0" collapsed="false">
      <c r="A510" s="0" t="str">
        <f aca="false">B510&amp;"|"&amp;C510&amp;"|"&amp;D510&amp;"|"&amp;E510&amp;"|"&amp;F510</f>
        <v>2.8+2506|IR|delta_tenor_corr|10y|30y</v>
      </c>
      <c r="B510" s="0" t="s">
        <v>286</v>
      </c>
      <c r="C510" s="0" t="s">
        <v>68</v>
      </c>
      <c r="D510" s="0" t="s">
        <v>118</v>
      </c>
      <c r="E510" s="0" t="s">
        <v>32</v>
      </c>
      <c r="F510" s="0" t="s">
        <v>35</v>
      </c>
      <c r="G510" s="0" t="n">
        <v>0.95</v>
      </c>
      <c r="H510" s="0" t="s">
        <v>119</v>
      </c>
      <c r="I510" s="0" t="s">
        <v>287</v>
      </c>
      <c r="J510" s="0" t="s">
        <v>286</v>
      </c>
      <c r="K510" s="0" t="s">
        <v>288</v>
      </c>
      <c r="L510" s="0" t="s">
        <v>120</v>
      </c>
      <c r="M510" s="0" t="s">
        <v>121</v>
      </c>
      <c r="N510" s="0" t="s">
        <v>132</v>
      </c>
      <c r="O510" s="0" t="s">
        <v>128</v>
      </c>
      <c r="P510" s="0" t="s">
        <v>289</v>
      </c>
      <c r="Q510" s="0" t="s">
        <v>79</v>
      </c>
      <c r="R510" s="0" t="s">
        <v>290</v>
      </c>
      <c r="S510" s="0" t="s">
        <v>81</v>
      </c>
      <c r="T510" s="0" t="s">
        <v>82</v>
      </c>
    </row>
    <row r="511" customFormat="false" ht="15" hidden="false" customHeight="false" outlineLevel="0" collapsed="false">
      <c r="A511" s="0" t="str">
        <f aca="false">B511&amp;"|"&amp;C511&amp;"|"&amp;D511&amp;"|"&amp;E511&amp;"|"&amp;F511</f>
        <v>2.8+2506|IR|delta_tenor_corr|15y|2w</v>
      </c>
      <c r="B511" s="0" t="s">
        <v>286</v>
      </c>
      <c r="C511" s="0" t="s">
        <v>68</v>
      </c>
      <c r="D511" s="0" t="s">
        <v>118</v>
      </c>
      <c r="E511" s="0" t="s">
        <v>33</v>
      </c>
      <c r="F511" s="0" t="s">
        <v>24</v>
      </c>
      <c r="G511" s="0" t="n">
        <v>0.16</v>
      </c>
      <c r="H511" s="0" t="s">
        <v>119</v>
      </c>
      <c r="I511" s="0" t="s">
        <v>287</v>
      </c>
      <c r="J511" s="0" t="s">
        <v>286</v>
      </c>
      <c r="K511" s="0" t="s">
        <v>288</v>
      </c>
      <c r="L511" s="0" t="s">
        <v>120</v>
      </c>
      <c r="M511" s="0" t="s">
        <v>121</v>
      </c>
      <c r="N511" s="0" t="s">
        <v>133</v>
      </c>
      <c r="O511" s="0" t="s">
        <v>128</v>
      </c>
      <c r="P511" s="0" t="s">
        <v>289</v>
      </c>
      <c r="Q511" s="0" t="s">
        <v>79</v>
      </c>
      <c r="R511" s="0" t="s">
        <v>290</v>
      </c>
      <c r="S511" s="0" t="s">
        <v>81</v>
      </c>
      <c r="T511" s="0" t="s">
        <v>82</v>
      </c>
    </row>
    <row r="512" customFormat="false" ht="15" hidden="false" customHeight="false" outlineLevel="0" collapsed="false">
      <c r="A512" s="0" t="str">
        <f aca="false">B512&amp;"|"&amp;C512&amp;"|"&amp;D512&amp;"|"&amp;E512&amp;"|"&amp;F512</f>
        <v>2.8+2506|IR|delta_tenor_corr|15y|1m</v>
      </c>
      <c r="B512" s="0" t="s">
        <v>286</v>
      </c>
      <c r="C512" s="0" t="s">
        <v>68</v>
      </c>
      <c r="D512" s="0" t="s">
        <v>118</v>
      </c>
      <c r="E512" s="0" t="s">
        <v>33</v>
      </c>
      <c r="F512" s="0" t="s">
        <v>25</v>
      </c>
      <c r="G512" s="0" t="n">
        <v>0.16</v>
      </c>
      <c r="H512" s="0" t="s">
        <v>119</v>
      </c>
      <c r="I512" s="0" t="s">
        <v>287</v>
      </c>
      <c r="J512" s="0" t="s">
        <v>286</v>
      </c>
      <c r="K512" s="0" t="s">
        <v>288</v>
      </c>
      <c r="L512" s="0" t="s">
        <v>120</v>
      </c>
      <c r="M512" s="0" t="s">
        <v>121</v>
      </c>
      <c r="N512" s="0" t="s">
        <v>133</v>
      </c>
      <c r="O512" s="0" t="s">
        <v>128</v>
      </c>
      <c r="P512" s="0" t="s">
        <v>289</v>
      </c>
      <c r="Q512" s="0" t="s">
        <v>79</v>
      </c>
      <c r="R512" s="0" t="s">
        <v>290</v>
      </c>
      <c r="S512" s="0" t="s">
        <v>81</v>
      </c>
      <c r="T512" s="0" t="s">
        <v>82</v>
      </c>
    </row>
    <row r="513" customFormat="false" ht="15" hidden="false" customHeight="false" outlineLevel="0" collapsed="false">
      <c r="A513" s="0" t="str">
        <f aca="false">B513&amp;"|"&amp;C513&amp;"|"&amp;D513&amp;"|"&amp;E513&amp;"|"&amp;F513</f>
        <v>2.8+2506|IR|delta_tenor_corr|15y|3m</v>
      </c>
      <c r="B513" s="0" t="s">
        <v>286</v>
      </c>
      <c r="C513" s="0" t="s">
        <v>68</v>
      </c>
      <c r="D513" s="0" t="s">
        <v>118</v>
      </c>
      <c r="E513" s="0" t="s">
        <v>33</v>
      </c>
      <c r="F513" s="0" t="s">
        <v>26</v>
      </c>
      <c r="G513" s="0" t="n">
        <v>0.27</v>
      </c>
      <c r="H513" s="0" t="s">
        <v>119</v>
      </c>
      <c r="I513" s="0" t="s">
        <v>287</v>
      </c>
      <c r="J513" s="0" t="s">
        <v>286</v>
      </c>
      <c r="K513" s="0" t="s">
        <v>288</v>
      </c>
      <c r="L513" s="0" t="s">
        <v>120</v>
      </c>
      <c r="M513" s="0" t="s">
        <v>121</v>
      </c>
      <c r="N513" s="0" t="s">
        <v>133</v>
      </c>
      <c r="O513" s="0" t="s">
        <v>128</v>
      </c>
      <c r="P513" s="0" t="s">
        <v>289</v>
      </c>
      <c r="Q513" s="0" t="s">
        <v>79</v>
      </c>
      <c r="R513" s="0" t="s">
        <v>290</v>
      </c>
      <c r="S513" s="0" t="s">
        <v>81</v>
      </c>
      <c r="T513" s="0" t="s">
        <v>82</v>
      </c>
    </row>
    <row r="514" customFormat="false" ht="15" hidden="false" customHeight="false" outlineLevel="0" collapsed="false">
      <c r="A514" s="0" t="str">
        <f aca="false">B514&amp;"|"&amp;C514&amp;"|"&amp;D514&amp;"|"&amp;E514&amp;"|"&amp;F514</f>
        <v>2.8+2506|IR|delta_tenor_corr|15y|6m</v>
      </c>
      <c r="B514" s="0" t="s">
        <v>286</v>
      </c>
      <c r="C514" s="0" t="s">
        <v>68</v>
      </c>
      <c r="D514" s="0" t="s">
        <v>118</v>
      </c>
      <c r="E514" s="0" t="s">
        <v>33</v>
      </c>
      <c r="F514" s="0" t="s">
        <v>27</v>
      </c>
      <c r="G514" s="0" t="n">
        <v>0.47</v>
      </c>
      <c r="H514" s="0" t="s">
        <v>119</v>
      </c>
      <c r="I514" s="0" t="s">
        <v>287</v>
      </c>
      <c r="J514" s="0" t="s">
        <v>286</v>
      </c>
      <c r="K514" s="0" t="s">
        <v>288</v>
      </c>
      <c r="L514" s="0" t="s">
        <v>120</v>
      </c>
      <c r="M514" s="0" t="s">
        <v>121</v>
      </c>
      <c r="N514" s="0" t="s">
        <v>133</v>
      </c>
      <c r="O514" s="0" t="s">
        <v>128</v>
      </c>
      <c r="P514" s="0" t="s">
        <v>289</v>
      </c>
      <c r="Q514" s="0" t="s">
        <v>79</v>
      </c>
      <c r="R514" s="0" t="s">
        <v>290</v>
      </c>
      <c r="S514" s="0" t="s">
        <v>81</v>
      </c>
      <c r="T514" s="0" t="s">
        <v>82</v>
      </c>
    </row>
    <row r="515" customFormat="false" ht="15" hidden="false" customHeight="false" outlineLevel="0" collapsed="false">
      <c r="A515" s="0" t="str">
        <f aca="false">B515&amp;"|"&amp;C515&amp;"|"&amp;D515&amp;"|"&amp;E515&amp;"|"&amp;F515</f>
        <v>2.8+2506|IR|delta_tenor_corr|15y|1y</v>
      </c>
      <c r="B515" s="0" t="s">
        <v>286</v>
      </c>
      <c r="C515" s="0" t="s">
        <v>68</v>
      </c>
      <c r="D515" s="0" t="s">
        <v>118</v>
      </c>
      <c r="E515" s="0" t="s">
        <v>33</v>
      </c>
      <c r="F515" s="0" t="s">
        <v>28</v>
      </c>
      <c r="G515" s="0" t="n">
        <v>0.69</v>
      </c>
      <c r="H515" s="0" t="s">
        <v>119</v>
      </c>
      <c r="I515" s="0" t="s">
        <v>287</v>
      </c>
      <c r="J515" s="0" t="s">
        <v>286</v>
      </c>
      <c r="K515" s="0" t="s">
        <v>288</v>
      </c>
      <c r="L515" s="0" t="s">
        <v>120</v>
      </c>
      <c r="M515" s="0" t="s">
        <v>121</v>
      </c>
      <c r="N515" s="0" t="s">
        <v>133</v>
      </c>
      <c r="O515" s="0" t="s">
        <v>128</v>
      </c>
      <c r="P515" s="0" t="s">
        <v>289</v>
      </c>
      <c r="Q515" s="0" t="s">
        <v>79</v>
      </c>
      <c r="R515" s="0" t="s">
        <v>290</v>
      </c>
      <c r="S515" s="0" t="s">
        <v>81</v>
      </c>
      <c r="T515" s="0" t="s">
        <v>82</v>
      </c>
    </row>
    <row r="516" customFormat="false" ht="15" hidden="false" customHeight="false" outlineLevel="0" collapsed="false">
      <c r="A516" s="0" t="str">
        <f aca="false">B516&amp;"|"&amp;C516&amp;"|"&amp;D516&amp;"|"&amp;E516&amp;"|"&amp;F516</f>
        <v>2.8+2506|IR|delta_tenor_corr|15y|2y</v>
      </c>
      <c r="B516" s="0" t="s">
        <v>286</v>
      </c>
      <c r="C516" s="0" t="s">
        <v>68</v>
      </c>
      <c r="D516" s="0" t="s">
        <v>118</v>
      </c>
      <c r="E516" s="0" t="s">
        <v>33</v>
      </c>
      <c r="F516" s="0" t="s">
        <v>29</v>
      </c>
      <c r="G516" s="0" t="n">
        <v>0.82</v>
      </c>
      <c r="H516" s="0" t="s">
        <v>119</v>
      </c>
      <c r="I516" s="0" t="s">
        <v>287</v>
      </c>
      <c r="J516" s="0" t="s">
        <v>286</v>
      </c>
      <c r="K516" s="0" t="s">
        <v>288</v>
      </c>
      <c r="L516" s="0" t="s">
        <v>120</v>
      </c>
      <c r="M516" s="0" t="s">
        <v>121</v>
      </c>
      <c r="N516" s="0" t="s">
        <v>133</v>
      </c>
      <c r="O516" s="0" t="s">
        <v>128</v>
      </c>
      <c r="P516" s="0" t="s">
        <v>289</v>
      </c>
      <c r="Q516" s="0" t="s">
        <v>79</v>
      </c>
      <c r="R516" s="0" t="s">
        <v>290</v>
      </c>
      <c r="S516" s="0" t="s">
        <v>81</v>
      </c>
      <c r="T516" s="0" t="s">
        <v>82</v>
      </c>
    </row>
    <row r="517" customFormat="false" ht="15" hidden="false" customHeight="false" outlineLevel="0" collapsed="false">
      <c r="A517" s="0" t="str">
        <f aca="false">B517&amp;"|"&amp;C517&amp;"|"&amp;D517&amp;"|"&amp;E517&amp;"|"&amp;F517</f>
        <v>2.8+2506|IR|delta_tenor_corr|15y|3y</v>
      </c>
      <c r="B517" s="0" t="s">
        <v>286</v>
      </c>
      <c r="C517" s="0" t="s">
        <v>68</v>
      </c>
      <c r="D517" s="0" t="s">
        <v>118</v>
      </c>
      <c r="E517" s="0" t="s">
        <v>33</v>
      </c>
      <c r="F517" s="0" t="s">
        <v>30</v>
      </c>
      <c r="G517" s="0" t="n">
        <v>0.87</v>
      </c>
      <c r="H517" s="0" t="s">
        <v>119</v>
      </c>
      <c r="I517" s="0" t="s">
        <v>287</v>
      </c>
      <c r="J517" s="0" t="s">
        <v>286</v>
      </c>
      <c r="K517" s="0" t="s">
        <v>288</v>
      </c>
      <c r="L517" s="0" t="s">
        <v>120</v>
      </c>
      <c r="M517" s="0" t="s">
        <v>121</v>
      </c>
      <c r="N517" s="0" t="s">
        <v>133</v>
      </c>
      <c r="O517" s="0" t="s">
        <v>128</v>
      </c>
      <c r="P517" s="0" t="s">
        <v>289</v>
      </c>
      <c r="Q517" s="0" t="s">
        <v>79</v>
      </c>
      <c r="R517" s="0" t="s">
        <v>290</v>
      </c>
      <c r="S517" s="0" t="s">
        <v>81</v>
      </c>
      <c r="T517" s="0" t="s">
        <v>82</v>
      </c>
    </row>
    <row r="518" customFormat="false" ht="15" hidden="false" customHeight="false" outlineLevel="0" collapsed="false">
      <c r="A518" s="0" t="str">
        <f aca="false">B518&amp;"|"&amp;C518&amp;"|"&amp;D518&amp;"|"&amp;E518&amp;"|"&amp;F518</f>
        <v>2.8+2506|IR|delta_tenor_corr|15y|5y</v>
      </c>
      <c r="B518" s="0" t="s">
        <v>286</v>
      </c>
      <c r="C518" s="0" t="s">
        <v>68</v>
      </c>
      <c r="D518" s="0" t="s">
        <v>118</v>
      </c>
      <c r="E518" s="0" t="s">
        <v>33</v>
      </c>
      <c r="F518" s="0" t="s">
        <v>31</v>
      </c>
      <c r="G518" s="0" t="n">
        <v>0.93</v>
      </c>
      <c r="H518" s="0" t="s">
        <v>119</v>
      </c>
      <c r="I518" s="0" t="s">
        <v>287</v>
      </c>
      <c r="J518" s="0" t="s">
        <v>286</v>
      </c>
      <c r="K518" s="0" t="s">
        <v>288</v>
      </c>
      <c r="L518" s="0" t="s">
        <v>120</v>
      </c>
      <c r="M518" s="0" t="s">
        <v>121</v>
      </c>
      <c r="N518" s="0" t="s">
        <v>133</v>
      </c>
      <c r="O518" s="0" t="s">
        <v>128</v>
      </c>
      <c r="P518" s="0" t="s">
        <v>289</v>
      </c>
      <c r="Q518" s="0" t="s">
        <v>79</v>
      </c>
      <c r="R518" s="0" t="s">
        <v>290</v>
      </c>
      <c r="S518" s="0" t="s">
        <v>81</v>
      </c>
      <c r="T518" s="0" t="s">
        <v>82</v>
      </c>
    </row>
    <row r="519" customFormat="false" ht="15" hidden="false" customHeight="false" outlineLevel="0" collapsed="false">
      <c r="A519" s="0" t="str">
        <f aca="false">B519&amp;"|"&amp;C519&amp;"|"&amp;D519&amp;"|"&amp;E519&amp;"|"&amp;F519</f>
        <v>2.8+2506|IR|delta_tenor_corr|15y|10y</v>
      </c>
      <c r="B519" s="0" t="s">
        <v>286</v>
      </c>
      <c r="C519" s="0" t="s">
        <v>68</v>
      </c>
      <c r="D519" s="0" t="s">
        <v>118</v>
      </c>
      <c r="E519" s="0" t="s">
        <v>33</v>
      </c>
      <c r="F519" s="0" t="s">
        <v>32</v>
      </c>
      <c r="G519" s="0" t="n">
        <v>0.98</v>
      </c>
      <c r="H519" s="0" t="s">
        <v>119</v>
      </c>
      <c r="I519" s="0" t="s">
        <v>287</v>
      </c>
      <c r="J519" s="0" t="s">
        <v>286</v>
      </c>
      <c r="K519" s="0" t="s">
        <v>288</v>
      </c>
      <c r="L519" s="0" t="s">
        <v>120</v>
      </c>
      <c r="M519" s="0" t="s">
        <v>121</v>
      </c>
      <c r="N519" s="0" t="s">
        <v>133</v>
      </c>
      <c r="O519" s="0" t="s">
        <v>128</v>
      </c>
      <c r="P519" s="0" t="s">
        <v>289</v>
      </c>
      <c r="Q519" s="0" t="s">
        <v>79</v>
      </c>
      <c r="R519" s="0" t="s">
        <v>290</v>
      </c>
      <c r="S519" s="0" t="s">
        <v>81</v>
      </c>
      <c r="T519" s="0" t="s">
        <v>82</v>
      </c>
    </row>
    <row r="520" customFormat="false" ht="15" hidden="false" customHeight="false" outlineLevel="0" collapsed="false">
      <c r="A520" s="0" t="str">
        <f aca="false">B520&amp;"|"&amp;C520&amp;"|"&amp;D520&amp;"|"&amp;E520&amp;"|"&amp;F520</f>
        <v>2.8+2506|IR|delta_tenor_corr|15y|15y</v>
      </c>
      <c r="B520" s="0" t="s">
        <v>286</v>
      </c>
      <c r="C520" s="0" t="s">
        <v>68</v>
      </c>
      <c r="D520" s="0" t="s">
        <v>118</v>
      </c>
      <c r="E520" s="0" t="s">
        <v>33</v>
      </c>
      <c r="F520" s="0" t="s">
        <v>33</v>
      </c>
      <c r="G520" s="0" t="n">
        <v>1</v>
      </c>
      <c r="H520" s="0" t="s">
        <v>119</v>
      </c>
      <c r="I520" s="0" t="s">
        <v>287</v>
      </c>
      <c r="J520" s="0" t="s">
        <v>286</v>
      </c>
      <c r="K520" s="0" t="s">
        <v>288</v>
      </c>
      <c r="L520" s="0" t="s">
        <v>120</v>
      </c>
      <c r="M520" s="0" t="s">
        <v>121</v>
      </c>
      <c r="N520" s="0" t="s">
        <v>133</v>
      </c>
      <c r="O520" s="0" t="s">
        <v>128</v>
      </c>
      <c r="P520" s="0" t="s">
        <v>289</v>
      </c>
      <c r="Q520" s="0" t="s">
        <v>79</v>
      </c>
      <c r="R520" s="0" t="s">
        <v>290</v>
      </c>
      <c r="S520" s="0" t="s">
        <v>81</v>
      </c>
      <c r="T520" s="0" t="s">
        <v>123</v>
      </c>
    </row>
    <row r="521" customFormat="false" ht="15" hidden="false" customHeight="false" outlineLevel="0" collapsed="false">
      <c r="A521" s="0" t="str">
        <f aca="false">B521&amp;"|"&amp;C521&amp;"|"&amp;D521&amp;"|"&amp;E521&amp;"|"&amp;F521</f>
        <v>2.8+2506|IR|delta_tenor_corr|15y|20y</v>
      </c>
      <c r="B521" s="0" t="s">
        <v>286</v>
      </c>
      <c r="C521" s="0" t="s">
        <v>68</v>
      </c>
      <c r="D521" s="0" t="s">
        <v>118</v>
      </c>
      <c r="E521" s="0" t="s">
        <v>33</v>
      </c>
      <c r="F521" s="0" t="s">
        <v>34</v>
      </c>
      <c r="G521" s="0" t="n">
        <v>0.98</v>
      </c>
      <c r="H521" s="0" t="s">
        <v>119</v>
      </c>
      <c r="I521" s="0" t="s">
        <v>287</v>
      </c>
      <c r="J521" s="0" t="s">
        <v>286</v>
      </c>
      <c r="K521" s="0" t="s">
        <v>288</v>
      </c>
      <c r="L521" s="0" t="s">
        <v>120</v>
      </c>
      <c r="M521" s="0" t="s">
        <v>121</v>
      </c>
      <c r="N521" s="0" t="s">
        <v>133</v>
      </c>
      <c r="O521" s="0" t="s">
        <v>128</v>
      </c>
      <c r="P521" s="0" t="s">
        <v>289</v>
      </c>
      <c r="Q521" s="0" t="s">
        <v>79</v>
      </c>
      <c r="R521" s="0" t="s">
        <v>290</v>
      </c>
      <c r="S521" s="0" t="s">
        <v>81</v>
      </c>
      <c r="T521" s="0" t="s">
        <v>82</v>
      </c>
    </row>
    <row r="522" customFormat="false" ht="15" hidden="false" customHeight="false" outlineLevel="0" collapsed="false">
      <c r="A522" s="0" t="str">
        <f aca="false">B522&amp;"|"&amp;C522&amp;"|"&amp;D522&amp;"|"&amp;E522&amp;"|"&amp;F522</f>
        <v>2.8+2506|IR|delta_tenor_corr|15y|30y</v>
      </c>
      <c r="B522" s="0" t="s">
        <v>286</v>
      </c>
      <c r="C522" s="0" t="s">
        <v>68</v>
      </c>
      <c r="D522" s="0" t="s">
        <v>118</v>
      </c>
      <c r="E522" s="0" t="s">
        <v>33</v>
      </c>
      <c r="F522" s="0" t="s">
        <v>35</v>
      </c>
      <c r="G522" s="0" t="n">
        <v>0.97</v>
      </c>
      <c r="H522" s="0" t="s">
        <v>119</v>
      </c>
      <c r="I522" s="0" t="s">
        <v>287</v>
      </c>
      <c r="J522" s="0" t="s">
        <v>286</v>
      </c>
      <c r="K522" s="0" t="s">
        <v>288</v>
      </c>
      <c r="L522" s="0" t="s">
        <v>120</v>
      </c>
      <c r="M522" s="0" t="s">
        <v>121</v>
      </c>
      <c r="N522" s="0" t="s">
        <v>133</v>
      </c>
      <c r="O522" s="0" t="s">
        <v>128</v>
      </c>
      <c r="P522" s="0" t="s">
        <v>289</v>
      </c>
      <c r="Q522" s="0" t="s">
        <v>79</v>
      </c>
      <c r="R522" s="0" t="s">
        <v>290</v>
      </c>
      <c r="S522" s="0" t="s">
        <v>81</v>
      </c>
      <c r="T522" s="0" t="s">
        <v>82</v>
      </c>
    </row>
    <row r="523" customFormat="false" ht="15" hidden="false" customHeight="false" outlineLevel="0" collapsed="false">
      <c r="A523" s="0" t="str">
        <f aca="false">B523&amp;"|"&amp;C523&amp;"|"&amp;D523&amp;"|"&amp;E523&amp;"|"&amp;F523</f>
        <v>2.8+2506|IR|delta_tenor_corr|20y|2w</v>
      </c>
      <c r="B523" s="0" t="s">
        <v>286</v>
      </c>
      <c r="C523" s="0" t="s">
        <v>68</v>
      </c>
      <c r="D523" s="0" t="s">
        <v>118</v>
      </c>
      <c r="E523" s="0" t="s">
        <v>34</v>
      </c>
      <c r="F523" s="0" t="s">
        <v>24</v>
      </c>
      <c r="G523" s="0" t="n">
        <v>0.14</v>
      </c>
      <c r="H523" s="0" t="s">
        <v>119</v>
      </c>
      <c r="I523" s="0" t="s">
        <v>287</v>
      </c>
      <c r="J523" s="0" t="s">
        <v>286</v>
      </c>
      <c r="K523" s="0" t="s">
        <v>288</v>
      </c>
      <c r="L523" s="0" t="s">
        <v>120</v>
      </c>
      <c r="M523" s="0" t="s">
        <v>121</v>
      </c>
      <c r="N523" s="0" t="s">
        <v>134</v>
      </c>
      <c r="O523" s="0" t="s">
        <v>128</v>
      </c>
      <c r="P523" s="0" t="s">
        <v>289</v>
      </c>
      <c r="Q523" s="0" t="s">
        <v>79</v>
      </c>
      <c r="R523" s="0" t="s">
        <v>290</v>
      </c>
      <c r="S523" s="0" t="s">
        <v>81</v>
      </c>
      <c r="T523" s="0" t="s">
        <v>82</v>
      </c>
    </row>
    <row r="524" customFormat="false" ht="15" hidden="false" customHeight="false" outlineLevel="0" collapsed="false">
      <c r="A524" s="0" t="str">
        <f aca="false">B524&amp;"|"&amp;C524&amp;"|"&amp;D524&amp;"|"&amp;E524&amp;"|"&amp;F524</f>
        <v>2.8+2506|IR|delta_tenor_corr|20y|1m</v>
      </c>
      <c r="B524" s="0" t="s">
        <v>286</v>
      </c>
      <c r="C524" s="0" t="s">
        <v>68</v>
      </c>
      <c r="D524" s="0" t="s">
        <v>118</v>
      </c>
      <c r="E524" s="0" t="s">
        <v>34</v>
      </c>
      <c r="F524" s="0" t="s">
        <v>25</v>
      </c>
      <c r="G524" s="0" t="n">
        <v>0.14</v>
      </c>
      <c r="H524" s="0" t="s">
        <v>119</v>
      </c>
      <c r="I524" s="0" t="s">
        <v>287</v>
      </c>
      <c r="J524" s="0" t="s">
        <v>286</v>
      </c>
      <c r="K524" s="0" t="s">
        <v>288</v>
      </c>
      <c r="L524" s="0" t="s">
        <v>120</v>
      </c>
      <c r="M524" s="0" t="s">
        <v>121</v>
      </c>
      <c r="N524" s="0" t="s">
        <v>134</v>
      </c>
      <c r="O524" s="0" t="s">
        <v>128</v>
      </c>
      <c r="P524" s="0" t="s">
        <v>289</v>
      </c>
      <c r="Q524" s="0" t="s">
        <v>79</v>
      </c>
      <c r="R524" s="0" t="s">
        <v>290</v>
      </c>
      <c r="S524" s="0" t="s">
        <v>81</v>
      </c>
      <c r="T524" s="0" t="s">
        <v>82</v>
      </c>
    </row>
    <row r="525" customFormat="false" ht="15" hidden="false" customHeight="false" outlineLevel="0" collapsed="false">
      <c r="A525" s="0" t="str">
        <f aca="false">B525&amp;"|"&amp;C525&amp;"|"&amp;D525&amp;"|"&amp;E525&amp;"|"&amp;F525</f>
        <v>2.8+2506|IR|delta_tenor_corr|20y|3m</v>
      </c>
      <c r="B525" s="0" t="s">
        <v>286</v>
      </c>
      <c r="C525" s="0" t="s">
        <v>68</v>
      </c>
      <c r="D525" s="0" t="s">
        <v>118</v>
      </c>
      <c r="E525" s="0" t="s">
        <v>34</v>
      </c>
      <c r="F525" s="0" t="s">
        <v>26</v>
      </c>
      <c r="G525" s="0" t="n">
        <v>0.25</v>
      </c>
      <c r="H525" s="0" t="s">
        <v>119</v>
      </c>
      <c r="I525" s="0" t="s">
        <v>287</v>
      </c>
      <c r="J525" s="0" t="s">
        <v>286</v>
      </c>
      <c r="K525" s="0" t="s">
        <v>288</v>
      </c>
      <c r="L525" s="0" t="s">
        <v>120</v>
      </c>
      <c r="M525" s="0" t="s">
        <v>121</v>
      </c>
      <c r="N525" s="0" t="s">
        <v>134</v>
      </c>
      <c r="O525" s="0" t="s">
        <v>128</v>
      </c>
      <c r="P525" s="0" t="s">
        <v>289</v>
      </c>
      <c r="Q525" s="0" t="s">
        <v>79</v>
      </c>
      <c r="R525" s="0" t="s">
        <v>290</v>
      </c>
      <c r="S525" s="0" t="s">
        <v>81</v>
      </c>
      <c r="T525" s="0" t="s">
        <v>82</v>
      </c>
    </row>
    <row r="526" customFormat="false" ht="15" hidden="false" customHeight="false" outlineLevel="0" collapsed="false">
      <c r="A526" s="0" t="str">
        <f aca="false">B526&amp;"|"&amp;C526&amp;"|"&amp;D526&amp;"|"&amp;E526&amp;"|"&amp;F526</f>
        <v>2.8+2506|IR|delta_tenor_corr|20y|6m</v>
      </c>
      <c r="B526" s="0" t="s">
        <v>286</v>
      </c>
      <c r="C526" s="0" t="s">
        <v>68</v>
      </c>
      <c r="D526" s="0" t="s">
        <v>118</v>
      </c>
      <c r="E526" s="0" t="s">
        <v>34</v>
      </c>
      <c r="F526" s="0" t="s">
        <v>27</v>
      </c>
      <c r="G526" s="0" t="n">
        <v>0.44</v>
      </c>
      <c r="H526" s="0" t="s">
        <v>119</v>
      </c>
      <c r="I526" s="0" t="s">
        <v>287</v>
      </c>
      <c r="J526" s="0" t="s">
        <v>286</v>
      </c>
      <c r="K526" s="0" t="s">
        <v>288</v>
      </c>
      <c r="L526" s="0" t="s">
        <v>120</v>
      </c>
      <c r="M526" s="0" t="s">
        <v>121</v>
      </c>
      <c r="N526" s="0" t="s">
        <v>134</v>
      </c>
      <c r="O526" s="0" t="s">
        <v>128</v>
      </c>
      <c r="P526" s="0" t="s">
        <v>289</v>
      </c>
      <c r="Q526" s="0" t="s">
        <v>79</v>
      </c>
      <c r="R526" s="0" t="s">
        <v>290</v>
      </c>
      <c r="S526" s="0" t="s">
        <v>81</v>
      </c>
      <c r="T526" s="0" t="s">
        <v>82</v>
      </c>
    </row>
    <row r="527" customFormat="false" ht="15" hidden="false" customHeight="false" outlineLevel="0" collapsed="false">
      <c r="A527" s="0" t="str">
        <f aca="false">B527&amp;"|"&amp;C527&amp;"|"&amp;D527&amp;"|"&amp;E527&amp;"|"&amp;F527</f>
        <v>2.8+2506|IR|delta_tenor_corr|20y|1y</v>
      </c>
      <c r="B527" s="0" t="s">
        <v>286</v>
      </c>
      <c r="C527" s="0" t="s">
        <v>68</v>
      </c>
      <c r="D527" s="0" t="s">
        <v>118</v>
      </c>
      <c r="E527" s="0" t="s">
        <v>34</v>
      </c>
      <c r="F527" s="0" t="s">
        <v>28</v>
      </c>
      <c r="G527" s="0" t="n">
        <v>0.64</v>
      </c>
      <c r="H527" s="0" t="s">
        <v>119</v>
      </c>
      <c r="I527" s="0" t="s">
        <v>287</v>
      </c>
      <c r="J527" s="0" t="s">
        <v>286</v>
      </c>
      <c r="K527" s="0" t="s">
        <v>288</v>
      </c>
      <c r="L527" s="0" t="s">
        <v>120</v>
      </c>
      <c r="M527" s="0" t="s">
        <v>121</v>
      </c>
      <c r="N527" s="0" t="s">
        <v>134</v>
      </c>
      <c r="O527" s="0" t="s">
        <v>128</v>
      </c>
      <c r="P527" s="0" t="s">
        <v>289</v>
      </c>
      <c r="Q527" s="0" t="s">
        <v>79</v>
      </c>
      <c r="R527" s="0" t="s">
        <v>290</v>
      </c>
      <c r="S527" s="0" t="s">
        <v>81</v>
      </c>
      <c r="T527" s="0" t="s">
        <v>82</v>
      </c>
    </row>
    <row r="528" customFormat="false" ht="15" hidden="false" customHeight="false" outlineLevel="0" collapsed="false">
      <c r="A528" s="0" t="str">
        <f aca="false">B528&amp;"|"&amp;C528&amp;"|"&amp;D528&amp;"|"&amp;E528&amp;"|"&amp;F528</f>
        <v>2.8+2506|IR|delta_tenor_corr|20y|2y</v>
      </c>
      <c r="B528" s="0" t="s">
        <v>286</v>
      </c>
      <c r="C528" s="0" t="s">
        <v>68</v>
      </c>
      <c r="D528" s="0" t="s">
        <v>118</v>
      </c>
      <c r="E528" s="0" t="s">
        <v>34</v>
      </c>
      <c r="F528" s="0" t="s">
        <v>29</v>
      </c>
      <c r="G528" s="0" t="n">
        <v>0.77</v>
      </c>
      <c r="H528" s="0" t="s">
        <v>119</v>
      </c>
      <c r="I528" s="0" t="s">
        <v>287</v>
      </c>
      <c r="J528" s="0" t="s">
        <v>286</v>
      </c>
      <c r="K528" s="0" t="s">
        <v>288</v>
      </c>
      <c r="L528" s="0" t="s">
        <v>120</v>
      </c>
      <c r="M528" s="0" t="s">
        <v>121</v>
      </c>
      <c r="N528" s="0" t="s">
        <v>134</v>
      </c>
      <c r="O528" s="0" t="s">
        <v>128</v>
      </c>
      <c r="P528" s="0" t="s">
        <v>289</v>
      </c>
      <c r="Q528" s="0" t="s">
        <v>79</v>
      </c>
      <c r="R528" s="0" t="s">
        <v>290</v>
      </c>
      <c r="S528" s="0" t="s">
        <v>81</v>
      </c>
      <c r="T528" s="0" t="s">
        <v>82</v>
      </c>
    </row>
    <row r="529" customFormat="false" ht="15" hidden="false" customHeight="false" outlineLevel="0" collapsed="false">
      <c r="A529" s="0" t="str">
        <f aca="false">B529&amp;"|"&amp;C529&amp;"|"&amp;D529&amp;"|"&amp;E529&amp;"|"&amp;F529</f>
        <v>2.8+2506|IR|delta_tenor_corr|20y|3y</v>
      </c>
      <c r="B529" s="0" t="s">
        <v>286</v>
      </c>
      <c r="C529" s="0" t="s">
        <v>68</v>
      </c>
      <c r="D529" s="0" t="s">
        <v>118</v>
      </c>
      <c r="E529" s="0" t="s">
        <v>34</v>
      </c>
      <c r="F529" s="0" t="s">
        <v>30</v>
      </c>
      <c r="G529" s="0" t="n">
        <v>0.82</v>
      </c>
      <c r="H529" s="0" t="s">
        <v>119</v>
      </c>
      <c r="I529" s="0" t="s">
        <v>287</v>
      </c>
      <c r="J529" s="0" t="s">
        <v>286</v>
      </c>
      <c r="K529" s="0" t="s">
        <v>288</v>
      </c>
      <c r="L529" s="0" t="s">
        <v>120</v>
      </c>
      <c r="M529" s="0" t="s">
        <v>121</v>
      </c>
      <c r="N529" s="0" t="s">
        <v>134</v>
      </c>
      <c r="O529" s="0" t="s">
        <v>128</v>
      </c>
      <c r="P529" s="0" t="s">
        <v>289</v>
      </c>
      <c r="Q529" s="0" t="s">
        <v>79</v>
      </c>
      <c r="R529" s="0" t="s">
        <v>290</v>
      </c>
      <c r="S529" s="0" t="s">
        <v>81</v>
      </c>
      <c r="T529" s="0" t="s">
        <v>82</v>
      </c>
    </row>
    <row r="530" customFormat="false" ht="15" hidden="false" customHeight="false" outlineLevel="0" collapsed="false">
      <c r="A530" s="0" t="str">
        <f aca="false">B530&amp;"|"&amp;C530&amp;"|"&amp;D530&amp;"|"&amp;E530&amp;"|"&amp;F530</f>
        <v>2.8+2506|IR|delta_tenor_corr|20y|5y</v>
      </c>
      <c r="B530" s="0" t="s">
        <v>286</v>
      </c>
      <c r="C530" s="0" t="s">
        <v>68</v>
      </c>
      <c r="D530" s="0" t="s">
        <v>118</v>
      </c>
      <c r="E530" s="0" t="s">
        <v>34</v>
      </c>
      <c r="F530" s="0" t="s">
        <v>31</v>
      </c>
      <c r="G530" s="0" t="n">
        <v>0.89</v>
      </c>
      <c r="H530" s="0" t="s">
        <v>119</v>
      </c>
      <c r="I530" s="0" t="s">
        <v>287</v>
      </c>
      <c r="J530" s="0" t="s">
        <v>286</v>
      </c>
      <c r="K530" s="0" t="s">
        <v>288</v>
      </c>
      <c r="L530" s="0" t="s">
        <v>120</v>
      </c>
      <c r="M530" s="0" t="s">
        <v>121</v>
      </c>
      <c r="N530" s="0" t="s">
        <v>134</v>
      </c>
      <c r="O530" s="0" t="s">
        <v>128</v>
      </c>
      <c r="P530" s="0" t="s">
        <v>289</v>
      </c>
      <c r="Q530" s="0" t="s">
        <v>79</v>
      </c>
      <c r="R530" s="0" t="s">
        <v>290</v>
      </c>
      <c r="S530" s="0" t="s">
        <v>81</v>
      </c>
      <c r="T530" s="0" t="s">
        <v>82</v>
      </c>
    </row>
    <row r="531" customFormat="false" ht="15" hidden="false" customHeight="false" outlineLevel="0" collapsed="false">
      <c r="A531" s="0" t="str">
        <f aca="false">B531&amp;"|"&amp;C531&amp;"|"&amp;D531&amp;"|"&amp;E531&amp;"|"&amp;F531</f>
        <v>2.8+2506|IR|delta_tenor_corr|20y|10y</v>
      </c>
      <c r="B531" s="0" t="s">
        <v>286</v>
      </c>
      <c r="C531" s="0" t="s">
        <v>68</v>
      </c>
      <c r="D531" s="0" t="s">
        <v>118</v>
      </c>
      <c r="E531" s="0" t="s">
        <v>34</v>
      </c>
      <c r="F531" s="0" t="s">
        <v>32</v>
      </c>
      <c r="G531" s="0" t="n">
        <v>0.95</v>
      </c>
      <c r="H531" s="0" t="s">
        <v>119</v>
      </c>
      <c r="I531" s="0" t="s">
        <v>287</v>
      </c>
      <c r="J531" s="0" t="s">
        <v>286</v>
      </c>
      <c r="K531" s="0" t="s">
        <v>288</v>
      </c>
      <c r="L531" s="0" t="s">
        <v>120</v>
      </c>
      <c r="M531" s="0" t="s">
        <v>121</v>
      </c>
      <c r="N531" s="0" t="s">
        <v>134</v>
      </c>
      <c r="O531" s="0" t="s">
        <v>128</v>
      </c>
      <c r="P531" s="0" t="s">
        <v>289</v>
      </c>
      <c r="Q531" s="0" t="s">
        <v>79</v>
      </c>
      <c r="R531" s="0" t="s">
        <v>290</v>
      </c>
      <c r="S531" s="0" t="s">
        <v>81</v>
      </c>
      <c r="T531" s="0" t="s">
        <v>82</v>
      </c>
    </row>
    <row r="532" customFormat="false" ht="15" hidden="false" customHeight="false" outlineLevel="0" collapsed="false">
      <c r="A532" s="0" t="str">
        <f aca="false">B532&amp;"|"&amp;C532&amp;"|"&amp;D532&amp;"|"&amp;E532&amp;"|"&amp;F532</f>
        <v>2.8+2506|IR|delta_tenor_corr|20y|15y</v>
      </c>
      <c r="B532" s="0" t="s">
        <v>286</v>
      </c>
      <c r="C532" s="0" t="s">
        <v>68</v>
      </c>
      <c r="D532" s="0" t="s">
        <v>118</v>
      </c>
      <c r="E532" s="0" t="s">
        <v>34</v>
      </c>
      <c r="F532" s="0" t="s">
        <v>33</v>
      </c>
      <c r="G532" s="0" t="n">
        <v>0.98</v>
      </c>
      <c r="H532" s="0" t="s">
        <v>119</v>
      </c>
      <c r="I532" s="0" t="s">
        <v>287</v>
      </c>
      <c r="J532" s="0" t="s">
        <v>286</v>
      </c>
      <c r="K532" s="0" t="s">
        <v>288</v>
      </c>
      <c r="L532" s="0" t="s">
        <v>120</v>
      </c>
      <c r="M532" s="0" t="s">
        <v>121</v>
      </c>
      <c r="N532" s="0" t="s">
        <v>134</v>
      </c>
      <c r="O532" s="0" t="s">
        <v>128</v>
      </c>
      <c r="P532" s="0" t="s">
        <v>289</v>
      </c>
      <c r="Q532" s="0" t="s">
        <v>79</v>
      </c>
      <c r="R532" s="0" t="s">
        <v>290</v>
      </c>
      <c r="S532" s="0" t="s">
        <v>81</v>
      </c>
      <c r="T532" s="0" t="s">
        <v>82</v>
      </c>
    </row>
    <row r="533" customFormat="false" ht="15" hidden="false" customHeight="false" outlineLevel="0" collapsed="false">
      <c r="A533" s="0" t="str">
        <f aca="false">B533&amp;"|"&amp;C533&amp;"|"&amp;D533&amp;"|"&amp;E533&amp;"|"&amp;F533</f>
        <v>2.8+2506|IR|delta_tenor_corr|20y|20y</v>
      </c>
      <c r="B533" s="0" t="s">
        <v>286</v>
      </c>
      <c r="C533" s="0" t="s">
        <v>68</v>
      </c>
      <c r="D533" s="0" t="s">
        <v>118</v>
      </c>
      <c r="E533" s="0" t="s">
        <v>34</v>
      </c>
      <c r="F533" s="0" t="s">
        <v>34</v>
      </c>
      <c r="G533" s="0" t="n">
        <v>1</v>
      </c>
      <c r="H533" s="0" t="s">
        <v>119</v>
      </c>
      <c r="I533" s="0" t="s">
        <v>287</v>
      </c>
      <c r="J533" s="0" t="s">
        <v>286</v>
      </c>
      <c r="K533" s="0" t="s">
        <v>288</v>
      </c>
      <c r="L533" s="0" t="s">
        <v>120</v>
      </c>
      <c r="M533" s="0" t="s">
        <v>121</v>
      </c>
      <c r="N533" s="0" t="s">
        <v>134</v>
      </c>
      <c r="O533" s="0" t="s">
        <v>128</v>
      </c>
      <c r="P533" s="0" t="s">
        <v>289</v>
      </c>
      <c r="Q533" s="0" t="s">
        <v>79</v>
      </c>
      <c r="R533" s="0" t="s">
        <v>290</v>
      </c>
      <c r="S533" s="0" t="s">
        <v>81</v>
      </c>
      <c r="T533" s="0" t="s">
        <v>123</v>
      </c>
    </row>
    <row r="534" customFormat="false" ht="15" hidden="false" customHeight="false" outlineLevel="0" collapsed="false">
      <c r="A534" s="0" t="str">
        <f aca="false">B534&amp;"|"&amp;C534&amp;"|"&amp;D534&amp;"|"&amp;E534&amp;"|"&amp;F534</f>
        <v>2.8+2506|IR|delta_tenor_corr|20y|30y</v>
      </c>
      <c r="B534" s="0" t="s">
        <v>286</v>
      </c>
      <c r="C534" s="0" t="s">
        <v>68</v>
      </c>
      <c r="D534" s="0" t="s">
        <v>118</v>
      </c>
      <c r="E534" s="0" t="s">
        <v>34</v>
      </c>
      <c r="F534" s="0" t="s">
        <v>35</v>
      </c>
      <c r="G534" s="0" t="n">
        <v>0.98</v>
      </c>
      <c r="H534" s="0" t="s">
        <v>119</v>
      </c>
      <c r="I534" s="0" t="s">
        <v>287</v>
      </c>
      <c r="J534" s="0" t="s">
        <v>286</v>
      </c>
      <c r="K534" s="0" t="s">
        <v>288</v>
      </c>
      <c r="L534" s="0" t="s">
        <v>120</v>
      </c>
      <c r="M534" s="0" t="s">
        <v>121</v>
      </c>
      <c r="N534" s="0" t="s">
        <v>134</v>
      </c>
      <c r="O534" s="0" t="s">
        <v>128</v>
      </c>
      <c r="P534" s="0" t="s">
        <v>289</v>
      </c>
      <c r="Q534" s="0" t="s">
        <v>79</v>
      </c>
      <c r="R534" s="0" t="s">
        <v>290</v>
      </c>
      <c r="S534" s="0" t="s">
        <v>81</v>
      </c>
      <c r="T534" s="0" t="s">
        <v>82</v>
      </c>
    </row>
    <row r="535" customFormat="false" ht="15" hidden="false" customHeight="false" outlineLevel="0" collapsed="false">
      <c r="A535" s="0" t="str">
        <f aca="false">B535&amp;"|"&amp;C535&amp;"|"&amp;D535&amp;"|"&amp;E535&amp;"|"&amp;F535</f>
        <v>2.8+2506|IR|delta_tenor_corr|30y|2w</v>
      </c>
      <c r="B535" s="0" t="s">
        <v>286</v>
      </c>
      <c r="C535" s="0" t="s">
        <v>68</v>
      </c>
      <c r="D535" s="0" t="s">
        <v>118</v>
      </c>
      <c r="E535" s="0" t="s">
        <v>35</v>
      </c>
      <c r="F535" s="0" t="s">
        <v>24</v>
      </c>
      <c r="G535" s="0" t="n">
        <v>0.14</v>
      </c>
      <c r="H535" s="0" t="s">
        <v>119</v>
      </c>
      <c r="I535" s="0" t="s">
        <v>287</v>
      </c>
      <c r="J535" s="0" t="s">
        <v>286</v>
      </c>
      <c r="K535" s="0" t="s">
        <v>288</v>
      </c>
      <c r="L535" s="0" t="s">
        <v>120</v>
      </c>
      <c r="M535" s="0" t="s">
        <v>121</v>
      </c>
      <c r="N535" s="0" t="s">
        <v>135</v>
      </c>
      <c r="O535" s="0" t="s">
        <v>128</v>
      </c>
      <c r="P535" s="0" t="s">
        <v>289</v>
      </c>
      <c r="Q535" s="0" t="s">
        <v>79</v>
      </c>
      <c r="R535" s="0" t="s">
        <v>290</v>
      </c>
      <c r="S535" s="0" t="s">
        <v>81</v>
      </c>
      <c r="T535" s="0" t="s">
        <v>82</v>
      </c>
    </row>
    <row r="536" customFormat="false" ht="15" hidden="false" customHeight="false" outlineLevel="0" collapsed="false">
      <c r="A536" s="0" t="str">
        <f aca="false">B536&amp;"|"&amp;C536&amp;"|"&amp;D536&amp;"|"&amp;E536&amp;"|"&amp;F536</f>
        <v>2.8+2506|IR|delta_tenor_corr|30y|1m</v>
      </c>
      <c r="B536" s="0" t="s">
        <v>286</v>
      </c>
      <c r="C536" s="0" t="s">
        <v>68</v>
      </c>
      <c r="D536" s="0" t="s">
        <v>118</v>
      </c>
      <c r="E536" s="0" t="s">
        <v>35</v>
      </c>
      <c r="F536" s="0" t="s">
        <v>25</v>
      </c>
      <c r="G536" s="0" t="n">
        <v>0.14</v>
      </c>
      <c r="H536" s="0" t="s">
        <v>119</v>
      </c>
      <c r="I536" s="0" t="s">
        <v>287</v>
      </c>
      <c r="J536" s="0" t="s">
        <v>286</v>
      </c>
      <c r="K536" s="0" t="s">
        <v>288</v>
      </c>
      <c r="L536" s="0" t="s">
        <v>120</v>
      </c>
      <c r="M536" s="0" t="s">
        <v>121</v>
      </c>
      <c r="N536" s="0" t="s">
        <v>135</v>
      </c>
      <c r="O536" s="0" t="s">
        <v>128</v>
      </c>
      <c r="P536" s="0" t="s">
        <v>289</v>
      </c>
      <c r="Q536" s="0" t="s">
        <v>79</v>
      </c>
      <c r="R536" s="0" t="s">
        <v>290</v>
      </c>
      <c r="S536" s="0" t="s">
        <v>81</v>
      </c>
      <c r="T536" s="0" t="s">
        <v>82</v>
      </c>
    </row>
    <row r="537" customFormat="false" ht="15" hidden="false" customHeight="false" outlineLevel="0" collapsed="false">
      <c r="A537" s="0" t="str">
        <f aca="false">B537&amp;"|"&amp;C537&amp;"|"&amp;D537&amp;"|"&amp;E537&amp;"|"&amp;F537</f>
        <v>2.8+2506|IR|delta_tenor_corr|30y|3m</v>
      </c>
      <c r="B537" s="0" t="s">
        <v>286</v>
      </c>
      <c r="C537" s="0" t="s">
        <v>68</v>
      </c>
      <c r="D537" s="0" t="s">
        <v>118</v>
      </c>
      <c r="E537" s="0" t="s">
        <v>35</v>
      </c>
      <c r="F537" s="0" t="s">
        <v>26</v>
      </c>
      <c r="G537" s="0" t="n">
        <v>0.25</v>
      </c>
      <c r="H537" s="0" t="s">
        <v>119</v>
      </c>
      <c r="I537" s="0" t="s">
        <v>287</v>
      </c>
      <c r="J537" s="0" t="s">
        <v>286</v>
      </c>
      <c r="K537" s="0" t="s">
        <v>288</v>
      </c>
      <c r="L537" s="0" t="s">
        <v>120</v>
      </c>
      <c r="M537" s="0" t="s">
        <v>121</v>
      </c>
      <c r="N537" s="0" t="s">
        <v>135</v>
      </c>
      <c r="O537" s="0" t="s">
        <v>128</v>
      </c>
      <c r="P537" s="0" t="s">
        <v>289</v>
      </c>
      <c r="Q537" s="0" t="s">
        <v>79</v>
      </c>
      <c r="R537" s="0" t="s">
        <v>290</v>
      </c>
      <c r="S537" s="0" t="s">
        <v>81</v>
      </c>
      <c r="T537" s="0" t="s">
        <v>82</v>
      </c>
    </row>
    <row r="538" customFormat="false" ht="15" hidden="false" customHeight="false" outlineLevel="0" collapsed="false">
      <c r="A538" s="0" t="str">
        <f aca="false">B538&amp;"|"&amp;C538&amp;"|"&amp;D538&amp;"|"&amp;E538&amp;"|"&amp;F538</f>
        <v>2.8+2506|IR|delta_tenor_corr|30y|6m</v>
      </c>
      <c r="B538" s="0" t="s">
        <v>286</v>
      </c>
      <c r="C538" s="0" t="s">
        <v>68</v>
      </c>
      <c r="D538" s="0" t="s">
        <v>118</v>
      </c>
      <c r="E538" s="0" t="s">
        <v>35</v>
      </c>
      <c r="F538" s="0" t="s">
        <v>27</v>
      </c>
      <c r="G538" s="0" t="n">
        <v>0.42</v>
      </c>
      <c r="H538" s="0" t="s">
        <v>119</v>
      </c>
      <c r="I538" s="0" t="s">
        <v>287</v>
      </c>
      <c r="J538" s="0" t="s">
        <v>286</v>
      </c>
      <c r="K538" s="0" t="s">
        <v>288</v>
      </c>
      <c r="L538" s="0" t="s">
        <v>120</v>
      </c>
      <c r="M538" s="0" t="s">
        <v>121</v>
      </c>
      <c r="N538" s="0" t="s">
        <v>135</v>
      </c>
      <c r="O538" s="0" t="s">
        <v>128</v>
      </c>
      <c r="P538" s="0" t="s">
        <v>289</v>
      </c>
      <c r="Q538" s="0" t="s">
        <v>79</v>
      </c>
      <c r="R538" s="0" t="s">
        <v>290</v>
      </c>
      <c r="S538" s="0" t="s">
        <v>81</v>
      </c>
      <c r="T538" s="0" t="s">
        <v>82</v>
      </c>
    </row>
    <row r="539" customFormat="false" ht="15" hidden="false" customHeight="false" outlineLevel="0" collapsed="false">
      <c r="A539" s="0" t="str">
        <f aca="false">B539&amp;"|"&amp;C539&amp;"|"&amp;D539&amp;"|"&amp;E539&amp;"|"&amp;F539</f>
        <v>2.8+2506|IR|delta_tenor_corr|30y|1y</v>
      </c>
      <c r="B539" s="0" t="s">
        <v>286</v>
      </c>
      <c r="C539" s="0" t="s">
        <v>68</v>
      </c>
      <c r="D539" s="0" t="s">
        <v>118</v>
      </c>
      <c r="E539" s="0" t="s">
        <v>35</v>
      </c>
      <c r="F539" s="0" t="s">
        <v>28</v>
      </c>
      <c r="G539" s="0" t="n">
        <v>0.63</v>
      </c>
      <c r="H539" s="0" t="s">
        <v>119</v>
      </c>
      <c r="I539" s="0" t="s">
        <v>287</v>
      </c>
      <c r="J539" s="0" t="s">
        <v>286</v>
      </c>
      <c r="K539" s="0" t="s">
        <v>288</v>
      </c>
      <c r="L539" s="0" t="s">
        <v>120</v>
      </c>
      <c r="M539" s="0" t="s">
        <v>121</v>
      </c>
      <c r="N539" s="0" t="s">
        <v>135</v>
      </c>
      <c r="O539" s="0" t="s">
        <v>128</v>
      </c>
      <c r="P539" s="0" t="s">
        <v>289</v>
      </c>
      <c r="Q539" s="0" t="s">
        <v>79</v>
      </c>
      <c r="R539" s="0" t="s">
        <v>290</v>
      </c>
      <c r="S539" s="0" t="s">
        <v>81</v>
      </c>
      <c r="T539" s="0" t="s">
        <v>82</v>
      </c>
    </row>
    <row r="540" customFormat="false" ht="15" hidden="false" customHeight="false" outlineLevel="0" collapsed="false">
      <c r="A540" s="0" t="str">
        <f aca="false">B540&amp;"|"&amp;C540&amp;"|"&amp;D540&amp;"|"&amp;E540&amp;"|"&amp;F540</f>
        <v>2.8+2506|IR|delta_tenor_corr|30y|2y</v>
      </c>
      <c r="B540" s="0" t="s">
        <v>286</v>
      </c>
      <c r="C540" s="0" t="s">
        <v>68</v>
      </c>
      <c r="D540" s="0" t="s">
        <v>118</v>
      </c>
      <c r="E540" s="0" t="s">
        <v>35</v>
      </c>
      <c r="F540" s="0" t="s">
        <v>29</v>
      </c>
      <c r="G540" s="0" t="n">
        <v>0.76</v>
      </c>
      <c r="H540" s="0" t="s">
        <v>119</v>
      </c>
      <c r="I540" s="0" t="s">
        <v>287</v>
      </c>
      <c r="J540" s="0" t="s">
        <v>286</v>
      </c>
      <c r="K540" s="0" t="s">
        <v>288</v>
      </c>
      <c r="L540" s="0" t="s">
        <v>120</v>
      </c>
      <c r="M540" s="0" t="s">
        <v>121</v>
      </c>
      <c r="N540" s="0" t="s">
        <v>135</v>
      </c>
      <c r="O540" s="0" t="s">
        <v>128</v>
      </c>
      <c r="P540" s="0" t="s">
        <v>289</v>
      </c>
      <c r="Q540" s="0" t="s">
        <v>79</v>
      </c>
      <c r="R540" s="0" t="s">
        <v>290</v>
      </c>
      <c r="S540" s="0" t="s">
        <v>81</v>
      </c>
      <c r="T540" s="0" t="s">
        <v>82</v>
      </c>
    </row>
    <row r="541" customFormat="false" ht="15" hidden="false" customHeight="false" outlineLevel="0" collapsed="false">
      <c r="A541" s="0" t="str">
        <f aca="false">B541&amp;"|"&amp;C541&amp;"|"&amp;D541&amp;"|"&amp;E541&amp;"|"&amp;F541</f>
        <v>2.8+2506|IR|delta_tenor_corr|30y|3y</v>
      </c>
      <c r="B541" s="0" t="s">
        <v>286</v>
      </c>
      <c r="C541" s="0" t="s">
        <v>68</v>
      </c>
      <c r="D541" s="0" t="s">
        <v>118</v>
      </c>
      <c r="E541" s="0" t="s">
        <v>35</v>
      </c>
      <c r="F541" s="0" t="s">
        <v>30</v>
      </c>
      <c r="G541" s="0" t="n">
        <v>0.81</v>
      </c>
      <c r="H541" s="0" t="s">
        <v>119</v>
      </c>
      <c r="I541" s="0" t="s">
        <v>287</v>
      </c>
      <c r="J541" s="0" t="s">
        <v>286</v>
      </c>
      <c r="K541" s="0" t="s">
        <v>288</v>
      </c>
      <c r="L541" s="0" t="s">
        <v>120</v>
      </c>
      <c r="M541" s="0" t="s">
        <v>121</v>
      </c>
      <c r="N541" s="0" t="s">
        <v>135</v>
      </c>
      <c r="O541" s="0" t="s">
        <v>128</v>
      </c>
      <c r="P541" s="0" t="s">
        <v>289</v>
      </c>
      <c r="Q541" s="0" t="s">
        <v>79</v>
      </c>
      <c r="R541" s="0" t="s">
        <v>290</v>
      </c>
      <c r="S541" s="0" t="s">
        <v>81</v>
      </c>
      <c r="T541" s="0" t="s">
        <v>82</v>
      </c>
    </row>
    <row r="542" customFormat="false" ht="15" hidden="false" customHeight="false" outlineLevel="0" collapsed="false">
      <c r="A542" s="0" t="str">
        <f aca="false">B542&amp;"|"&amp;C542&amp;"|"&amp;D542&amp;"|"&amp;E542&amp;"|"&amp;F542</f>
        <v>2.8+2506|IR|delta_tenor_corr|30y|5y</v>
      </c>
      <c r="B542" s="0" t="s">
        <v>286</v>
      </c>
      <c r="C542" s="0" t="s">
        <v>68</v>
      </c>
      <c r="D542" s="0" t="s">
        <v>118</v>
      </c>
      <c r="E542" s="0" t="s">
        <v>35</v>
      </c>
      <c r="F542" s="0" t="s">
        <v>31</v>
      </c>
      <c r="G542" s="0" t="n">
        <v>0.88</v>
      </c>
      <c r="H542" s="0" t="s">
        <v>119</v>
      </c>
      <c r="I542" s="0" t="s">
        <v>287</v>
      </c>
      <c r="J542" s="0" t="s">
        <v>286</v>
      </c>
      <c r="K542" s="0" t="s">
        <v>288</v>
      </c>
      <c r="L542" s="0" t="s">
        <v>120</v>
      </c>
      <c r="M542" s="0" t="s">
        <v>121</v>
      </c>
      <c r="N542" s="0" t="s">
        <v>135</v>
      </c>
      <c r="O542" s="0" t="s">
        <v>128</v>
      </c>
      <c r="P542" s="0" t="s">
        <v>289</v>
      </c>
      <c r="Q542" s="0" t="s">
        <v>79</v>
      </c>
      <c r="R542" s="0" t="s">
        <v>290</v>
      </c>
      <c r="S542" s="0" t="s">
        <v>81</v>
      </c>
      <c r="T542" s="0" t="s">
        <v>82</v>
      </c>
    </row>
    <row r="543" customFormat="false" ht="15" hidden="false" customHeight="false" outlineLevel="0" collapsed="false">
      <c r="A543" s="0" t="str">
        <f aca="false">B543&amp;"|"&amp;C543&amp;"|"&amp;D543&amp;"|"&amp;E543&amp;"|"&amp;F543</f>
        <v>2.8+2506|IR|delta_tenor_corr|30y|10y</v>
      </c>
      <c r="B543" s="0" t="s">
        <v>286</v>
      </c>
      <c r="C543" s="0" t="s">
        <v>68</v>
      </c>
      <c r="D543" s="0" t="s">
        <v>118</v>
      </c>
      <c r="E543" s="0" t="s">
        <v>35</v>
      </c>
      <c r="F543" s="0" t="s">
        <v>32</v>
      </c>
      <c r="G543" s="0" t="n">
        <v>0.95</v>
      </c>
      <c r="H543" s="0" t="s">
        <v>119</v>
      </c>
      <c r="I543" s="0" t="s">
        <v>287</v>
      </c>
      <c r="J543" s="0" t="s">
        <v>286</v>
      </c>
      <c r="K543" s="0" t="s">
        <v>288</v>
      </c>
      <c r="L543" s="0" t="s">
        <v>120</v>
      </c>
      <c r="M543" s="0" t="s">
        <v>121</v>
      </c>
      <c r="N543" s="0" t="s">
        <v>135</v>
      </c>
      <c r="O543" s="0" t="s">
        <v>128</v>
      </c>
      <c r="P543" s="0" t="s">
        <v>289</v>
      </c>
      <c r="Q543" s="0" t="s">
        <v>79</v>
      </c>
      <c r="R543" s="0" t="s">
        <v>290</v>
      </c>
      <c r="S543" s="0" t="s">
        <v>81</v>
      </c>
      <c r="T543" s="0" t="s">
        <v>82</v>
      </c>
    </row>
    <row r="544" customFormat="false" ht="15" hidden="false" customHeight="false" outlineLevel="0" collapsed="false">
      <c r="A544" s="0" t="str">
        <f aca="false">B544&amp;"|"&amp;C544&amp;"|"&amp;D544&amp;"|"&amp;E544&amp;"|"&amp;F544</f>
        <v>2.8+2506|IR|delta_tenor_corr|30y|15y</v>
      </c>
      <c r="B544" s="0" t="s">
        <v>286</v>
      </c>
      <c r="C544" s="0" t="s">
        <v>68</v>
      </c>
      <c r="D544" s="0" t="s">
        <v>118</v>
      </c>
      <c r="E544" s="0" t="s">
        <v>35</v>
      </c>
      <c r="F544" s="0" t="s">
        <v>33</v>
      </c>
      <c r="G544" s="0" t="n">
        <v>0.97</v>
      </c>
      <c r="H544" s="0" t="s">
        <v>119</v>
      </c>
      <c r="I544" s="0" t="s">
        <v>287</v>
      </c>
      <c r="J544" s="0" t="s">
        <v>286</v>
      </c>
      <c r="K544" s="0" t="s">
        <v>288</v>
      </c>
      <c r="L544" s="0" t="s">
        <v>120</v>
      </c>
      <c r="M544" s="0" t="s">
        <v>121</v>
      </c>
      <c r="N544" s="0" t="s">
        <v>135</v>
      </c>
      <c r="O544" s="0" t="s">
        <v>128</v>
      </c>
      <c r="P544" s="0" t="s">
        <v>289</v>
      </c>
      <c r="Q544" s="0" t="s">
        <v>79</v>
      </c>
      <c r="R544" s="0" t="s">
        <v>290</v>
      </c>
      <c r="S544" s="0" t="s">
        <v>81</v>
      </c>
      <c r="T544" s="0" t="s">
        <v>82</v>
      </c>
    </row>
    <row r="545" customFormat="false" ht="15" hidden="false" customHeight="false" outlineLevel="0" collapsed="false">
      <c r="A545" s="0" t="str">
        <f aca="false">B545&amp;"|"&amp;C545&amp;"|"&amp;D545&amp;"|"&amp;E545&amp;"|"&amp;F545</f>
        <v>2.8+2506|IR|delta_tenor_corr|30y|20y</v>
      </c>
      <c r="B545" s="0" t="s">
        <v>286</v>
      </c>
      <c r="C545" s="0" t="s">
        <v>68</v>
      </c>
      <c r="D545" s="0" t="s">
        <v>118</v>
      </c>
      <c r="E545" s="0" t="s">
        <v>35</v>
      </c>
      <c r="F545" s="0" t="s">
        <v>34</v>
      </c>
      <c r="G545" s="0" t="n">
        <v>0.98</v>
      </c>
      <c r="H545" s="0" t="s">
        <v>119</v>
      </c>
      <c r="I545" s="0" t="s">
        <v>287</v>
      </c>
      <c r="J545" s="0" t="s">
        <v>286</v>
      </c>
      <c r="K545" s="0" t="s">
        <v>288</v>
      </c>
      <c r="L545" s="0" t="s">
        <v>120</v>
      </c>
      <c r="M545" s="0" t="s">
        <v>121</v>
      </c>
      <c r="N545" s="0" t="s">
        <v>135</v>
      </c>
      <c r="O545" s="0" t="s">
        <v>128</v>
      </c>
      <c r="P545" s="0" t="s">
        <v>289</v>
      </c>
      <c r="Q545" s="0" t="s">
        <v>79</v>
      </c>
      <c r="R545" s="0" t="s">
        <v>290</v>
      </c>
      <c r="S545" s="0" t="s">
        <v>81</v>
      </c>
      <c r="T545" s="0" t="s">
        <v>82</v>
      </c>
    </row>
    <row r="546" customFormat="false" ht="15" hidden="false" customHeight="false" outlineLevel="0" collapsed="false">
      <c r="A546" s="0" t="str">
        <f aca="false">B546&amp;"|"&amp;C546&amp;"|"&amp;D546&amp;"|"&amp;E546&amp;"|"&amp;F546</f>
        <v>2.8+2506|IR|delta_tenor_corr|30y|30y</v>
      </c>
      <c r="B546" s="0" t="s">
        <v>286</v>
      </c>
      <c r="C546" s="0" t="s">
        <v>68</v>
      </c>
      <c r="D546" s="0" t="s">
        <v>118</v>
      </c>
      <c r="E546" s="0" t="s">
        <v>35</v>
      </c>
      <c r="F546" s="0" t="s">
        <v>35</v>
      </c>
      <c r="G546" s="0" t="n">
        <v>1</v>
      </c>
      <c r="H546" s="0" t="s">
        <v>119</v>
      </c>
      <c r="I546" s="0" t="s">
        <v>287</v>
      </c>
      <c r="J546" s="0" t="s">
        <v>286</v>
      </c>
      <c r="K546" s="0" t="s">
        <v>288</v>
      </c>
      <c r="L546" s="0" t="s">
        <v>120</v>
      </c>
      <c r="M546" s="0" t="s">
        <v>121</v>
      </c>
      <c r="N546" s="0" t="s">
        <v>135</v>
      </c>
      <c r="O546" s="0" t="s">
        <v>128</v>
      </c>
      <c r="P546" s="0" t="s">
        <v>289</v>
      </c>
      <c r="Q546" s="0" t="s">
        <v>79</v>
      </c>
      <c r="R546" s="0" t="s">
        <v>290</v>
      </c>
      <c r="S546" s="0" t="s">
        <v>81</v>
      </c>
      <c r="T546" s="0" t="s">
        <v>123</v>
      </c>
    </row>
    <row r="547" customFormat="false" ht="15" hidden="false" customHeight="false" outlineLevel="0" collapsed="false">
      <c r="A547" s="0" t="str">
        <f aca="false">B547&amp;"|"&amp;C547&amp;"|"&amp;D547&amp;"|"&amp;E547&amp;"|"&amp;F547</f>
        <v>2.8+2506|IR|subcurve_phi||</v>
      </c>
      <c r="B547" s="0" t="s">
        <v>286</v>
      </c>
      <c r="C547" s="0" t="s">
        <v>68</v>
      </c>
      <c r="D547" s="0" t="s">
        <v>136</v>
      </c>
      <c r="G547" s="0" t="n">
        <v>0.981</v>
      </c>
      <c r="H547" s="0" t="s">
        <v>119</v>
      </c>
      <c r="I547" s="0" t="s">
        <v>287</v>
      </c>
      <c r="J547" s="0" t="s">
        <v>286</v>
      </c>
      <c r="K547" s="0" t="s">
        <v>288</v>
      </c>
      <c r="L547" s="0" t="s">
        <v>120</v>
      </c>
      <c r="M547" s="0" t="s">
        <v>121</v>
      </c>
      <c r="N547" s="0" t="s">
        <v>137</v>
      </c>
      <c r="O547" s="0" t="s">
        <v>128</v>
      </c>
      <c r="P547" s="0" t="s">
        <v>289</v>
      </c>
      <c r="Q547" s="0" t="s">
        <v>79</v>
      </c>
      <c r="R547" s="0" t="s">
        <v>290</v>
      </c>
      <c r="S547" s="0" t="s">
        <v>81</v>
      </c>
      <c r="T547" s="0" t="s">
        <v>82</v>
      </c>
    </row>
    <row r="548" customFormat="false" ht="15" hidden="false" customHeight="false" outlineLevel="0" collapsed="false">
      <c r="A548" s="0" t="str">
        <f aca="false">B548&amp;"|"&amp;C548&amp;"|"&amp;D548&amp;"|"&amp;E548&amp;"|"&amp;F548</f>
        <v>2.8+2506|IR|inflation_yield_corr||</v>
      </c>
      <c r="B548" s="0" t="s">
        <v>286</v>
      </c>
      <c r="C548" s="0" t="s">
        <v>68</v>
      </c>
      <c r="D548" s="0" t="s">
        <v>138</v>
      </c>
      <c r="G548" s="0" t="n">
        <v>0.42</v>
      </c>
      <c r="H548" s="0" t="s">
        <v>119</v>
      </c>
      <c r="I548" s="0" t="s">
        <v>287</v>
      </c>
      <c r="J548" s="0" t="s">
        <v>286</v>
      </c>
      <c r="K548" s="0" t="s">
        <v>288</v>
      </c>
      <c r="L548" s="0" t="s">
        <v>120</v>
      </c>
      <c r="M548" s="0" t="s">
        <v>121</v>
      </c>
      <c r="N548" s="0" t="s">
        <v>139</v>
      </c>
      <c r="O548" s="0" t="s">
        <v>128</v>
      </c>
      <c r="P548" s="0" t="s">
        <v>289</v>
      </c>
      <c r="Q548" s="0" t="s">
        <v>79</v>
      </c>
      <c r="R548" s="0" t="s">
        <v>290</v>
      </c>
      <c r="S548" s="0" t="s">
        <v>81</v>
      </c>
      <c r="T548" s="0" t="s">
        <v>82</v>
      </c>
    </row>
    <row r="549" customFormat="false" ht="15" hidden="false" customHeight="false" outlineLevel="0" collapsed="false">
      <c r="A549" s="0" t="str">
        <f aca="false">B549&amp;"|"&amp;C549&amp;"|"&amp;D549&amp;"|"&amp;E549&amp;"|"&amp;F549</f>
        <v>2.8+2506|IR|inflation_vol_ir_vol_corr||</v>
      </c>
      <c r="B549" s="0" t="s">
        <v>286</v>
      </c>
      <c r="C549" s="0" t="s">
        <v>68</v>
      </c>
      <c r="D549" s="0" t="s">
        <v>140</v>
      </c>
      <c r="G549" s="0" t="n">
        <v>0.42</v>
      </c>
      <c r="H549" s="0" t="s">
        <v>119</v>
      </c>
      <c r="I549" s="0" t="s">
        <v>287</v>
      </c>
      <c r="J549" s="0" t="s">
        <v>286</v>
      </c>
      <c r="K549" s="0" t="s">
        <v>288</v>
      </c>
      <c r="L549" s="0" t="s">
        <v>120</v>
      </c>
      <c r="M549" s="0" t="s">
        <v>121</v>
      </c>
      <c r="N549" s="0" t="s">
        <v>141</v>
      </c>
      <c r="O549" s="0" t="s">
        <v>128</v>
      </c>
      <c r="P549" s="0" t="s">
        <v>289</v>
      </c>
      <c r="Q549" s="0" t="s">
        <v>79</v>
      </c>
      <c r="R549" s="0" t="s">
        <v>290</v>
      </c>
      <c r="S549" s="0" t="s">
        <v>81</v>
      </c>
      <c r="T549" s="0" t="s">
        <v>82</v>
      </c>
    </row>
    <row r="550" customFormat="false" ht="15" hidden="false" customHeight="false" outlineLevel="0" collapsed="false">
      <c r="A550" s="0" t="str">
        <f aca="false">B550&amp;"|"&amp;C550&amp;"|"&amp;D550&amp;"|"&amp;E550&amp;"|"&amp;F550</f>
        <v>2.8+2506|IR|xccy_basis_yield_corr||</v>
      </c>
      <c r="B550" s="0" t="s">
        <v>286</v>
      </c>
      <c r="C550" s="0" t="s">
        <v>68</v>
      </c>
      <c r="D550" s="0" t="s">
        <v>142</v>
      </c>
      <c r="G550" s="0" t="n">
        <v>-0.01</v>
      </c>
      <c r="H550" s="0" t="s">
        <v>119</v>
      </c>
      <c r="I550" s="0" t="s">
        <v>287</v>
      </c>
      <c r="J550" s="0" t="s">
        <v>286</v>
      </c>
      <c r="K550" s="0" t="s">
        <v>288</v>
      </c>
      <c r="L550" s="0" t="s">
        <v>120</v>
      </c>
      <c r="M550" s="0" t="s">
        <v>121</v>
      </c>
      <c r="N550" s="0" t="s">
        <v>143</v>
      </c>
      <c r="O550" s="0" t="s">
        <v>128</v>
      </c>
      <c r="P550" s="0" t="s">
        <v>289</v>
      </c>
      <c r="Q550" s="0" t="s">
        <v>79</v>
      </c>
      <c r="R550" s="0" t="s">
        <v>290</v>
      </c>
      <c r="S550" s="0" t="s">
        <v>81</v>
      </c>
      <c r="T550" s="0" t="s">
        <v>82</v>
      </c>
    </row>
    <row r="551" customFormat="false" ht="15" hidden="false" customHeight="false" outlineLevel="0" collapsed="false">
      <c r="A551" s="0" t="str">
        <f aca="false">B551&amp;"|"&amp;C551&amp;"|"&amp;D551&amp;"|"&amp;E551&amp;"|"&amp;F551</f>
        <v>2.8+2506|IR|gamma||</v>
      </c>
      <c r="B551" s="0" t="s">
        <v>286</v>
      </c>
      <c r="C551" s="0" t="s">
        <v>68</v>
      </c>
      <c r="D551" s="0" t="s">
        <v>144</v>
      </c>
      <c r="G551" s="0" t="n">
        <v>0.35</v>
      </c>
      <c r="H551" s="0" t="s">
        <v>119</v>
      </c>
      <c r="I551" s="0" t="s">
        <v>287</v>
      </c>
      <c r="J551" s="0" t="s">
        <v>286</v>
      </c>
      <c r="K551" s="0" t="s">
        <v>288</v>
      </c>
      <c r="L551" s="0" t="s">
        <v>120</v>
      </c>
      <c r="M551" s="0" t="s">
        <v>145</v>
      </c>
      <c r="N551" s="0" t="s">
        <v>146</v>
      </c>
      <c r="O551" s="0" t="s">
        <v>128</v>
      </c>
      <c r="P551" s="0" t="s">
        <v>289</v>
      </c>
      <c r="Q551" s="0" t="s">
        <v>79</v>
      </c>
      <c r="R551" s="0" t="s">
        <v>290</v>
      </c>
      <c r="S551" s="0" t="s">
        <v>81</v>
      </c>
      <c r="T551" s="0" t="s">
        <v>82</v>
      </c>
    </row>
    <row r="552" customFormat="false" ht="15" hidden="false" customHeight="false" outlineLevel="0" collapsed="false">
      <c r="A552" s="0" t="str">
        <f aca="false">B552&amp;"|"&amp;C552&amp;"|"&amp;D552&amp;"|"&amp;E552&amp;"|"&amp;F552</f>
        <v>2.8+2506|IR|delta_ct|high|</v>
      </c>
      <c r="B552" s="0" t="s">
        <v>286</v>
      </c>
      <c r="C552" s="0" t="s">
        <v>68</v>
      </c>
      <c r="D552" s="0" t="s">
        <v>147</v>
      </c>
      <c r="E552" s="0" t="s">
        <v>85</v>
      </c>
      <c r="G552" s="0" t="n">
        <v>51</v>
      </c>
      <c r="H552" s="0" t="s">
        <v>148</v>
      </c>
      <c r="I552" s="0" t="s">
        <v>287</v>
      </c>
      <c r="J552" s="0" t="s">
        <v>286</v>
      </c>
      <c r="K552" s="0" t="s">
        <v>288</v>
      </c>
      <c r="L552" s="0" t="s">
        <v>149</v>
      </c>
      <c r="M552" s="0" t="s">
        <v>150</v>
      </c>
      <c r="N552" s="0" t="s">
        <v>151</v>
      </c>
      <c r="O552" s="0" t="s">
        <v>152</v>
      </c>
      <c r="P552" s="0" t="s">
        <v>289</v>
      </c>
      <c r="Q552" s="0" t="s">
        <v>79</v>
      </c>
      <c r="R552" s="0" t="s">
        <v>290</v>
      </c>
      <c r="S552" s="0" t="s">
        <v>81</v>
      </c>
      <c r="T552" s="0" t="s">
        <v>82</v>
      </c>
    </row>
    <row r="553" customFormat="false" ht="15" hidden="false" customHeight="false" outlineLevel="0" collapsed="false">
      <c r="A553" s="0" t="str">
        <f aca="false">B553&amp;"|"&amp;C553&amp;"|"&amp;D553&amp;"|"&amp;E553&amp;"|"&amp;F553</f>
        <v>2.8+2506|IR|delta_ct|regular_well_traded|</v>
      </c>
      <c r="B553" s="0" t="s">
        <v>286</v>
      </c>
      <c r="C553" s="0" t="s">
        <v>68</v>
      </c>
      <c r="D553" s="0" t="s">
        <v>147</v>
      </c>
      <c r="E553" s="0" t="s">
        <v>153</v>
      </c>
      <c r="G553" s="0" t="n">
        <v>210</v>
      </c>
      <c r="H553" s="0" t="s">
        <v>148</v>
      </c>
      <c r="I553" s="0" t="s">
        <v>287</v>
      </c>
      <c r="J553" s="0" t="s">
        <v>286</v>
      </c>
      <c r="K553" s="0" t="s">
        <v>288</v>
      </c>
      <c r="L553" s="0" t="s">
        <v>149</v>
      </c>
      <c r="M553" s="0" t="s">
        <v>150</v>
      </c>
      <c r="N553" s="0" t="s">
        <v>151</v>
      </c>
      <c r="O553" s="0" t="s">
        <v>152</v>
      </c>
      <c r="P553" s="0" t="s">
        <v>289</v>
      </c>
      <c r="Q553" s="0" t="s">
        <v>79</v>
      </c>
      <c r="R553" s="0" t="s">
        <v>290</v>
      </c>
      <c r="S553" s="0" t="s">
        <v>81</v>
      </c>
      <c r="T553" s="0" t="s">
        <v>82</v>
      </c>
    </row>
    <row r="554" customFormat="false" ht="15" hidden="false" customHeight="false" outlineLevel="0" collapsed="false">
      <c r="A554" s="0" t="str">
        <f aca="false">B554&amp;"|"&amp;C554&amp;"|"&amp;D554&amp;"|"&amp;E554&amp;"|"&amp;F554</f>
        <v>2.8+2506|IR|delta_ct|regular_less_well_traded|</v>
      </c>
      <c r="B554" s="0" t="s">
        <v>286</v>
      </c>
      <c r="C554" s="0" t="s">
        <v>68</v>
      </c>
      <c r="D554" s="0" t="s">
        <v>147</v>
      </c>
      <c r="E554" s="0" t="s">
        <v>154</v>
      </c>
      <c r="G554" s="0" t="n">
        <v>100</v>
      </c>
      <c r="H554" s="0" t="s">
        <v>148</v>
      </c>
      <c r="I554" s="0" t="s">
        <v>287</v>
      </c>
      <c r="J554" s="0" t="s">
        <v>286</v>
      </c>
      <c r="K554" s="0" t="s">
        <v>288</v>
      </c>
      <c r="L554" s="0" t="s">
        <v>149</v>
      </c>
      <c r="M554" s="0" t="s">
        <v>150</v>
      </c>
      <c r="N554" s="0" t="s">
        <v>151</v>
      </c>
      <c r="O554" s="0" t="s">
        <v>152</v>
      </c>
      <c r="P554" s="0" t="s">
        <v>289</v>
      </c>
      <c r="Q554" s="0" t="s">
        <v>79</v>
      </c>
      <c r="R554" s="0" t="s">
        <v>290</v>
      </c>
      <c r="S554" s="0" t="s">
        <v>81</v>
      </c>
      <c r="T554" s="0" t="s">
        <v>82</v>
      </c>
    </row>
    <row r="555" customFormat="false" ht="15" hidden="false" customHeight="false" outlineLevel="0" collapsed="false">
      <c r="A555" s="0" t="str">
        <f aca="false">B555&amp;"|"&amp;C555&amp;"|"&amp;D555&amp;"|"&amp;E555&amp;"|"&amp;F555</f>
        <v>2.8+2506|IR|delta_ct|low|</v>
      </c>
      <c r="B555" s="0" t="s">
        <v>286</v>
      </c>
      <c r="C555" s="0" t="s">
        <v>68</v>
      </c>
      <c r="D555" s="0" t="s">
        <v>147</v>
      </c>
      <c r="E555" s="0" t="s">
        <v>83</v>
      </c>
      <c r="G555" s="0" t="n">
        <v>230</v>
      </c>
      <c r="H555" s="0" t="s">
        <v>148</v>
      </c>
      <c r="I555" s="0" t="s">
        <v>287</v>
      </c>
      <c r="J555" s="0" t="s">
        <v>286</v>
      </c>
      <c r="K555" s="0" t="s">
        <v>288</v>
      </c>
      <c r="L555" s="0" t="s">
        <v>149</v>
      </c>
      <c r="M555" s="0" t="s">
        <v>150</v>
      </c>
      <c r="N555" s="0" t="s">
        <v>151</v>
      </c>
      <c r="O555" s="0" t="s">
        <v>152</v>
      </c>
      <c r="P555" s="0" t="s">
        <v>289</v>
      </c>
      <c r="Q555" s="0" t="s">
        <v>79</v>
      </c>
      <c r="R555" s="0" t="s">
        <v>290</v>
      </c>
      <c r="S555" s="0" t="s">
        <v>81</v>
      </c>
      <c r="T555" s="0" t="s">
        <v>82</v>
      </c>
    </row>
    <row r="556" customFormat="false" ht="15" hidden="false" customHeight="false" outlineLevel="0" collapsed="false">
      <c r="A556" s="0" t="str">
        <f aca="false">B556&amp;"|"&amp;C556&amp;"|"&amp;D556&amp;"|"&amp;E556&amp;"|"&amp;F556</f>
        <v>2.8+2506|IR|vega_ct|high|</v>
      </c>
      <c r="B556" s="0" t="s">
        <v>286</v>
      </c>
      <c r="C556" s="0" t="s">
        <v>68</v>
      </c>
      <c r="D556" s="0" t="s">
        <v>155</v>
      </c>
      <c r="E556" s="0" t="s">
        <v>85</v>
      </c>
      <c r="G556" s="0" t="n">
        <v>110</v>
      </c>
      <c r="H556" s="0" t="s">
        <v>156</v>
      </c>
      <c r="I556" s="0" t="s">
        <v>287</v>
      </c>
      <c r="J556" s="0" t="s">
        <v>286</v>
      </c>
      <c r="K556" s="0" t="s">
        <v>288</v>
      </c>
      <c r="L556" s="0" t="s">
        <v>157</v>
      </c>
      <c r="M556" s="0" t="s">
        <v>158</v>
      </c>
      <c r="N556" s="0" t="s">
        <v>159</v>
      </c>
      <c r="O556" s="0" t="s">
        <v>160</v>
      </c>
      <c r="P556" s="0" t="s">
        <v>289</v>
      </c>
      <c r="Q556" s="0" t="s">
        <v>79</v>
      </c>
      <c r="R556" s="0" t="s">
        <v>290</v>
      </c>
      <c r="S556" s="0" t="s">
        <v>81</v>
      </c>
      <c r="T556" s="0" t="s">
        <v>82</v>
      </c>
    </row>
    <row r="557" customFormat="false" ht="15" hidden="false" customHeight="false" outlineLevel="0" collapsed="false">
      <c r="A557" s="0" t="str">
        <f aca="false">B557&amp;"|"&amp;C557&amp;"|"&amp;D557&amp;"|"&amp;E557&amp;"|"&amp;F557</f>
        <v>2.8+2506|IR|vega_ct|regular_well_traded|</v>
      </c>
      <c r="B557" s="0" t="s">
        <v>286</v>
      </c>
      <c r="C557" s="0" t="s">
        <v>68</v>
      </c>
      <c r="D557" s="0" t="s">
        <v>155</v>
      </c>
      <c r="E557" s="0" t="s">
        <v>153</v>
      </c>
      <c r="G557" s="0" t="n">
        <v>4400</v>
      </c>
      <c r="H557" s="0" t="s">
        <v>156</v>
      </c>
      <c r="I557" s="0" t="s">
        <v>287</v>
      </c>
      <c r="J557" s="0" t="s">
        <v>286</v>
      </c>
      <c r="K557" s="0" t="s">
        <v>288</v>
      </c>
      <c r="L557" s="0" t="s">
        <v>157</v>
      </c>
      <c r="M557" s="0" t="s">
        <v>158</v>
      </c>
      <c r="N557" s="0" t="s">
        <v>159</v>
      </c>
      <c r="O557" s="0" t="s">
        <v>160</v>
      </c>
      <c r="P557" s="0" t="s">
        <v>289</v>
      </c>
      <c r="Q557" s="0" t="s">
        <v>79</v>
      </c>
      <c r="R557" s="0" t="s">
        <v>290</v>
      </c>
      <c r="S557" s="0" t="s">
        <v>81</v>
      </c>
      <c r="T557" s="0" t="s">
        <v>82</v>
      </c>
    </row>
    <row r="558" customFormat="false" ht="15" hidden="false" customHeight="false" outlineLevel="0" collapsed="false">
      <c r="A558" s="0" t="str">
        <f aca="false">B558&amp;"|"&amp;C558&amp;"|"&amp;D558&amp;"|"&amp;E558&amp;"|"&amp;F558</f>
        <v>2.8+2506|IR|vega_ct|regular_less_well_traded|</v>
      </c>
      <c r="B558" s="0" t="s">
        <v>286</v>
      </c>
      <c r="C558" s="0" t="s">
        <v>68</v>
      </c>
      <c r="D558" s="0" t="s">
        <v>155</v>
      </c>
      <c r="E558" s="0" t="s">
        <v>154</v>
      </c>
      <c r="G558" s="0" t="n">
        <v>480</v>
      </c>
      <c r="H558" s="0" t="s">
        <v>156</v>
      </c>
      <c r="I558" s="0" t="s">
        <v>287</v>
      </c>
      <c r="J558" s="0" t="s">
        <v>286</v>
      </c>
      <c r="K558" s="0" t="s">
        <v>288</v>
      </c>
      <c r="L558" s="0" t="s">
        <v>157</v>
      </c>
      <c r="M558" s="0" t="s">
        <v>158</v>
      </c>
      <c r="N558" s="0" t="s">
        <v>159</v>
      </c>
      <c r="O558" s="0" t="s">
        <v>160</v>
      </c>
      <c r="P558" s="0" t="s">
        <v>289</v>
      </c>
      <c r="Q558" s="0" t="s">
        <v>79</v>
      </c>
      <c r="R558" s="0" t="s">
        <v>290</v>
      </c>
      <c r="S558" s="0" t="s">
        <v>81</v>
      </c>
      <c r="T558" s="0" t="s">
        <v>82</v>
      </c>
    </row>
    <row r="559" customFormat="false" ht="15" hidden="false" customHeight="false" outlineLevel="0" collapsed="false">
      <c r="A559" s="0" t="str">
        <f aca="false">B559&amp;"|"&amp;C559&amp;"|"&amp;D559&amp;"|"&amp;E559&amp;"|"&amp;F559</f>
        <v>2.8+2506|IR|vega_ct|low|</v>
      </c>
      <c r="B559" s="0" t="s">
        <v>286</v>
      </c>
      <c r="C559" s="0" t="s">
        <v>68</v>
      </c>
      <c r="D559" s="0" t="s">
        <v>155</v>
      </c>
      <c r="E559" s="0" t="s">
        <v>83</v>
      </c>
      <c r="G559" s="0" t="n">
        <v>860</v>
      </c>
      <c r="H559" s="0" t="s">
        <v>156</v>
      </c>
      <c r="I559" s="0" t="s">
        <v>287</v>
      </c>
      <c r="J559" s="0" t="s">
        <v>286</v>
      </c>
      <c r="K559" s="0" t="s">
        <v>288</v>
      </c>
      <c r="L559" s="0" t="s">
        <v>157</v>
      </c>
      <c r="M559" s="0" t="s">
        <v>158</v>
      </c>
      <c r="N559" s="0" t="s">
        <v>159</v>
      </c>
      <c r="O559" s="0" t="s">
        <v>160</v>
      </c>
      <c r="P559" s="0" t="s">
        <v>289</v>
      </c>
      <c r="Q559" s="0" t="s">
        <v>79</v>
      </c>
      <c r="R559" s="0" t="s">
        <v>290</v>
      </c>
      <c r="S559" s="0" t="s">
        <v>81</v>
      </c>
      <c r="T559" s="0" t="s">
        <v>82</v>
      </c>
    </row>
    <row r="560" customFormat="false" ht="15" hidden="false" customHeight="false" outlineLevel="0" collapsed="false">
      <c r="A560" s="0" t="str">
        <f aca="false">B560&amp;"|"&amp;C560&amp;"|"&amp;D560&amp;"|"&amp;E560&amp;"|"&amp;F560</f>
        <v>2.8+2506|IR|ct_group_member|regular_well_traded|USD</v>
      </c>
      <c r="B560" s="0" t="s">
        <v>286</v>
      </c>
      <c r="C560" s="0" t="s">
        <v>68</v>
      </c>
      <c r="D560" s="0" t="s">
        <v>161</v>
      </c>
      <c r="E560" s="0" t="s">
        <v>153</v>
      </c>
      <c r="F560" s="0" t="s">
        <v>11</v>
      </c>
      <c r="G560" s="0" t="n">
        <v>1</v>
      </c>
      <c r="H560" s="0" t="s">
        <v>99</v>
      </c>
      <c r="I560" s="0" t="s">
        <v>287</v>
      </c>
      <c r="J560" s="0" t="s">
        <v>286</v>
      </c>
      <c r="K560" s="0" t="s">
        <v>288</v>
      </c>
      <c r="L560" s="0" t="s">
        <v>149</v>
      </c>
      <c r="M560" s="0" t="s">
        <v>162</v>
      </c>
      <c r="N560" s="0" t="s">
        <v>163</v>
      </c>
      <c r="O560" s="0" t="s">
        <v>152</v>
      </c>
      <c r="P560" s="0" t="s">
        <v>289</v>
      </c>
      <c r="Q560" s="0" t="s">
        <v>79</v>
      </c>
      <c r="R560" s="0" t="s">
        <v>290</v>
      </c>
      <c r="S560" s="0" t="s">
        <v>81</v>
      </c>
      <c r="T560" s="0" t="s">
        <v>82</v>
      </c>
    </row>
    <row r="561" customFormat="false" ht="15" hidden="false" customHeight="false" outlineLevel="0" collapsed="false">
      <c r="A561" s="0" t="str">
        <f aca="false">B561&amp;"|"&amp;C561&amp;"|"&amp;D561&amp;"|"&amp;E561&amp;"|"&amp;F561</f>
        <v>2.8+2506|IR|ct_group_member|regular_well_traded|EUR</v>
      </c>
      <c r="B561" s="0" t="s">
        <v>286</v>
      </c>
      <c r="C561" s="0" t="s">
        <v>68</v>
      </c>
      <c r="D561" s="0" t="s">
        <v>161</v>
      </c>
      <c r="E561" s="0" t="s">
        <v>153</v>
      </c>
      <c r="F561" s="0" t="s">
        <v>19</v>
      </c>
      <c r="G561" s="0" t="n">
        <v>1</v>
      </c>
      <c r="H561" s="0" t="s">
        <v>99</v>
      </c>
      <c r="I561" s="0" t="s">
        <v>287</v>
      </c>
      <c r="J561" s="0" t="s">
        <v>286</v>
      </c>
      <c r="K561" s="0" t="s">
        <v>288</v>
      </c>
      <c r="L561" s="0" t="s">
        <v>149</v>
      </c>
      <c r="M561" s="0" t="s">
        <v>162</v>
      </c>
      <c r="N561" s="0" t="s">
        <v>163</v>
      </c>
      <c r="O561" s="0" t="s">
        <v>152</v>
      </c>
      <c r="P561" s="0" t="s">
        <v>289</v>
      </c>
      <c r="Q561" s="0" t="s">
        <v>79</v>
      </c>
      <c r="R561" s="0" t="s">
        <v>290</v>
      </c>
      <c r="S561" s="0" t="s">
        <v>81</v>
      </c>
      <c r="T561" s="0" t="s">
        <v>82</v>
      </c>
    </row>
    <row r="562" customFormat="false" ht="15" hidden="false" customHeight="false" outlineLevel="0" collapsed="false">
      <c r="A562" s="0" t="str">
        <f aca="false">B562&amp;"|"&amp;C562&amp;"|"&amp;D562&amp;"|"&amp;E562&amp;"|"&amp;F562</f>
        <v>2.8+2506|IR|ct_group_member|regular_well_traded|GBP</v>
      </c>
      <c r="B562" s="0" t="s">
        <v>286</v>
      </c>
      <c r="C562" s="0" t="s">
        <v>68</v>
      </c>
      <c r="D562" s="0" t="s">
        <v>161</v>
      </c>
      <c r="E562" s="0" t="s">
        <v>153</v>
      </c>
      <c r="F562" s="0" t="s">
        <v>20</v>
      </c>
      <c r="G562" s="0" t="n">
        <v>1</v>
      </c>
      <c r="H562" s="0" t="s">
        <v>99</v>
      </c>
      <c r="I562" s="0" t="s">
        <v>287</v>
      </c>
      <c r="J562" s="0" t="s">
        <v>286</v>
      </c>
      <c r="K562" s="0" t="s">
        <v>288</v>
      </c>
      <c r="L562" s="0" t="s">
        <v>149</v>
      </c>
      <c r="M562" s="0" t="s">
        <v>162</v>
      </c>
      <c r="N562" s="0" t="s">
        <v>163</v>
      </c>
      <c r="O562" s="0" t="s">
        <v>152</v>
      </c>
      <c r="P562" s="0" t="s">
        <v>289</v>
      </c>
      <c r="Q562" s="0" t="s">
        <v>79</v>
      </c>
      <c r="R562" s="0" t="s">
        <v>290</v>
      </c>
      <c r="S562" s="0" t="s">
        <v>81</v>
      </c>
      <c r="T562" s="0" t="s">
        <v>82</v>
      </c>
    </row>
    <row r="563" customFormat="false" ht="15" hidden="false" customHeight="false" outlineLevel="0" collapsed="false">
      <c r="A563" s="0" t="str">
        <f aca="false">B563&amp;"|"&amp;C563&amp;"|"&amp;D563&amp;"|"&amp;E563&amp;"|"&amp;F563</f>
        <v>2.8+2506|IR|ct_group_member|regular_less_well_traded|AUD</v>
      </c>
      <c r="B563" s="0" t="s">
        <v>286</v>
      </c>
      <c r="C563" s="0" t="s">
        <v>68</v>
      </c>
      <c r="D563" s="0" t="s">
        <v>161</v>
      </c>
      <c r="E563" s="0" t="s">
        <v>154</v>
      </c>
      <c r="F563" s="0" t="s">
        <v>103</v>
      </c>
      <c r="G563" s="0" t="n">
        <v>1</v>
      </c>
      <c r="H563" s="0" t="s">
        <v>99</v>
      </c>
      <c r="I563" s="0" t="s">
        <v>287</v>
      </c>
      <c r="J563" s="0" t="s">
        <v>286</v>
      </c>
      <c r="K563" s="0" t="s">
        <v>288</v>
      </c>
      <c r="L563" s="0" t="s">
        <v>149</v>
      </c>
      <c r="M563" s="0" t="s">
        <v>164</v>
      </c>
      <c r="N563" s="0" t="s">
        <v>165</v>
      </c>
      <c r="O563" s="0" t="s">
        <v>152</v>
      </c>
      <c r="P563" s="0" t="s">
        <v>289</v>
      </c>
      <c r="Q563" s="0" t="s">
        <v>79</v>
      </c>
      <c r="R563" s="0" t="s">
        <v>290</v>
      </c>
      <c r="S563" s="0" t="s">
        <v>81</v>
      </c>
      <c r="T563" s="0" t="s">
        <v>82</v>
      </c>
    </row>
    <row r="564" customFormat="false" ht="15" hidden="false" customHeight="false" outlineLevel="0" collapsed="false">
      <c r="A564" s="0" t="str">
        <f aca="false">B564&amp;"|"&amp;C564&amp;"|"&amp;D564&amp;"|"&amp;E564&amp;"|"&amp;F564</f>
        <v>2.8+2506|IR|ct_group_member|regular_less_well_traded|CAD</v>
      </c>
      <c r="B564" s="0" t="s">
        <v>286</v>
      </c>
      <c r="C564" s="0" t="s">
        <v>68</v>
      </c>
      <c r="D564" s="0" t="s">
        <v>161</v>
      </c>
      <c r="E564" s="0" t="s">
        <v>154</v>
      </c>
      <c r="F564" s="0" t="s">
        <v>105</v>
      </c>
      <c r="G564" s="0" t="n">
        <v>1</v>
      </c>
      <c r="H564" s="0" t="s">
        <v>99</v>
      </c>
      <c r="I564" s="0" t="s">
        <v>287</v>
      </c>
      <c r="J564" s="0" t="s">
        <v>286</v>
      </c>
      <c r="K564" s="0" t="s">
        <v>288</v>
      </c>
      <c r="L564" s="0" t="s">
        <v>149</v>
      </c>
      <c r="M564" s="0" t="s">
        <v>164</v>
      </c>
      <c r="N564" s="0" t="s">
        <v>165</v>
      </c>
      <c r="O564" s="0" t="s">
        <v>152</v>
      </c>
      <c r="P564" s="0" t="s">
        <v>289</v>
      </c>
      <c r="Q564" s="0" t="s">
        <v>79</v>
      </c>
      <c r="R564" s="0" t="s">
        <v>290</v>
      </c>
      <c r="S564" s="0" t="s">
        <v>81</v>
      </c>
      <c r="T564" s="0" t="s">
        <v>82</v>
      </c>
    </row>
    <row r="565" customFormat="false" ht="15" hidden="false" customHeight="false" outlineLevel="0" collapsed="false">
      <c r="A565" s="0" t="str">
        <f aca="false">B565&amp;"|"&amp;C565&amp;"|"&amp;D565&amp;"|"&amp;E565&amp;"|"&amp;F565</f>
        <v>2.8+2506|IR|ct_group_member|regular_less_well_traded|CHF</v>
      </c>
      <c r="B565" s="0" t="s">
        <v>286</v>
      </c>
      <c r="C565" s="0" t="s">
        <v>68</v>
      </c>
      <c r="D565" s="0" t="s">
        <v>161</v>
      </c>
      <c r="E565" s="0" t="s">
        <v>154</v>
      </c>
      <c r="F565" s="0" t="s">
        <v>102</v>
      </c>
      <c r="G565" s="0" t="n">
        <v>1</v>
      </c>
      <c r="H565" s="0" t="s">
        <v>99</v>
      </c>
      <c r="I565" s="0" t="s">
        <v>287</v>
      </c>
      <c r="J565" s="0" t="s">
        <v>286</v>
      </c>
      <c r="K565" s="0" t="s">
        <v>288</v>
      </c>
      <c r="L565" s="0" t="s">
        <v>149</v>
      </c>
      <c r="M565" s="0" t="s">
        <v>164</v>
      </c>
      <c r="N565" s="0" t="s">
        <v>165</v>
      </c>
      <c r="O565" s="0" t="s">
        <v>152</v>
      </c>
      <c r="P565" s="0" t="s">
        <v>289</v>
      </c>
      <c r="Q565" s="0" t="s">
        <v>79</v>
      </c>
      <c r="R565" s="0" t="s">
        <v>290</v>
      </c>
      <c r="S565" s="0" t="s">
        <v>81</v>
      </c>
      <c r="T565" s="0" t="s">
        <v>82</v>
      </c>
    </row>
    <row r="566" customFormat="false" ht="15" hidden="false" customHeight="false" outlineLevel="0" collapsed="false">
      <c r="A566" s="0" t="str">
        <f aca="false">B566&amp;"|"&amp;C566&amp;"|"&amp;D566&amp;"|"&amp;E566&amp;"|"&amp;F566</f>
        <v>2.8+2506|IR|ct_group_member|regular_less_well_traded|DKK</v>
      </c>
      <c r="B566" s="0" t="s">
        <v>286</v>
      </c>
      <c r="C566" s="0" t="s">
        <v>68</v>
      </c>
      <c r="D566" s="0" t="s">
        <v>161</v>
      </c>
      <c r="E566" s="0" t="s">
        <v>154</v>
      </c>
      <c r="F566" s="0" t="s">
        <v>108</v>
      </c>
      <c r="G566" s="0" t="n">
        <v>1</v>
      </c>
      <c r="H566" s="0" t="s">
        <v>99</v>
      </c>
      <c r="I566" s="0" t="s">
        <v>287</v>
      </c>
      <c r="J566" s="0" t="s">
        <v>286</v>
      </c>
      <c r="K566" s="0" t="s">
        <v>288</v>
      </c>
      <c r="L566" s="0" t="s">
        <v>149</v>
      </c>
      <c r="M566" s="0" t="s">
        <v>164</v>
      </c>
      <c r="N566" s="0" t="s">
        <v>165</v>
      </c>
      <c r="O566" s="0" t="s">
        <v>152</v>
      </c>
      <c r="P566" s="0" t="s">
        <v>289</v>
      </c>
      <c r="Q566" s="0" t="s">
        <v>79</v>
      </c>
      <c r="R566" s="0" t="s">
        <v>290</v>
      </c>
      <c r="S566" s="0" t="s">
        <v>81</v>
      </c>
      <c r="T566" s="0" t="s">
        <v>82</v>
      </c>
    </row>
    <row r="567" customFormat="false" ht="15" hidden="false" customHeight="false" outlineLevel="0" collapsed="false">
      <c r="A567" s="0" t="str">
        <f aca="false">B567&amp;"|"&amp;C567&amp;"|"&amp;D567&amp;"|"&amp;E567&amp;"|"&amp;F567</f>
        <v>2.8+2506|IR|ct_group_member|regular_less_well_traded|HKD</v>
      </c>
      <c r="B567" s="0" t="s">
        <v>286</v>
      </c>
      <c r="C567" s="0" t="s">
        <v>68</v>
      </c>
      <c r="D567" s="0" t="s">
        <v>161</v>
      </c>
      <c r="E567" s="0" t="s">
        <v>154</v>
      </c>
      <c r="F567" s="0" t="s">
        <v>109</v>
      </c>
      <c r="G567" s="0" t="n">
        <v>1</v>
      </c>
      <c r="H567" s="0" t="s">
        <v>99</v>
      </c>
      <c r="I567" s="0" t="s">
        <v>287</v>
      </c>
      <c r="J567" s="0" t="s">
        <v>286</v>
      </c>
      <c r="K567" s="0" t="s">
        <v>288</v>
      </c>
      <c r="L567" s="0" t="s">
        <v>149</v>
      </c>
      <c r="M567" s="0" t="s">
        <v>164</v>
      </c>
      <c r="N567" s="0" t="s">
        <v>165</v>
      </c>
      <c r="O567" s="0" t="s">
        <v>152</v>
      </c>
      <c r="P567" s="0" t="s">
        <v>289</v>
      </c>
      <c r="Q567" s="0" t="s">
        <v>79</v>
      </c>
      <c r="R567" s="0" t="s">
        <v>290</v>
      </c>
      <c r="S567" s="0" t="s">
        <v>81</v>
      </c>
      <c r="T567" s="0" t="s">
        <v>82</v>
      </c>
    </row>
    <row r="568" customFormat="false" ht="15" hidden="false" customHeight="false" outlineLevel="0" collapsed="false">
      <c r="A568" s="0" t="str">
        <f aca="false">B568&amp;"|"&amp;C568&amp;"|"&amp;D568&amp;"|"&amp;E568&amp;"|"&amp;F568</f>
        <v>2.8+2506|IR|ct_group_member|regular_less_well_traded|KRW</v>
      </c>
      <c r="B568" s="0" t="s">
        <v>286</v>
      </c>
      <c r="C568" s="0" t="s">
        <v>68</v>
      </c>
      <c r="D568" s="0" t="s">
        <v>161</v>
      </c>
      <c r="E568" s="0" t="s">
        <v>154</v>
      </c>
      <c r="F568" s="0" t="s">
        <v>110</v>
      </c>
      <c r="G568" s="0" t="n">
        <v>1</v>
      </c>
      <c r="H568" s="0" t="s">
        <v>99</v>
      </c>
      <c r="I568" s="0" t="s">
        <v>287</v>
      </c>
      <c r="J568" s="0" t="s">
        <v>286</v>
      </c>
      <c r="K568" s="0" t="s">
        <v>288</v>
      </c>
      <c r="L568" s="0" t="s">
        <v>149</v>
      </c>
      <c r="M568" s="0" t="s">
        <v>164</v>
      </c>
      <c r="N568" s="0" t="s">
        <v>165</v>
      </c>
      <c r="O568" s="0" t="s">
        <v>152</v>
      </c>
      <c r="P568" s="0" t="s">
        <v>289</v>
      </c>
      <c r="Q568" s="0" t="s">
        <v>79</v>
      </c>
      <c r="R568" s="0" t="s">
        <v>290</v>
      </c>
      <c r="S568" s="0" t="s">
        <v>81</v>
      </c>
      <c r="T568" s="0" t="s">
        <v>82</v>
      </c>
    </row>
    <row r="569" customFormat="false" ht="15" hidden="false" customHeight="false" outlineLevel="0" collapsed="false">
      <c r="A569" s="0" t="str">
        <f aca="false">B569&amp;"|"&amp;C569&amp;"|"&amp;D569&amp;"|"&amp;E569&amp;"|"&amp;F569</f>
        <v>2.8+2506|IR|ct_group_member|regular_less_well_traded|NOK</v>
      </c>
      <c r="B569" s="0" t="s">
        <v>286</v>
      </c>
      <c r="C569" s="0" t="s">
        <v>68</v>
      </c>
      <c r="D569" s="0" t="s">
        <v>161</v>
      </c>
      <c r="E569" s="0" t="s">
        <v>154</v>
      </c>
      <c r="F569" s="0" t="s">
        <v>107</v>
      </c>
      <c r="G569" s="0" t="n">
        <v>1</v>
      </c>
      <c r="H569" s="0" t="s">
        <v>99</v>
      </c>
      <c r="I569" s="0" t="s">
        <v>287</v>
      </c>
      <c r="J569" s="0" t="s">
        <v>286</v>
      </c>
      <c r="K569" s="0" t="s">
        <v>288</v>
      </c>
      <c r="L569" s="0" t="s">
        <v>149</v>
      </c>
      <c r="M569" s="0" t="s">
        <v>164</v>
      </c>
      <c r="N569" s="0" t="s">
        <v>165</v>
      </c>
      <c r="O569" s="0" t="s">
        <v>152</v>
      </c>
      <c r="P569" s="0" t="s">
        <v>289</v>
      </c>
      <c r="Q569" s="0" t="s">
        <v>79</v>
      </c>
      <c r="R569" s="0" t="s">
        <v>290</v>
      </c>
      <c r="S569" s="0" t="s">
        <v>81</v>
      </c>
      <c r="T569" s="0" t="s">
        <v>82</v>
      </c>
    </row>
    <row r="570" customFormat="false" ht="15" hidden="false" customHeight="false" outlineLevel="0" collapsed="false">
      <c r="A570" s="0" t="str">
        <f aca="false">B570&amp;"|"&amp;C570&amp;"|"&amp;D570&amp;"|"&amp;E570&amp;"|"&amp;F570</f>
        <v>2.8+2506|IR|ct_group_member|regular_less_well_traded|NZD</v>
      </c>
      <c r="B570" s="0" t="s">
        <v>286</v>
      </c>
      <c r="C570" s="0" t="s">
        <v>68</v>
      </c>
      <c r="D570" s="0" t="s">
        <v>161</v>
      </c>
      <c r="E570" s="0" t="s">
        <v>154</v>
      </c>
      <c r="F570" s="0" t="s">
        <v>104</v>
      </c>
      <c r="G570" s="0" t="n">
        <v>1</v>
      </c>
      <c r="H570" s="0" t="s">
        <v>99</v>
      </c>
      <c r="I570" s="0" t="s">
        <v>287</v>
      </c>
      <c r="J570" s="0" t="s">
        <v>286</v>
      </c>
      <c r="K570" s="0" t="s">
        <v>288</v>
      </c>
      <c r="L570" s="0" t="s">
        <v>149</v>
      </c>
      <c r="M570" s="0" t="s">
        <v>164</v>
      </c>
      <c r="N570" s="0" t="s">
        <v>165</v>
      </c>
      <c r="O570" s="0" t="s">
        <v>152</v>
      </c>
      <c r="P570" s="0" t="s">
        <v>289</v>
      </c>
      <c r="Q570" s="0" t="s">
        <v>79</v>
      </c>
      <c r="R570" s="0" t="s">
        <v>290</v>
      </c>
      <c r="S570" s="0" t="s">
        <v>81</v>
      </c>
      <c r="T570" s="0" t="s">
        <v>82</v>
      </c>
    </row>
    <row r="571" customFormat="false" ht="15" hidden="false" customHeight="false" outlineLevel="0" collapsed="false">
      <c r="A571" s="0" t="str">
        <f aca="false">B571&amp;"|"&amp;C571&amp;"|"&amp;D571&amp;"|"&amp;E571&amp;"|"&amp;F571</f>
        <v>2.8+2506|IR|ct_group_member|regular_less_well_traded|SEK</v>
      </c>
      <c r="B571" s="0" t="s">
        <v>286</v>
      </c>
      <c r="C571" s="0" t="s">
        <v>68</v>
      </c>
      <c r="D571" s="0" t="s">
        <v>161</v>
      </c>
      <c r="E571" s="0" t="s">
        <v>154</v>
      </c>
      <c r="F571" s="0" t="s">
        <v>106</v>
      </c>
      <c r="G571" s="0" t="n">
        <v>1</v>
      </c>
      <c r="H571" s="0" t="s">
        <v>99</v>
      </c>
      <c r="I571" s="0" t="s">
        <v>287</v>
      </c>
      <c r="J571" s="0" t="s">
        <v>286</v>
      </c>
      <c r="K571" s="0" t="s">
        <v>288</v>
      </c>
      <c r="L571" s="0" t="s">
        <v>149</v>
      </c>
      <c r="M571" s="0" t="s">
        <v>164</v>
      </c>
      <c r="N571" s="0" t="s">
        <v>165</v>
      </c>
      <c r="O571" s="0" t="s">
        <v>152</v>
      </c>
      <c r="P571" s="0" t="s">
        <v>289</v>
      </c>
      <c r="Q571" s="0" t="s">
        <v>79</v>
      </c>
      <c r="R571" s="0" t="s">
        <v>290</v>
      </c>
      <c r="S571" s="0" t="s">
        <v>81</v>
      </c>
      <c r="T571" s="0" t="s">
        <v>82</v>
      </c>
    </row>
    <row r="572" customFormat="false" ht="15" hidden="false" customHeight="false" outlineLevel="0" collapsed="false">
      <c r="A572" s="0" t="str">
        <f aca="false">B572&amp;"|"&amp;C572&amp;"|"&amp;D572&amp;"|"&amp;E572&amp;"|"&amp;F572</f>
        <v>2.8+2506|IR|ct_group_member|regular_less_well_traded|SGD</v>
      </c>
      <c r="B572" s="0" t="s">
        <v>286</v>
      </c>
      <c r="C572" s="0" t="s">
        <v>68</v>
      </c>
      <c r="D572" s="0" t="s">
        <v>161</v>
      </c>
      <c r="E572" s="0" t="s">
        <v>154</v>
      </c>
      <c r="F572" s="0" t="s">
        <v>111</v>
      </c>
      <c r="G572" s="0" t="n">
        <v>1</v>
      </c>
      <c r="H572" s="0" t="s">
        <v>99</v>
      </c>
      <c r="I572" s="0" t="s">
        <v>287</v>
      </c>
      <c r="J572" s="0" t="s">
        <v>286</v>
      </c>
      <c r="K572" s="0" t="s">
        <v>288</v>
      </c>
      <c r="L572" s="0" t="s">
        <v>149</v>
      </c>
      <c r="M572" s="0" t="s">
        <v>164</v>
      </c>
      <c r="N572" s="0" t="s">
        <v>165</v>
      </c>
      <c r="O572" s="0" t="s">
        <v>152</v>
      </c>
      <c r="P572" s="0" t="s">
        <v>289</v>
      </c>
      <c r="Q572" s="0" t="s">
        <v>79</v>
      </c>
      <c r="R572" s="0" t="s">
        <v>290</v>
      </c>
      <c r="S572" s="0" t="s">
        <v>81</v>
      </c>
      <c r="T572" s="0" t="s">
        <v>82</v>
      </c>
    </row>
    <row r="573" customFormat="false" ht="15" hidden="false" customHeight="false" outlineLevel="0" collapsed="false">
      <c r="A573" s="0" t="str">
        <f aca="false">B573&amp;"|"&amp;C573&amp;"|"&amp;D573&amp;"|"&amp;E573&amp;"|"&amp;F573</f>
        <v>2.8+2506|IR|ct_group_member|regular_less_well_traded|TWD</v>
      </c>
      <c r="B573" s="0" t="s">
        <v>286</v>
      </c>
      <c r="C573" s="0" t="s">
        <v>68</v>
      </c>
      <c r="D573" s="0" t="s">
        <v>161</v>
      </c>
      <c r="E573" s="0" t="s">
        <v>154</v>
      </c>
      <c r="F573" s="0" t="s">
        <v>112</v>
      </c>
      <c r="G573" s="0" t="n">
        <v>1</v>
      </c>
      <c r="H573" s="0" t="s">
        <v>99</v>
      </c>
      <c r="I573" s="0" t="s">
        <v>287</v>
      </c>
      <c r="J573" s="0" t="s">
        <v>286</v>
      </c>
      <c r="K573" s="0" t="s">
        <v>288</v>
      </c>
      <c r="L573" s="0" t="s">
        <v>149</v>
      </c>
      <c r="M573" s="0" t="s">
        <v>164</v>
      </c>
      <c r="N573" s="0" t="s">
        <v>165</v>
      </c>
      <c r="O573" s="0" t="s">
        <v>152</v>
      </c>
      <c r="P573" s="0" t="s">
        <v>289</v>
      </c>
      <c r="Q573" s="0" t="s">
        <v>79</v>
      </c>
      <c r="R573" s="0" t="s">
        <v>290</v>
      </c>
      <c r="S573" s="0" t="s">
        <v>81</v>
      </c>
      <c r="T573" s="0" t="s">
        <v>82</v>
      </c>
    </row>
    <row r="574" customFormat="false" ht="15" hidden="false" customHeight="false" outlineLevel="0" collapsed="false">
      <c r="A574" s="0" t="str">
        <f aca="false">B574&amp;"|"&amp;C574&amp;"|"&amp;D574&amp;"|"&amp;E574&amp;"|"&amp;F574</f>
        <v>2.8+2506|IR|ct_group_member|low|JPY</v>
      </c>
      <c r="B574" s="0" t="s">
        <v>286</v>
      </c>
      <c r="C574" s="0" t="s">
        <v>68</v>
      </c>
      <c r="D574" s="0" t="s">
        <v>161</v>
      </c>
      <c r="E574" s="0" t="s">
        <v>83</v>
      </c>
      <c r="F574" s="0" t="s">
        <v>21</v>
      </c>
      <c r="G574" s="0" t="n">
        <v>1</v>
      </c>
      <c r="H574" s="0" t="s">
        <v>99</v>
      </c>
      <c r="I574" s="0" t="s">
        <v>287</v>
      </c>
      <c r="J574" s="0" t="s">
        <v>286</v>
      </c>
      <c r="K574" s="0" t="s">
        <v>288</v>
      </c>
      <c r="L574" s="0" t="s">
        <v>149</v>
      </c>
      <c r="M574" s="0" t="s">
        <v>166</v>
      </c>
      <c r="N574" s="0" t="s">
        <v>167</v>
      </c>
      <c r="O574" s="0" t="s">
        <v>152</v>
      </c>
      <c r="P574" s="0" t="s">
        <v>289</v>
      </c>
      <c r="Q574" s="0" t="s">
        <v>79</v>
      </c>
      <c r="R574" s="0" t="s">
        <v>290</v>
      </c>
      <c r="S574" s="0" t="s">
        <v>81</v>
      </c>
      <c r="T574" s="0" t="s">
        <v>82</v>
      </c>
    </row>
    <row r="575" customFormat="false" ht="15" hidden="false" customHeight="false" outlineLevel="0" collapsed="false">
      <c r="A575" s="0" t="str">
        <f aca="false">B575&amp;"|"&amp;C575&amp;"|"&amp;D575&amp;"|"&amp;E575&amp;"|"&amp;F575</f>
        <v>2.8+2506|IR|ct_group_member|high|ALL_OTHER</v>
      </c>
      <c r="B575" s="0" t="s">
        <v>286</v>
      </c>
      <c r="C575" s="0" t="s">
        <v>68</v>
      </c>
      <c r="D575" s="0" t="s">
        <v>161</v>
      </c>
      <c r="E575" s="0" t="s">
        <v>85</v>
      </c>
      <c r="F575" s="0" t="s">
        <v>115</v>
      </c>
      <c r="G575" s="0" t="n">
        <v>1</v>
      </c>
      <c r="H575" s="0" t="s">
        <v>99</v>
      </c>
      <c r="I575" s="0" t="s">
        <v>287</v>
      </c>
      <c r="J575" s="0" t="s">
        <v>286</v>
      </c>
      <c r="K575" s="0" t="s">
        <v>288</v>
      </c>
      <c r="L575" s="0" t="s">
        <v>149</v>
      </c>
      <c r="M575" s="0" t="s">
        <v>168</v>
      </c>
      <c r="N575" s="0" t="s">
        <v>169</v>
      </c>
      <c r="O575" s="0" t="s">
        <v>152</v>
      </c>
      <c r="P575" s="0" t="s">
        <v>289</v>
      </c>
      <c r="Q575" s="0" t="s">
        <v>79</v>
      </c>
      <c r="R575" s="0" t="s">
        <v>290</v>
      </c>
      <c r="S575" s="0" t="s">
        <v>81</v>
      </c>
      <c r="T575" s="0" t="s">
        <v>82</v>
      </c>
    </row>
    <row r="576" customFormat="false" ht="15" hidden="false" customHeight="false" outlineLevel="0" collapsed="false">
      <c r="A576" s="0" t="str">
        <f aca="false">B576&amp;"|"&amp;C576&amp;"|"&amp;D576&amp;"|"&amp;E576&amp;"|"&amp;F576</f>
        <v>2.8+2506|FX|high_vol_member|high|ARS</v>
      </c>
      <c r="B576" s="0" t="s">
        <v>286</v>
      </c>
      <c r="C576" s="0" t="s">
        <v>170</v>
      </c>
      <c r="D576" s="0" t="s">
        <v>171</v>
      </c>
      <c r="E576" s="0" t="s">
        <v>85</v>
      </c>
      <c r="F576" s="0" t="s">
        <v>172</v>
      </c>
      <c r="G576" s="0" t="n">
        <v>1</v>
      </c>
      <c r="H576" s="0" t="s">
        <v>99</v>
      </c>
      <c r="I576" s="0" t="s">
        <v>287</v>
      </c>
      <c r="J576" s="0" t="s">
        <v>286</v>
      </c>
      <c r="K576" s="0" t="s">
        <v>288</v>
      </c>
      <c r="L576" s="0" t="s">
        <v>173</v>
      </c>
      <c r="M576" s="0" t="s">
        <v>174</v>
      </c>
      <c r="N576" s="0" t="s">
        <v>175</v>
      </c>
      <c r="O576" s="0" t="s">
        <v>176</v>
      </c>
      <c r="P576" s="0" t="s">
        <v>289</v>
      </c>
      <c r="Q576" s="0" t="s">
        <v>79</v>
      </c>
      <c r="R576" s="0" t="s">
        <v>290</v>
      </c>
      <c r="S576" s="0" t="s">
        <v>81</v>
      </c>
      <c r="T576" s="0" t="s">
        <v>82</v>
      </c>
    </row>
    <row r="577" customFormat="false" ht="15" hidden="false" customHeight="false" outlineLevel="0" collapsed="false">
      <c r="A577" s="0" t="str">
        <f aca="false">B577&amp;"|"&amp;C577&amp;"|"&amp;D577&amp;"|"&amp;E577&amp;"|"&amp;F577</f>
        <v>2.8+2506|FX|high_vol_member|high|EGP</v>
      </c>
      <c r="B577" s="0" t="s">
        <v>286</v>
      </c>
      <c r="C577" s="0" t="s">
        <v>170</v>
      </c>
      <c r="D577" s="0" t="s">
        <v>171</v>
      </c>
      <c r="E577" s="0" t="s">
        <v>85</v>
      </c>
      <c r="F577" s="0" t="s">
        <v>177</v>
      </c>
      <c r="G577" s="0" t="n">
        <v>1</v>
      </c>
      <c r="H577" s="0" t="s">
        <v>99</v>
      </c>
      <c r="I577" s="0" t="s">
        <v>287</v>
      </c>
      <c r="J577" s="0" t="s">
        <v>286</v>
      </c>
      <c r="K577" s="0" t="s">
        <v>288</v>
      </c>
      <c r="L577" s="0" t="s">
        <v>173</v>
      </c>
      <c r="M577" s="0" t="s">
        <v>174</v>
      </c>
      <c r="N577" s="0" t="s">
        <v>175</v>
      </c>
      <c r="O577" s="0" t="s">
        <v>176</v>
      </c>
      <c r="P577" s="0" t="s">
        <v>289</v>
      </c>
      <c r="Q577" s="0" t="s">
        <v>79</v>
      </c>
      <c r="R577" s="0" t="s">
        <v>290</v>
      </c>
      <c r="S577" s="0" t="s">
        <v>81</v>
      </c>
      <c r="T577" s="0" t="s">
        <v>82</v>
      </c>
    </row>
    <row r="578" customFormat="false" ht="15" hidden="false" customHeight="false" outlineLevel="0" collapsed="false">
      <c r="A578" s="0" t="str">
        <f aca="false">B578&amp;"|"&amp;C578&amp;"|"&amp;D578&amp;"|"&amp;E578&amp;"|"&amp;F578</f>
        <v>2.8+2506|FX|high_vol_member|high|ETB</v>
      </c>
      <c r="B578" s="0" t="s">
        <v>286</v>
      </c>
      <c r="C578" s="0" t="s">
        <v>170</v>
      </c>
      <c r="D578" s="0" t="s">
        <v>171</v>
      </c>
      <c r="E578" s="0" t="s">
        <v>85</v>
      </c>
      <c r="F578" s="0" t="s">
        <v>178</v>
      </c>
      <c r="G578" s="0" t="n">
        <v>1</v>
      </c>
      <c r="H578" s="0" t="s">
        <v>99</v>
      </c>
      <c r="I578" s="0" t="s">
        <v>287</v>
      </c>
      <c r="J578" s="0" t="s">
        <v>286</v>
      </c>
      <c r="K578" s="0" t="s">
        <v>288</v>
      </c>
      <c r="L578" s="0" t="s">
        <v>173</v>
      </c>
      <c r="M578" s="0" t="s">
        <v>174</v>
      </c>
      <c r="N578" s="0" t="s">
        <v>175</v>
      </c>
      <c r="O578" s="0" t="s">
        <v>176</v>
      </c>
      <c r="P578" s="0" t="s">
        <v>289</v>
      </c>
      <c r="Q578" s="0" t="s">
        <v>79</v>
      </c>
      <c r="R578" s="0" t="s">
        <v>290</v>
      </c>
      <c r="S578" s="0" t="s">
        <v>81</v>
      </c>
      <c r="T578" s="0" t="s">
        <v>82</v>
      </c>
    </row>
    <row r="579" customFormat="false" ht="15" hidden="false" customHeight="false" outlineLevel="0" collapsed="false">
      <c r="A579" s="0" t="str">
        <f aca="false">B579&amp;"|"&amp;C579&amp;"|"&amp;D579&amp;"|"&amp;E579&amp;"|"&amp;F579</f>
        <v>2.8+2506|FX|high_vol_member|high|GHS</v>
      </c>
      <c r="B579" s="0" t="s">
        <v>286</v>
      </c>
      <c r="C579" s="0" t="s">
        <v>170</v>
      </c>
      <c r="D579" s="0" t="s">
        <v>171</v>
      </c>
      <c r="E579" s="0" t="s">
        <v>85</v>
      </c>
      <c r="F579" s="0" t="s">
        <v>179</v>
      </c>
      <c r="G579" s="0" t="n">
        <v>1</v>
      </c>
      <c r="H579" s="0" t="s">
        <v>99</v>
      </c>
      <c r="I579" s="0" t="s">
        <v>287</v>
      </c>
      <c r="J579" s="0" t="s">
        <v>286</v>
      </c>
      <c r="K579" s="0" t="s">
        <v>288</v>
      </c>
      <c r="L579" s="0" t="s">
        <v>173</v>
      </c>
      <c r="M579" s="0" t="s">
        <v>174</v>
      </c>
      <c r="N579" s="0" t="s">
        <v>175</v>
      </c>
      <c r="O579" s="0" t="s">
        <v>176</v>
      </c>
      <c r="P579" s="0" t="s">
        <v>289</v>
      </c>
      <c r="Q579" s="0" t="s">
        <v>79</v>
      </c>
      <c r="R579" s="0" t="s">
        <v>290</v>
      </c>
      <c r="S579" s="0" t="s">
        <v>81</v>
      </c>
      <c r="T579" s="0" t="s">
        <v>82</v>
      </c>
    </row>
    <row r="580" customFormat="false" ht="15" hidden="false" customHeight="false" outlineLevel="0" collapsed="false">
      <c r="A580" s="0" t="str">
        <f aca="false">B580&amp;"|"&amp;C580&amp;"|"&amp;D580&amp;"|"&amp;E580&amp;"|"&amp;F580</f>
        <v>2.8+2506|FX|high_vol_member|high|LBP</v>
      </c>
      <c r="B580" s="0" t="s">
        <v>286</v>
      </c>
      <c r="C580" s="0" t="s">
        <v>170</v>
      </c>
      <c r="D580" s="0" t="s">
        <v>171</v>
      </c>
      <c r="E580" s="0" t="s">
        <v>85</v>
      </c>
      <c r="F580" s="0" t="s">
        <v>181</v>
      </c>
      <c r="G580" s="0" t="n">
        <v>1</v>
      </c>
      <c r="H580" s="0" t="s">
        <v>99</v>
      </c>
      <c r="I580" s="0" t="s">
        <v>287</v>
      </c>
      <c r="J580" s="0" t="s">
        <v>286</v>
      </c>
      <c r="K580" s="0" t="s">
        <v>288</v>
      </c>
      <c r="L580" s="0" t="s">
        <v>173</v>
      </c>
      <c r="M580" s="0" t="s">
        <v>174</v>
      </c>
      <c r="N580" s="0" t="s">
        <v>175</v>
      </c>
      <c r="O580" s="0" t="s">
        <v>176</v>
      </c>
      <c r="P580" s="0" t="s">
        <v>289</v>
      </c>
      <c r="Q580" s="0" t="s">
        <v>79</v>
      </c>
      <c r="R580" s="0" t="s">
        <v>290</v>
      </c>
      <c r="S580" s="0" t="s">
        <v>81</v>
      </c>
      <c r="T580" s="0" t="s">
        <v>82</v>
      </c>
    </row>
    <row r="581" customFormat="false" ht="15" hidden="false" customHeight="false" outlineLevel="0" collapsed="false">
      <c r="A581" s="0" t="str">
        <f aca="false">B581&amp;"|"&amp;C581&amp;"|"&amp;D581&amp;"|"&amp;E581&amp;"|"&amp;F581</f>
        <v>2.8+2506|FX|high_vol_member|high|NGN</v>
      </c>
      <c r="B581" s="0" t="s">
        <v>286</v>
      </c>
      <c r="C581" s="0" t="s">
        <v>170</v>
      </c>
      <c r="D581" s="0" t="s">
        <v>171</v>
      </c>
      <c r="E581" s="0" t="s">
        <v>85</v>
      </c>
      <c r="F581" s="0" t="s">
        <v>182</v>
      </c>
      <c r="G581" s="0" t="n">
        <v>1</v>
      </c>
      <c r="H581" s="0" t="s">
        <v>99</v>
      </c>
      <c r="I581" s="0" t="s">
        <v>287</v>
      </c>
      <c r="J581" s="0" t="s">
        <v>286</v>
      </c>
      <c r="K581" s="0" t="s">
        <v>288</v>
      </c>
      <c r="L581" s="0" t="s">
        <v>173</v>
      </c>
      <c r="M581" s="0" t="s">
        <v>174</v>
      </c>
      <c r="N581" s="0" t="s">
        <v>175</v>
      </c>
      <c r="O581" s="0" t="s">
        <v>176</v>
      </c>
      <c r="P581" s="0" t="s">
        <v>289</v>
      </c>
      <c r="Q581" s="0" t="s">
        <v>79</v>
      </c>
      <c r="R581" s="0" t="s">
        <v>290</v>
      </c>
      <c r="S581" s="0" t="s">
        <v>81</v>
      </c>
      <c r="T581" s="0" t="s">
        <v>82</v>
      </c>
    </row>
    <row r="582" customFormat="false" ht="15" hidden="false" customHeight="false" outlineLevel="0" collapsed="false">
      <c r="A582" s="0" t="str">
        <f aca="false">B582&amp;"|"&amp;C582&amp;"|"&amp;D582&amp;"|"&amp;E582&amp;"|"&amp;F582</f>
        <v>2.8+2506|FX|high_vol_member|high|RUB</v>
      </c>
      <c r="B582" s="0" t="s">
        <v>286</v>
      </c>
      <c r="C582" s="0" t="s">
        <v>170</v>
      </c>
      <c r="D582" s="0" t="s">
        <v>171</v>
      </c>
      <c r="E582" s="0" t="s">
        <v>85</v>
      </c>
      <c r="F582" s="0" t="s">
        <v>221</v>
      </c>
      <c r="G582" s="0" t="n">
        <v>1</v>
      </c>
      <c r="H582" s="0" t="s">
        <v>99</v>
      </c>
      <c r="I582" s="0" t="s">
        <v>287</v>
      </c>
      <c r="J582" s="0" t="s">
        <v>286</v>
      </c>
      <c r="K582" s="0" t="s">
        <v>288</v>
      </c>
      <c r="L582" s="0" t="s">
        <v>173</v>
      </c>
      <c r="M582" s="0" t="s">
        <v>174</v>
      </c>
      <c r="N582" s="0" t="s">
        <v>175</v>
      </c>
      <c r="O582" s="0" t="s">
        <v>176</v>
      </c>
      <c r="P582" s="0" t="s">
        <v>289</v>
      </c>
      <c r="Q582" s="0" t="s">
        <v>79</v>
      </c>
      <c r="R582" s="0" t="s">
        <v>290</v>
      </c>
      <c r="S582" s="0" t="s">
        <v>81</v>
      </c>
      <c r="T582" s="0" t="s">
        <v>82</v>
      </c>
    </row>
    <row r="583" customFormat="false" ht="15" hidden="false" customHeight="false" outlineLevel="0" collapsed="false">
      <c r="A583" s="0" t="str">
        <f aca="false">B583&amp;"|"&amp;C583&amp;"|"&amp;D583&amp;"|"&amp;E583&amp;"|"&amp;F583</f>
        <v>2.8+2506|FX|high_vol_member|high|SCR</v>
      </c>
      <c r="B583" s="0" t="s">
        <v>286</v>
      </c>
      <c r="C583" s="0" t="s">
        <v>170</v>
      </c>
      <c r="D583" s="0" t="s">
        <v>171</v>
      </c>
      <c r="E583" s="0" t="s">
        <v>85</v>
      </c>
      <c r="F583" s="0" t="s">
        <v>183</v>
      </c>
      <c r="G583" s="0" t="n">
        <v>1</v>
      </c>
      <c r="H583" s="0" t="s">
        <v>99</v>
      </c>
      <c r="I583" s="0" t="s">
        <v>287</v>
      </c>
      <c r="J583" s="0" t="s">
        <v>286</v>
      </c>
      <c r="K583" s="0" t="s">
        <v>288</v>
      </c>
      <c r="L583" s="0" t="s">
        <v>173</v>
      </c>
      <c r="M583" s="0" t="s">
        <v>174</v>
      </c>
      <c r="N583" s="0" t="s">
        <v>175</v>
      </c>
      <c r="O583" s="0" t="s">
        <v>176</v>
      </c>
      <c r="P583" s="0" t="s">
        <v>289</v>
      </c>
      <c r="Q583" s="0" t="s">
        <v>79</v>
      </c>
      <c r="R583" s="0" t="s">
        <v>290</v>
      </c>
      <c r="S583" s="0" t="s">
        <v>81</v>
      </c>
      <c r="T583" s="0" t="s">
        <v>82</v>
      </c>
    </row>
    <row r="584" customFormat="false" ht="15" hidden="false" customHeight="false" outlineLevel="0" collapsed="false">
      <c r="A584" s="0" t="str">
        <f aca="false">B584&amp;"|"&amp;C584&amp;"|"&amp;D584&amp;"|"&amp;E584&amp;"|"&amp;F584</f>
        <v>2.8+2506|FX|high_vol_member|high|VES</v>
      </c>
      <c r="B584" s="0" t="s">
        <v>286</v>
      </c>
      <c r="C584" s="0" t="s">
        <v>170</v>
      </c>
      <c r="D584" s="0" t="s">
        <v>171</v>
      </c>
      <c r="E584" s="0" t="s">
        <v>85</v>
      </c>
      <c r="F584" s="0" t="s">
        <v>291</v>
      </c>
      <c r="G584" s="0" t="n">
        <v>1</v>
      </c>
      <c r="H584" s="0" t="s">
        <v>99</v>
      </c>
      <c r="I584" s="0" t="s">
        <v>287</v>
      </c>
      <c r="J584" s="0" t="s">
        <v>286</v>
      </c>
      <c r="K584" s="0" t="s">
        <v>288</v>
      </c>
      <c r="L584" s="0" t="s">
        <v>173</v>
      </c>
      <c r="M584" s="0" t="s">
        <v>174</v>
      </c>
      <c r="N584" s="0" t="s">
        <v>175</v>
      </c>
      <c r="O584" s="0" t="s">
        <v>176</v>
      </c>
      <c r="P584" s="0" t="s">
        <v>289</v>
      </c>
      <c r="Q584" s="0" t="s">
        <v>79</v>
      </c>
      <c r="R584" s="0" t="s">
        <v>290</v>
      </c>
      <c r="S584" s="0" t="s">
        <v>81</v>
      </c>
      <c r="T584" s="0" t="s">
        <v>82</v>
      </c>
    </row>
    <row r="585" customFormat="false" ht="15" hidden="false" customHeight="false" outlineLevel="0" collapsed="false">
      <c r="A585" s="0" t="str">
        <f aca="false">B585&amp;"|"&amp;C585&amp;"|"&amp;D585&amp;"|"&amp;E585&amp;"|"&amp;F585</f>
        <v>2.8+2506|FX|high_vol_member|high|ZMW</v>
      </c>
      <c r="B585" s="0" t="s">
        <v>286</v>
      </c>
      <c r="C585" s="0" t="s">
        <v>170</v>
      </c>
      <c r="D585" s="0" t="s">
        <v>171</v>
      </c>
      <c r="E585" s="0" t="s">
        <v>85</v>
      </c>
      <c r="F585" s="0" t="s">
        <v>184</v>
      </c>
      <c r="G585" s="0" t="n">
        <v>1</v>
      </c>
      <c r="H585" s="0" t="s">
        <v>99</v>
      </c>
      <c r="I585" s="0" t="s">
        <v>287</v>
      </c>
      <c r="J585" s="0" t="s">
        <v>286</v>
      </c>
      <c r="K585" s="0" t="s">
        <v>288</v>
      </c>
      <c r="L585" s="0" t="s">
        <v>173</v>
      </c>
      <c r="M585" s="0" t="s">
        <v>174</v>
      </c>
      <c r="N585" s="0" t="s">
        <v>175</v>
      </c>
      <c r="O585" s="0" t="s">
        <v>176</v>
      </c>
      <c r="P585" s="0" t="s">
        <v>289</v>
      </c>
      <c r="Q585" s="0" t="s">
        <v>79</v>
      </c>
      <c r="R585" s="0" t="s">
        <v>290</v>
      </c>
      <c r="S585" s="0" t="s">
        <v>81</v>
      </c>
      <c r="T585" s="0" t="s">
        <v>82</v>
      </c>
    </row>
    <row r="586" customFormat="false" ht="15" hidden="false" customHeight="false" outlineLevel="0" collapsed="false">
      <c r="A586" s="0" t="str">
        <f aca="false">B586&amp;"|"&amp;C586&amp;"|"&amp;D586&amp;"|"&amp;E586&amp;"|"&amp;F586</f>
        <v>2.8+2506|FX|high_vol_member|regular|ALL_OTHER</v>
      </c>
      <c r="B586" s="0" t="s">
        <v>286</v>
      </c>
      <c r="C586" s="0" t="s">
        <v>170</v>
      </c>
      <c r="D586" s="0" t="s">
        <v>171</v>
      </c>
      <c r="E586" s="0" t="s">
        <v>70</v>
      </c>
      <c r="F586" s="0" t="s">
        <v>115</v>
      </c>
      <c r="G586" s="0" t="n">
        <v>1</v>
      </c>
      <c r="H586" s="0" t="s">
        <v>99</v>
      </c>
      <c r="I586" s="0" t="s">
        <v>287</v>
      </c>
      <c r="J586" s="0" t="s">
        <v>286</v>
      </c>
      <c r="K586" s="0" t="s">
        <v>288</v>
      </c>
      <c r="L586" s="0" t="s">
        <v>173</v>
      </c>
      <c r="M586" s="0" t="s">
        <v>185</v>
      </c>
      <c r="N586" s="0" t="s">
        <v>169</v>
      </c>
      <c r="O586" s="0" t="s">
        <v>176</v>
      </c>
      <c r="P586" s="0" t="s">
        <v>289</v>
      </c>
      <c r="Q586" s="0" t="s">
        <v>79</v>
      </c>
      <c r="R586" s="0" t="s">
        <v>290</v>
      </c>
      <c r="S586" s="0" t="s">
        <v>81</v>
      </c>
      <c r="T586" s="0" t="s">
        <v>82</v>
      </c>
    </row>
    <row r="587" customFormat="false" ht="15" hidden="false" customHeight="false" outlineLevel="0" collapsed="false">
      <c r="A587" s="0" t="str">
        <f aca="false">B587&amp;"|"&amp;C587&amp;"|"&amp;D587&amp;"|"&amp;E587&amp;"|"&amp;F587</f>
        <v>2.8+2506|FX|delta_rw|regular|regular</v>
      </c>
      <c r="B587" s="0" t="s">
        <v>286</v>
      </c>
      <c r="C587" s="0" t="s">
        <v>170</v>
      </c>
      <c r="D587" s="0" t="s">
        <v>69</v>
      </c>
      <c r="E587" s="0" t="s">
        <v>70</v>
      </c>
      <c r="F587" s="0" t="s">
        <v>70</v>
      </c>
      <c r="G587" s="0" t="n">
        <v>7.1</v>
      </c>
      <c r="H587" s="0" t="s">
        <v>186</v>
      </c>
      <c r="I587" s="0" t="s">
        <v>287</v>
      </c>
      <c r="J587" s="0" t="s">
        <v>286</v>
      </c>
      <c r="K587" s="0" t="s">
        <v>288</v>
      </c>
      <c r="L587" s="0" t="s">
        <v>173</v>
      </c>
      <c r="M587" s="0" t="s">
        <v>187</v>
      </c>
      <c r="N587" s="0" t="s">
        <v>188</v>
      </c>
      <c r="O587" s="0" t="s">
        <v>176</v>
      </c>
      <c r="P587" s="0" t="s">
        <v>289</v>
      </c>
      <c r="Q587" s="0" t="s">
        <v>79</v>
      </c>
      <c r="R587" s="0" t="s">
        <v>290</v>
      </c>
      <c r="S587" s="0" t="s">
        <v>81</v>
      </c>
      <c r="T587" s="0" t="s">
        <v>82</v>
      </c>
    </row>
    <row r="588" customFormat="false" ht="15" hidden="false" customHeight="false" outlineLevel="0" collapsed="false">
      <c r="A588" s="0" t="str">
        <f aca="false">B588&amp;"|"&amp;C588&amp;"|"&amp;D588&amp;"|"&amp;E588&amp;"|"&amp;F588</f>
        <v>2.8+2506|FX|delta_rw|regular|high</v>
      </c>
      <c r="B588" s="0" t="s">
        <v>286</v>
      </c>
      <c r="C588" s="0" t="s">
        <v>170</v>
      </c>
      <c r="D588" s="0" t="s">
        <v>69</v>
      </c>
      <c r="E588" s="0" t="s">
        <v>70</v>
      </c>
      <c r="F588" s="0" t="s">
        <v>85</v>
      </c>
      <c r="G588" s="0" t="n">
        <v>18</v>
      </c>
      <c r="H588" s="0" t="s">
        <v>186</v>
      </c>
      <c r="I588" s="0" t="s">
        <v>287</v>
      </c>
      <c r="J588" s="0" t="s">
        <v>286</v>
      </c>
      <c r="K588" s="0" t="s">
        <v>288</v>
      </c>
      <c r="L588" s="0" t="s">
        <v>173</v>
      </c>
      <c r="M588" s="0" t="s">
        <v>187</v>
      </c>
      <c r="N588" s="0" t="s">
        <v>188</v>
      </c>
      <c r="O588" s="0" t="s">
        <v>176</v>
      </c>
      <c r="P588" s="0" t="s">
        <v>289</v>
      </c>
      <c r="Q588" s="0" t="s">
        <v>79</v>
      </c>
      <c r="R588" s="0" t="s">
        <v>290</v>
      </c>
      <c r="S588" s="0" t="s">
        <v>81</v>
      </c>
      <c r="T588" s="0" t="s">
        <v>82</v>
      </c>
    </row>
    <row r="589" customFormat="false" ht="15" hidden="false" customHeight="false" outlineLevel="0" collapsed="false">
      <c r="A589" s="0" t="str">
        <f aca="false">B589&amp;"|"&amp;C589&amp;"|"&amp;D589&amp;"|"&amp;E589&amp;"|"&amp;F589</f>
        <v>2.8+2506|FX|delta_rw|high|regular</v>
      </c>
      <c r="B589" s="0" t="s">
        <v>286</v>
      </c>
      <c r="C589" s="0" t="s">
        <v>170</v>
      </c>
      <c r="D589" s="0" t="s">
        <v>69</v>
      </c>
      <c r="E589" s="0" t="s">
        <v>85</v>
      </c>
      <c r="F589" s="0" t="s">
        <v>70</v>
      </c>
      <c r="G589" s="0" t="n">
        <v>18</v>
      </c>
      <c r="H589" s="0" t="s">
        <v>186</v>
      </c>
      <c r="I589" s="0" t="s">
        <v>287</v>
      </c>
      <c r="J589" s="0" t="s">
        <v>286</v>
      </c>
      <c r="K589" s="0" t="s">
        <v>288</v>
      </c>
      <c r="L589" s="0" t="s">
        <v>173</v>
      </c>
      <c r="M589" s="0" t="s">
        <v>187</v>
      </c>
      <c r="N589" s="0" t="s">
        <v>188</v>
      </c>
      <c r="O589" s="0" t="s">
        <v>176</v>
      </c>
      <c r="P589" s="0" t="s">
        <v>289</v>
      </c>
      <c r="Q589" s="0" t="s">
        <v>79</v>
      </c>
      <c r="R589" s="0" t="s">
        <v>290</v>
      </c>
      <c r="S589" s="0" t="s">
        <v>81</v>
      </c>
      <c r="T589" s="0" t="s">
        <v>82</v>
      </c>
    </row>
    <row r="590" customFormat="false" ht="15" hidden="false" customHeight="false" outlineLevel="0" collapsed="false">
      <c r="A590" s="0" t="str">
        <f aca="false">B590&amp;"|"&amp;C590&amp;"|"&amp;D590&amp;"|"&amp;E590&amp;"|"&amp;F590</f>
        <v>2.8+2506|FX|delta_rw|high|high</v>
      </c>
      <c r="B590" s="0" t="s">
        <v>286</v>
      </c>
      <c r="C590" s="0" t="s">
        <v>170</v>
      </c>
      <c r="D590" s="0" t="s">
        <v>69</v>
      </c>
      <c r="E590" s="0" t="s">
        <v>85</v>
      </c>
      <c r="F590" s="0" t="s">
        <v>85</v>
      </c>
      <c r="G590" s="0" t="n">
        <v>30.6</v>
      </c>
      <c r="H590" s="0" t="s">
        <v>186</v>
      </c>
      <c r="I590" s="0" t="s">
        <v>287</v>
      </c>
      <c r="J590" s="0" t="s">
        <v>286</v>
      </c>
      <c r="K590" s="0" t="s">
        <v>288</v>
      </c>
      <c r="L590" s="0" t="s">
        <v>173</v>
      </c>
      <c r="M590" s="0" t="s">
        <v>187</v>
      </c>
      <c r="N590" s="0" t="s">
        <v>188</v>
      </c>
      <c r="O590" s="0" t="s">
        <v>176</v>
      </c>
      <c r="P590" s="0" t="s">
        <v>289</v>
      </c>
      <c r="Q590" s="0" t="s">
        <v>79</v>
      </c>
      <c r="R590" s="0" t="s">
        <v>290</v>
      </c>
      <c r="S590" s="0" t="s">
        <v>81</v>
      </c>
      <c r="T590" s="0" t="s">
        <v>82</v>
      </c>
    </row>
    <row r="591" customFormat="false" ht="15" hidden="false" customHeight="false" outlineLevel="0" collapsed="false">
      <c r="A591" s="0" t="str">
        <f aca="false">B591&amp;"|"&amp;C591&amp;"|"&amp;D591&amp;"|"&amp;E591&amp;"|"&amp;F591</f>
        <v>2.8+2506|FX|hvr||</v>
      </c>
      <c r="B591" s="0" t="s">
        <v>286</v>
      </c>
      <c r="C591" s="0" t="s">
        <v>170</v>
      </c>
      <c r="D591" s="0" t="s">
        <v>91</v>
      </c>
      <c r="G591" s="0" t="n">
        <v>0.68</v>
      </c>
      <c r="H591" s="0" t="s">
        <v>92</v>
      </c>
      <c r="I591" s="0" t="s">
        <v>287</v>
      </c>
      <c r="J591" s="0" t="s">
        <v>286</v>
      </c>
      <c r="K591" s="0" t="s">
        <v>288</v>
      </c>
      <c r="L591" s="0" t="s">
        <v>173</v>
      </c>
      <c r="M591" s="0" t="s">
        <v>189</v>
      </c>
      <c r="N591" s="0" t="s">
        <v>190</v>
      </c>
      <c r="O591" s="0" t="s">
        <v>176</v>
      </c>
      <c r="P591" s="0" t="s">
        <v>289</v>
      </c>
      <c r="Q591" s="0" t="s">
        <v>79</v>
      </c>
      <c r="R591" s="0" t="s">
        <v>290</v>
      </c>
      <c r="S591" s="0" t="s">
        <v>81</v>
      </c>
      <c r="T591" s="0" t="s">
        <v>82</v>
      </c>
    </row>
    <row r="592" customFormat="false" ht="15" hidden="false" customHeight="false" outlineLevel="0" collapsed="false">
      <c r="A592" s="0" t="str">
        <f aca="false">B592&amp;"|"&amp;C592&amp;"|"&amp;D592&amp;"|"&amp;E592&amp;"|"&amp;F592</f>
        <v>2.8+2506|FX|vega_rw||</v>
      </c>
      <c r="B592" s="0" t="s">
        <v>286</v>
      </c>
      <c r="C592" s="0" t="s">
        <v>170</v>
      </c>
      <c r="D592" s="0" t="s">
        <v>95</v>
      </c>
      <c r="G592" s="0" t="n">
        <v>0.34</v>
      </c>
      <c r="H592" s="0" t="s">
        <v>92</v>
      </c>
      <c r="I592" s="0" t="s">
        <v>287</v>
      </c>
      <c r="J592" s="0" t="s">
        <v>286</v>
      </c>
      <c r="K592" s="0" t="s">
        <v>288</v>
      </c>
      <c r="L592" s="0" t="s">
        <v>173</v>
      </c>
      <c r="M592" s="0" t="s">
        <v>191</v>
      </c>
      <c r="N592" s="0" t="s">
        <v>192</v>
      </c>
      <c r="O592" s="0" t="s">
        <v>176</v>
      </c>
      <c r="P592" s="0" t="s">
        <v>289</v>
      </c>
      <c r="Q592" s="0" t="s">
        <v>79</v>
      </c>
      <c r="R592" s="0" t="s">
        <v>290</v>
      </c>
      <c r="S592" s="0" t="s">
        <v>81</v>
      </c>
      <c r="T592" s="0" t="s">
        <v>82</v>
      </c>
    </row>
    <row r="593" customFormat="false" ht="15" hidden="false" customHeight="false" outlineLevel="0" collapsed="false">
      <c r="A593" s="0" t="str">
        <f aca="false">B593&amp;"|"&amp;C593&amp;"|"&amp;D593&amp;"|"&amp;E593&amp;"|"&amp;F593</f>
        <v>2.8+2506|FX|delta_corr_calc_regular|regular|regular</v>
      </c>
      <c r="B593" s="0" t="s">
        <v>286</v>
      </c>
      <c r="C593" s="0" t="s">
        <v>170</v>
      </c>
      <c r="D593" s="0" t="s">
        <v>193</v>
      </c>
      <c r="E593" s="0" t="s">
        <v>70</v>
      </c>
      <c r="F593" s="0" t="s">
        <v>70</v>
      </c>
      <c r="G593" s="0" t="n">
        <v>0.5</v>
      </c>
      <c r="H593" s="0" t="s">
        <v>119</v>
      </c>
      <c r="I593" s="0" t="s">
        <v>287</v>
      </c>
      <c r="J593" s="0" t="s">
        <v>286</v>
      </c>
      <c r="K593" s="0" t="s">
        <v>288</v>
      </c>
      <c r="L593" s="0" t="s">
        <v>194</v>
      </c>
      <c r="M593" s="0" t="s">
        <v>195</v>
      </c>
      <c r="N593" s="0" t="s">
        <v>196</v>
      </c>
      <c r="O593" s="0" t="s">
        <v>176</v>
      </c>
      <c r="P593" s="0" t="s">
        <v>289</v>
      </c>
      <c r="Q593" s="0" t="s">
        <v>79</v>
      </c>
      <c r="R593" s="0" t="s">
        <v>290</v>
      </c>
      <c r="S593" s="0" t="s">
        <v>81</v>
      </c>
      <c r="T593" s="0" t="s">
        <v>82</v>
      </c>
    </row>
    <row r="594" customFormat="false" ht="15" hidden="false" customHeight="false" outlineLevel="0" collapsed="false">
      <c r="A594" s="0" t="str">
        <f aca="false">B594&amp;"|"&amp;C594&amp;"|"&amp;D594&amp;"|"&amp;E594&amp;"|"&amp;F594</f>
        <v>2.8+2506|FX|delta_corr_calc_regular|regular|high</v>
      </c>
      <c r="B594" s="0" t="s">
        <v>286</v>
      </c>
      <c r="C594" s="0" t="s">
        <v>170</v>
      </c>
      <c r="D594" s="0" t="s">
        <v>193</v>
      </c>
      <c r="E594" s="0" t="s">
        <v>70</v>
      </c>
      <c r="F594" s="0" t="s">
        <v>85</v>
      </c>
      <c r="G594" s="0" t="n">
        <v>0.2</v>
      </c>
      <c r="H594" s="0" t="s">
        <v>119</v>
      </c>
      <c r="I594" s="0" t="s">
        <v>287</v>
      </c>
      <c r="J594" s="0" t="s">
        <v>286</v>
      </c>
      <c r="K594" s="0" t="s">
        <v>288</v>
      </c>
      <c r="L594" s="0" t="s">
        <v>194</v>
      </c>
      <c r="M594" s="0" t="s">
        <v>195</v>
      </c>
      <c r="N594" s="0" t="s">
        <v>196</v>
      </c>
      <c r="O594" s="0" t="s">
        <v>176</v>
      </c>
      <c r="P594" s="0" t="s">
        <v>289</v>
      </c>
      <c r="Q594" s="0" t="s">
        <v>79</v>
      </c>
      <c r="R594" s="0" t="s">
        <v>290</v>
      </c>
      <c r="S594" s="0" t="s">
        <v>81</v>
      </c>
      <c r="T594" s="0" t="s">
        <v>82</v>
      </c>
    </row>
    <row r="595" customFormat="false" ht="15" hidden="false" customHeight="false" outlineLevel="0" collapsed="false">
      <c r="A595" s="0" t="str">
        <f aca="false">B595&amp;"|"&amp;C595&amp;"|"&amp;D595&amp;"|"&amp;E595&amp;"|"&amp;F595</f>
        <v>2.8+2506|FX|delta_corr_calc_regular|high|regular</v>
      </c>
      <c r="B595" s="0" t="s">
        <v>286</v>
      </c>
      <c r="C595" s="0" t="s">
        <v>170</v>
      </c>
      <c r="D595" s="0" t="s">
        <v>193</v>
      </c>
      <c r="E595" s="0" t="s">
        <v>85</v>
      </c>
      <c r="F595" s="0" t="s">
        <v>70</v>
      </c>
      <c r="G595" s="0" t="n">
        <v>0.2</v>
      </c>
      <c r="H595" s="0" t="s">
        <v>119</v>
      </c>
      <c r="I595" s="0" t="s">
        <v>287</v>
      </c>
      <c r="J595" s="0" t="s">
        <v>286</v>
      </c>
      <c r="K595" s="0" t="s">
        <v>288</v>
      </c>
      <c r="L595" s="0" t="s">
        <v>194</v>
      </c>
      <c r="M595" s="0" t="s">
        <v>195</v>
      </c>
      <c r="N595" s="0" t="s">
        <v>196</v>
      </c>
      <c r="O595" s="0" t="s">
        <v>176</v>
      </c>
      <c r="P595" s="0" t="s">
        <v>289</v>
      </c>
      <c r="Q595" s="0" t="s">
        <v>79</v>
      </c>
      <c r="R595" s="0" t="s">
        <v>290</v>
      </c>
      <c r="S595" s="0" t="s">
        <v>81</v>
      </c>
      <c r="T595" s="0" t="s">
        <v>82</v>
      </c>
    </row>
    <row r="596" customFormat="false" ht="15" hidden="false" customHeight="false" outlineLevel="0" collapsed="false">
      <c r="A596" s="0" t="str">
        <f aca="false">B596&amp;"|"&amp;C596&amp;"|"&amp;D596&amp;"|"&amp;E596&amp;"|"&amp;F596</f>
        <v>2.8+2506|FX|delta_corr_calc_regular|high|high</v>
      </c>
      <c r="B596" s="0" t="s">
        <v>286</v>
      </c>
      <c r="C596" s="0" t="s">
        <v>170</v>
      </c>
      <c r="D596" s="0" t="s">
        <v>193</v>
      </c>
      <c r="E596" s="0" t="s">
        <v>85</v>
      </c>
      <c r="F596" s="0" t="s">
        <v>85</v>
      </c>
      <c r="G596" s="0" t="n">
        <v>0.08</v>
      </c>
      <c r="H596" s="0" t="s">
        <v>119</v>
      </c>
      <c r="I596" s="0" t="s">
        <v>287</v>
      </c>
      <c r="J596" s="0" t="s">
        <v>286</v>
      </c>
      <c r="K596" s="0" t="s">
        <v>288</v>
      </c>
      <c r="L596" s="0" t="s">
        <v>194</v>
      </c>
      <c r="M596" s="0" t="s">
        <v>195</v>
      </c>
      <c r="N596" s="0" t="s">
        <v>196</v>
      </c>
      <c r="O596" s="0" t="s">
        <v>176</v>
      </c>
      <c r="P596" s="0" t="s">
        <v>289</v>
      </c>
      <c r="Q596" s="0" t="s">
        <v>79</v>
      </c>
      <c r="R596" s="0" t="s">
        <v>290</v>
      </c>
      <c r="S596" s="0" t="s">
        <v>81</v>
      </c>
      <c r="T596" s="0" t="s">
        <v>82</v>
      </c>
    </row>
    <row r="597" customFormat="false" ht="15" hidden="false" customHeight="false" outlineLevel="0" collapsed="false">
      <c r="A597" s="0" t="str">
        <f aca="false">B597&amp;"|"&amp;C597&amp;"|"&amp;D597&amp;"|"&amp;E597&amp;"|"&amp;F597</f>
        <v>2.8+2506|FX|delta_corr_calc_high|regular|regular</v>
      </c>
      <c r="B597" s="0" t="s">
        <v>286</v>
      </c>
      <c r="C597" s="0" t="s">
        <v>170</v>
      </c>
      <c r="D597" s="0" t="s">
        <v>197</v>
      </c>
      <c r="E597" s="0" t="s">
        <v>70</v>
      </c>
      <c r="F597" s="0" t="s">
        <v>70</v>
      </c>
      <c r="G597" s="0" t="n">
        <v>0.92</v>
      </c>
      <c r="H597" s="0" t="s">
        <v>119</v>
      </c>
      <c r="I597" s="0" t="s">
        <v>287</v>
      </c>
      <c r="J597" s="0" t="s">
        <v>286</v>
      </c>
      <c r="K597" s="0" t="s">
        <v>288</v>
      </c>
      <c r="L597" s="0" t="s">
        <v>194</v>
      </c>
      <c r="M597" s="0" t="s">
        <v>195</v>
      </c>
      <c r="N597" s="0" t="s">
        <v>198</v>
      </c>
      <c r="O597" s="0" t="s">
        <v>199</v>
      </c>
      <c r="P597" s="0" t="s">
        <v>289</v>
      </c>
      <c r="Q597" s="0" t="s">
        <v>79</v>
      </c>
      <c r="R597" s="0" t="s">
        <v>290</v>
      </c>
      <c r="S597" s="0" t="s">
        <v>81</v>
      </c>
      <c r="T597" s="0" t="s">
        <v>82</v>
      </c>
    </row>
    <row r="598" customFormat="false" ht="15" hidden="false" customHeight="false" outlineLevel="0" collapsed="false">
      <c r="A598" s="0" t="str">
        <f aca="false">B598&amp;"|"&amp;C598&amp;"|"&amp;D598&amp;"|"&amp;E598&amp;"|"&amp;F598</f>
        <v>2.8+2506|FX|delta_corr_calc_high|regular|high</v>
      </c>
      <c r="B598" s="0" t="s">
        <v>286</v>
      </c>
      <c r="C598" s="0" t="s">
        <v>170</v>
      </c>
      <c r="D598" s="0" t="s">
        <v>197</v>
      </c>
      <c r="E598" s="0" t="s">
        <v>70</v>
      </c>
      <c r="F598" s="0" t="s">
        <v>85</v>
      </c>
      <c r="G598" s="0" t="n">
        <v>0.68</v>
      </c>
      <c r="H598" s="0" t="s">
        <v>119</v>
      </c>
      <c r="I598" s="0" t="s">
        <v>287</v>
      </c>
      <c r="J598" s="0" t="s">
        <v>286</v>
      </c>
      <c r="K598" s="0" t="s">
        <v>288</v>
      </c>
      <c r="L598" s="0" t="s">
        <v>194</v>
      </c>
      <c r="M598" s="0" t="s">
        <v>195</v>
      </c>
      <c r="N598" s="0" t="s">
        <v>198</v>
      </c>
      <c r="O598" s="0" t="s">
        <v>199</v>
      </c>
      <c r="P598" s="0" t="s">
        <v>289</v>
      </c>
      <c r="Q598" s="0" t="s">
        <v>79</v>
      </c>
      <c r="R598" s="0" t="s">
        <v>290</v>
      </c>
      <c r="S598" s="0" t="s">
        <v>81</v>
      </c>
      <c r="T598" s="0" t="s">
        <v>82</v>
      </c>
    </row>
    <row r="599" customFormat="false" ht="15" hidden="false" customHeight="false" outlineLevel="0" collapsed="false">
      <c r="A599" s="0" t="str">
        <f aca="false">B599&amp;"|"&amp;C599&amp;"|"&amp;D599&amp;"|"&amp;E599&amp;"|"&amp;F599</f>
        <v>2.8+2506|FX|delta_corr_calc_high|high|regular</v>
      </c>
      <c r="B599" s="0" t="s">
        <v>286</v>
      </c>
      <c r="C599" s="0" t="s">
        <v>170</v>
      </c>
      <c r="D599" s="0" t="s">
        <v>197</v>
      </c>
      <c r="E599" s="0" t="s">
        <v>85</v>
      </c>
      <c r="F599" s="0" t="s">
        <v>70</v>
      </c>
      <c r="G599" s="0" t="n">
        <v>0.68</v>
      </c>
      <c r="H599" s="0" t="s">
        <v>119</v>
      </c>
      <c r="I599" s="0" t="s">
        <v>287</v>
      </c>
      <c r="J599" s="0" t="s">
        <v>286</v>
      </c>
      <c r="K599" s="0" t="s">
        <v>288</v>
      </c>
      <c r="L599" s="0" t="s">
        <v>194</v>
      </c>
      <c r="M599" s="0" t="s">
        <v>195</v>
      </c>
      <c r="N599" s="0" t="s">
        <v>198</v>
      </c>
      <c r="O599" s="0" t="s">
        <v>199</v>
      </c>
      <c r="P599" s="0" t="s">
        <v>289</v>
      </c>
      <c r="Q599" s="0" t="s">
        <v>79</v>
      </c>
      <c r="R599" s="0" t="s">
        <v>290</v>
      </c>
      <c r="S599" s="0" t="s">
        <v>81</v>
      </c>
      <c r="T599" s="0" t="s">
        <v>82</v>
      </c>
    </row>
    <row r="600" customFormat="false" ht="15" hidden="false" customHeight="false" outlineLevel="0" collapsed="false">
      <c r="A600" s="0" t="str">
        <f aca="false">B600&amp;"|"&amp;C600&amp;"|"&amp;D600&amp;"|"&amp;E600&amp;"|"&amp;F600</f>
        <v>2.8+2506|FX|delta_corr_calc_high|high|high</v>
      </c>
      <c r="B600" s="0" t="s">
        <v>286</v>
      </c>
      <c r="C600" s="0" t="s">
        <v>170</v>
      </c>
      <c r="D600" s="0" t="s">
        <v>197</v>
      </c>
      <c r="E600" s="0" t="s">
        <v>85</v>
      </c>
      <c r="F600" s="0" t="s">
        <v>85</v>
      </c>
      <c r="G600" s="0" t="n">
        <v>0.5</v>
      </c>
      <c r="H600" s="0" t="s">
        <v>119</v>
      </c>
      <c r="I600" s="0" t="s">
        <v>287</v>
      </c>
      <c r="J600" s="0" t="s">
        <v>286</v>
      </c>
      <c r="K600" s="0" t="s">
        <v>288</v>
      </c>
      <c r="L600" s="0" t="s">
        <v>194</v>
      </c>
      <c r="M600" s="0" t="s">
        <v>195</v>
      </c>
      <c r="N600" s="0" t="s">
        <v>198</v>
      </c>
      <c r="O600" s="0" t="s">
        <v>199</v>
      </c>
      <c r="P600" s="0" t="s">
        <v>289</v>
      </c>
      <c r="Q600" s="0" t="s">
        <v>79</v>
      </c>
      <c r="R600" s="0" t="s">
        <v>290</v>
      </c>
      <c r="S600" s="0" t="s">
        <v>81</v>
      </c>
      <c r="T600" s="0" t="s">
        <v>82</v>
      </c>
    </row>
    <row r="601" customFormat="false" ht="15" hidden="false" customHeight="false" outlineLevel="0" collapsed="false">
      <c r="A601" s="0" t="str">
        <f aca="false">B601&amp;"|"&amp;C601&amp;"|"&amp;D601&amp;"|"&amp;E601&amp;"|"&amp;F601</f>
        <v>2.8+2506|FX|vol_curvature_corr||</v>
      </c>
      <c r="B601" s="0" t="s">
        <v>286</v>
      </c>
      <c r="C601" s="0" t="s">
        <v>170</v>
      </c>
      <c r="D601" s="0" t="s">
        <v>200</v>
      </c>
      <c r="G601" s="0" t="n">
        <v>0.5</v>
      </c>
      <c r="H601" s="0" t="s">
        <v>119</v>
      </c>
      <c r="I601" s="0" t="s">
        <v>287</v>
      </c>
      <c r="J601" s="0" t="s">
        <v>286</v>
      </c>
      <c r="K601" s="0" t="s">
        <v>288</v>
      </c>
      <c r="L601" s="0" t="s">
        <v>194</v>
      </c>
      <c r="M601" s="0" t="s">
        <v>201</v>
      </c>
      <c r="N601" s="0" t="s">
        <v>202</v>
      </c>
      <c r="O601" s="0" t="s">
        <v>199</v>
      </c>
      <c r="P601" s="0" t="s">
        <v>289</v>
      </c>
      <c r="Q601" s="0" t="s">
        <v>79</v>
      </c>
      <c r="R601" s="0" t="s">
        <v>290</v>
      </c>
      <c r="S601" s="0" t="s">
        <v>81</v>
      </c>
      <c r="T601" s="0" t="s">
        <v>82</v>
      </c>
    </row>
    <row r="602" customFormat="false" ht="15" hidden="false" customHeight="false" outlineLevel="0" collapsed="false">
      <c r="A602" s="0" t="str">
        <f aca="false">B602&amp;"|"&amp;C602&amp;"|"&amp;D602&amp;"|"&amp;E602&amp;"|"&amp;F602</f>
        <v>2.8+2506|FX|delta_ct|Category 1|</v>
      </c>
      <c r="B602" s="0" t="s">
        <v>286</v>
      </c>
      <c r="C602" s="0" t="s">
        <v>170</v>
      </c>
      <c r="D602" s="0" t="s">
        <v>147</v>
      </c>
      <c r="E602" s="0" t="s">
        <v>203</v>
      </c>
      <c r="G602" s="0" t="n">
        <v>3100</v>
      </c>
      <c r="H602" s="0" t="s">
        <v>204</v>
      </c>
      <c r="I602" s="0" t="s">
        <v>287</v>
      </c>
      <c r="J602" s="0" t="s">
        <v>286</v>
      </c>
      <c r="K602" s="0" t="s">
        <v>288</v>
      </c>
      <c r="L602" s="0" t="s">
        <v>205</v>
      </c>
      <c r="M602" s="0" t="s">
        <v>206</v>
      </c>
      <c r="N602" s="0" t="s">
        <v>207</v>
      </c>
      <c r="O602" s="0" t="s">
        <v>160</v>
      </c>
      <c r="P602" s="0" t="s">
        <v>289</v>
      </c>
      <c r="Q602" s="0" t="s">
        <v>79</v>
      </c>
      <c r="R602" s="0" t="s">
        <v>290</v>
      </c>
      <c r="S602" s="0" t="s">
        <v>81</v>
      </c>
      <c r="T602" s="0" t="s">
        <v>82</v>
      </c>
    </row>
    <row r="603" customFormat="false" ht="15" hidden="false" customHeight="false" outlineLevel="0" collapsed="false">
      <c r="A603" s="0" t="str">
        <f aca="false">B603&amp;"|"&amp;C603&amp;"|"&amp;D603&amp;"|"&amp;E603&amp;"|"&amp;F603</f>
        <v>2.8+2506|FX|delta_ct|Category 2|</v>
      </c>
      <c r="B603" s="0" t="s">
        <v>286</v>
      </c>
      <c r="C603" s="0" t="s">
        <v>170</v>
      </c>
      <c r="D603" s="0" t="s">
        <v>147</v>
      </c>
      <c r="E603" s="0" t="s">
        <v>208</v>
      </c>
      <c r="G603" s="0" t="n">
        <v>950</v>
      </c>
      <c r="H603" s="0" t="s">
        <v>204</v>
      </c>
      <c r="I603" s="0" t="s">
        <v>287</v>
      </c>
      <c r="J603" s="0" t="s">
        <v>286</v>
      </c>
      <c r="K603" s="0" t="s">
        <v>288</v>
      </c>
      <c r="L603" s="0" t="s">
        <v>205</v>
      </c>
      <c r="M603" s="0" t="s">
        <v>206</v>
      </c>
      <c r="N603" s="0" t="s">
        <v>207</v>
      </c>
      <c r="O603" s="0" t="s">
        <v>160</v>
      </c>
      <c r="P603" s="0" t="s">
        <v>289</v>
      </c>
      <c r="Q603" s="0" t="s">
        <v>79</v>
      </c>
      <c r="R603" s="0" t="s">
        <v>290</v>
      </c>
      <c r="S603" s="0" t="s">
        <v>81</v>
      </c>
      <c r="T603" s="0" t="s">
        <v>82</v>
      </c>
    </row>
    <row r="604" customFormat="false" ht="15" hidden="false" customHeight="false" outlineLevel="0" collapsed="false">
      <c r="A604" s="0" t="str">
        <f aca="false">B604&amp;"|"&amp;C604&amp;"|"&amp;D604&amp;"|"&amp;E604&amp;"|"&amp;F604</f>
        <v>2.8+2506|FX|delta_ct|Category 3|</v>
      </c>
      <c r="B604" s="0" t="s">
        <v>286</v>
      </c>
      <c r="C604" s="0" t="s">
        <v>170</v>
      </c>
      <c r="D604" s="0" t="s">
        <v>147</v>
      </c>
      <c r="E604" s="0" t="s">
        <v>209</v>
      </c>
      <c r="G604" s="0" t="n">
        <v>160</v>
      </c>
      <c r="H604" s="0" t="s">
        <v>204</v>
      </c>
      <c r="I604" s="0" t="s">
        <v>287</v>
      </c>
      <c r="J604" s="0" t="s">
        <v>286</v>
      </c>
      <c r="K604" s="0" t="s">
        <v>288</v>
      </c>
      <c r="L604" s="0" t="s">
        <v>205</v>
      </c>
      <c r="M604" s="0" t="s">
        <v>206</v>
      </c>
      <c r="N604" s="0" t="s">
        <v>207</v>
      </c>
      <c r="O604" s="0" t="s">
        <v>160</v>
      </c>
      <c r="P604" s="0" t="s">
        <v>289</v>
      </c>
      <c r="Q604" s="0" t="s">
        <v>79</v>
      </c>
      <c r="R604" s="0" t="s">
        <v>290</v>
      </c>
      <c r="S604" s="0" t="s">
        <v>81</v>
      </c>
      <c r="T604" s="0" t="s">
        <v>82</v>
      </c>
    </row>
    <row r="605" customFormat="false" ht="15" hidden="false" customHeight="false" outlineLevel="0" collapsed="false">
      <c r="A605" s="0" t="str">
        <f aca="false">B605&amp;"|"&amp;C605&amp;"|"&amp;D605&amp;"|"&amp;E605&amp;"|"&amp;F605</f>
        <v>2.8+2506|FX|vega_ct|Category 1|Category 1</v>
      </c>
      <c r="B605" s="0" t="s">
        <v>286</v>
      </c>
      <c r="C605" s="0" t="s">
        <v>170</v>
      </c>
      <c r="D605" s="0" t="s">
        <v>155</v>
      </c>
      <c r="E605" s="0" t="s">
        <v>203</v>
      </c>
      <c r="F605" s="0" t="s">
        <v>203</v>
      </c>
      <c r="G605" s="0" t="n">
        <v>2800</v>
      </c>
      <c r="H605" s="0" t="s">
        <v>156</v>
      </c>
      <c r="I605" s="0" t="s">
        <v>287</v>
      </c>
      <c r="J605" s="0" t="s">
        <v>286</v>
      </c>
      <c r="K605" s="0" t="s">
        <v>288</v>
      </c>
      <c r="L605" s="0" t="s">
        <v>210</v>
      </c>
      <c r="M605" s="0" t="s">
        <v>211</v>
      </c>
      <c r="N605" s="0" t="s">
        <v>212</v>
      </c>
      <c r="O605" s="0" t="s">
        <v>213</v>
      </c>
      <c r="P605" s="0" t="s">
        <v>289</v>
      </c>
      <c r="Q605" s="0" t="s">
        <v>79</v>
      </c>
      <c r="R605" s="0" t="s">
        <v>290</v>
      </c>
      <c r="S605" s="0" t="s">
        <v>81</v>
      </c>
      <c r="T605" s="0" t="s">
        <v>82</v>
      </c>
    </row>
    <row r="606" customFormat="false" ht="15" hidden="false" customHeight="false" outlineLevel="0" collapsed="false">
      <c r="A606" s="0" t="str">
        <f aca="false">B606&amp;"|"&amp;C606&amp;"|"&amp;D606&amp;"|"&amp;E606&amp;"|"&amp;F606</f>
        <v>2.8+2506|FX|vega_ct|Category 1|Category 2</v>
      </c>
      <c r="B606" s="0" t="s">
        <v>286</v>
      </c>
      <c r="C606" s="0" t="s">
        <v>170</v>
      </c>
      <c r="D606" s="0" t="s">
        <v>155</v>
      </c>
      <c r="E606" s="0" t="s">
        <v>203</v>
      </c>
      <c r="F606" s="0" t="s">
        <v>208</v>
      </c>
      <c r="G606" s="0" t="n">
        <v>1400</v>
      </c>
      <c r="H606" s="0" t="s">
        <v>156</v>
      </c>
      <c r="I606" s="0" t="s">
        <v>287</v>
      </c>
      <c r="J606" s="0" t="s">
        <v>286</v>
      </c>
      <c r="K606" s="0" t="s">
        <v>288</v>
      </c>
      <c r="L606" s="0" t="s">
        <v>210</v>
      </c>
      <c r="M606" s="0" t="s">
        <v>211</v>
      </c>
      <c r="N606" s="0" t="s">
        <v>212</v>
      </c>
      <c r="O606" s="0" t="s">
        <v>213</v>
      </c>
      <c r="P606" s="0" t="s">
        <v>289</v>
      </c>
      <c r="Q606" s="0" t="s">
        <v>79</v>
      </c>
      <c r="R606" s="0" t="s">
        <v>290</v>
      </c>
      <c r="S606" s="0" t="s">
        <v>81</v>
      </c>
      <c r="T606" s="0" t="s">
        <v>82</v>
      </c>
    </row>
    <row r="607" customFormat="false" ht="15" hidden="false" customHeight="false" outlineLevel="0" collapsed="false">
      <c r="A607" s="0" t="str">
        <f aca="false">B607&amp;"|"&amp;C607&amp;"|"&amp;D607&amp;"|"&amp;E607&amp;"|"&amp;F607</f>
        <v>2.8+2506|FX|vega_ct|Category 1|Category 3</v>
      </c>
      <c r="B607" s="0" t="s">
        <v>286</v>
      </c>
      <c r="C607" s="0" t="s">
        <v>170</v>
      </c>
      <c r="D607" s="0" t="s">
        <v>155</v>
      </c>
      <c r="E607" s="0" t="s">
        <v>203</v>
      </c>
      <c r="F607" s="0" t="s">
        <v>209</v>
      </c>
      <c r="G607" s="0" t="n">
        <v>740</v>
      </c>
      <c r="H607" s="0" t="s">
        <v>156</v>
      </c>
      <c r="I607" s="0" t="s">
        <v>287</v>
      </c>
      <c r="J607" s="0" t="s">
        <v>286</v>
      </c>
      <c r="K607" s="0" t="s">
        <v>288</v>
      </c>
      <c r="L607" s="0" t="s">
        <v>210</v>
      </c>
      <c r="M607" s="0" t="s">
        <v>211</v>
      </c>
      <c r="N607" s="0" t="s">
        <v>212</v>
      </c>
      <c r="O607" s="0" t="s">
        <v>213</v>
      </c>
      <c r="P607" s="0" t="s">
        <v>289</v>
      </c>
      <c r="Q607" s="0" t="s">
        <v>79</v>
      </c>
      <c r="R607" s="0" t="s">
        <v>290</v>
      </c>
      <c r="S607" s="0" t="s">
        <v>81</v>
      </c>
      <c r="T607" s="0" t="s">
        <v>82</v>
      </c>
    </row>
    <row r="608" customFormat="false" ht="15" hidden="false" customHeight="false" outlineLevel="0" collapsed="false">
      <c r="A608" s="0" t="str">
        <f aca="false">B608&amp;"|"&amp;C608&amp;"|"&amp;D608&amp;"|"&amp;E608&amp;"|"&amp;F608</f>
        <v>2.8+2506|FX|vega_ct|Category 2|Category 2</v>
      </c>
      <c r="B608" s="0" t="s">
        <v>286</v>
      </c>
      <c r="C608" s="0" t="s">
        <v>170</v>
      </c>
      <c r="D608" s="0" t="s">
        <v>155</v>
      </c>
      <c r="E608" s="0" t="s">
        <v>208</v>
      </c>
      <c r="F608" s="0" t="s">
        <v>208</v>
      </c>
      <c r="G608" s="0" t="n">
        <v>670</v>
      </c>
      <c r="H608" s="0" t="s">
        <v>156</v>
      </c>
      <c r="I608" s="0" t="s">
        <v>287</v>
      </c>
      <c r="J608" s="0" t="s">
        <v>286</v>
      </c>
      <c r="K608" s="0" t="s">
        <v>288</v>
      </c>
      <c r="L608" s="0" t="s">
        <v>210</v>
      </c>
      <c r="M608" s="0" t="s">
        <v>211</v>
      </c>
      <c r="N608" s="0" t="s">
        <v>212</v>
      </c>
      <c r="O608" s="0" t="s">
        <v>213</v>
      </c>
      <c r="P608" s="0" t="s">
        <v>289</v>
      </c>
      <c r="Q608" s="0" t="s">
        <v>79</v>
      </c>
      <c r="R608" s="0" t="s">
        <v>290</v>
      </c>
      <c r="S608" s="0" t="s">
        <v>81</v>
      </c>
      <c r="T608" s="0" t="s">
        <v>82</v>
      </c>
    </row>
    <row r="609" customFormat="false" ht="15" hidden="false" customHeight="false" outlineLevel="0" collapsed="false">
      <c r="A609" s="0" t="str">
        <f aca="false">B609&amp;"|"&amp;C609&amp;"|"&amp;D609&amp;"|"&amp;E609&amp;"|"&amp;F609</f>
        <v>2.8+2506|FX|vega_ct|Category 2|Category 3</v>
      </c>
      <c r="B609" s="0" t="s">
        <v>286</v>
      </c>
      <c r="C609" s="0" t="s">
        <v>170</v>
      </c>
      <c r="D609" s="0" t="s">
        <v>155</v>
      </c>
      <c r="E609" s="0" t="s">
        <v>208</v>
      </c>
      <c r="F609" s="0" t="s">
        <v>209</v>
      </c>
      <c r="G609" s="0" t="n">
        <v>440</v>
      </c>
      <c r="H609" s="0" t="s">
        <v>156</v>
      </c>
      <c r="I609" s="0" t="s">
        <v>287</v>
      </c>
      <c r="J609" s="0" t="s">
        <v>286</v>
      </c>
      <c r="K609" s="0" t="s">
        <v>288</v>
      </c>
      <c r="L609" s="0" t="s">
        <v>210</v>
      </c>
      <c r="M609" s="0" t="s">
        <v>211</v>
      </c>
      <c r="N609" s="0" t="s">
        <v>212</v>
      </c>
      <c r="O609" s="0" t="s">
        <v>213</v>
      </c>
      <c r="P609" s="0" t="s">
        <v>289</v>
      </c>
      <c r="Q609" s="0" t="s">
        <v>79</v>
      </c>
      <c r="R609" s="0" t="s">
        <v>290</v>
      </c>
      <c r="S609" s="0" t="s">
        <v>81</v>
      </c>
      <c r="T609" s="0" t="s">
        <v>82</v>
      </c>
    </row>
    <row r="610" customFormat="false" ht="15" hidden="false" customHeight="false" outlineLevel="0" collapsed="false">
      <c r="A610" s="0" t="str">
        <f aca="false">B610&amp;"|"&amp;C610&amp;"|"&amp;D610&amp;"|"&amp;E610&amp;"|"&amp;F610</f>
        <v>2.8+2506|FX|vega_ct|Category 3|Category 3</v>
      </c>
      <c r="B610" s="0" t="s">
        <v>286</v>
      </c>
      <c r="C610" s="0" t="s">
        <v>170</v>
      </c>
      <c r="D610" s="0" t="s">
        <v>155</v>
      </c>
      <c r="E610" s="0" t="s">
        <v>209</v>
      </c>
      <c r="F610" s="0" t="s">
        <v>209</v>
      </c>
      <c r="G610" s="0" t="n">
        <v>270</v>
      </c>
      <c r="H610" s="0" t="s">
        <v>156</v>
      </c>
      <c r="I610" s="0" t="s">
        <v>287</v>
      </c>
      <c r="J610" s="0" t="s">
        <v>286</v>
      </c>
      <c r="K610" s="0" t="s">
        <v>288</v>
      </c>
      <c r="L610" s="0" t="s">
        <v>210</v>
      </c>
      <c r="M610" s="0" t="s">
        <v>211</v>
      </c>
      <c r="N610" s="0" t="s">
        <v>212</v>
      </c>
      <c r="O610" s="0" t="s">
        <v>213</v>
      </c>
      <c r="P610" s="0" t="s">
        <v>289</v>
      </c>
      <c r="Q610" s="0" t="s">
        <v>79</v>
      </c>
      <c r="R610" s="0" t="s">
        <v>290</v>
      </c>
      <c r="S610" s="0" t="s">
        <v>81</v>
      </c>
      <c r="T610" s="0" t="s">
        <v>82</v>
      </c>
    </row>
    <row r="611" customFormat="false" ht="15" hidden="false" customHeight="false" outlineLevel="0" collapsed="false">
      <c r="A611" s="0" t="str">
        <f aca="false">B611&amp;"|"&amp;C611&amp;"|"&amp;D611&amp;"|"&amp;E611&amp;"|"&amp;F611</f>
        <v>2.8+2506|FX|ct_category_member|Category 1|USD</v>
      </c>
      <c r="B611" s="0" t="s">
        <v>286</v>
      </c>
      <c r="C611" s="0" t="s">
        <v>170</v>
      </c>
      <c r="D611" s="0" t="s">
        <v>215</v>
      </c>
      <c r="E611" s="0" t="s">
        <v>203</v>
      </c>
      <c r="F611" s="0" t="s">
        <v>11</v>
      </c>
      <c r="G611" s="0" t="n">
        <v>1</v>
      </c>
      <c r="H611" s="0" t="s">
        <v>99</v>
      </c>
      <c r="I611" s="0" t="s">
        <v>287</v>
      </c>
      <c r="J611" s="0" t="s">
        <v>286</v>
      </c>
      <c r="K611" s="0" t="s">
        <v>288</v>
      </c>
      <c r="L611" s="0" t="s">
        <v>205</v>
      </c>
      <c r="M611" s="0" t="s">
        <v>216</v>
      </c>
      <c r="N611" s="0" t="s">
        <v>217</v>
      </c>
      <c r="O611" s="0" t="s">
        <v>160</v>
      </c>
      <c r="P611" s="0" t="s">
        <v>289</v>
      </c>
      <c r="Q611" s="0" t="s">
        <v>79</v>
      </c>
      <c r="R611" s="0" t="s">
        <v>290</v>
      </c>
      <c r="S611" s="0" t="s">
        <v>81</v>
      </c>
      <c r="T611" s="0" t="s">
        <v>82</v>
      </c>
    </row>
    <row r="612" customFormat="false" ht="15" hidden="false" customHeight="false" outlineLevel="0" collapsed="false">
      <c r="A612" s="0" t="str">
        <f aca="false">B612&amp;"|"&amp;C612&amp;"|"&amp;D612&amp;"|"&amp;E612&amp;"|"&amp;F612</f>
        <v>2.8+2506|FX|ct_category_member|Category 1|EUR</v>
      </c>
      <c r="B612" s="0" t="s">
        <v>286</v>
      </c>
      <c r="C612" s="0" t="s">
        <v>170</v>
      </c>
      <c r="D612" s="0" t="s">
        <v>215</v>
      </c>
      <c r="E612" s="0" t="s">
        <v>203</v>
      </c>
      <c r="F612" s="0" t="s">
        <v>19</v>
      </c>
      <c r="G612" s="0" t="n">
        <v>1</v>
      </c>
      <c r="H612" s="0" t="s">
        <v>99</v>
      </c>
      <c r="I612" s="0" t="s">
        <v>287</v>
      </c>
      <c r="J612" s="0" t="s">
        <v>286</v>
      </c>
      <c r="K612" s="0" t="s">
        <v>288</v>
      </c>
      <c r="L612" s="0" t="s">
        <v>205</v>
      </c>
      <c r="M612" s="0" t="s">
        <v>216</v>
      </c>
      <c r="N612" s="0" t="s">
        <v>217</v>
      </c>
      <c r="O612" s="0" t="s">
        <v>160</v>
      </c>
      <c r="P612" s="0" t="s">
        <v>289</v>
      </c>
      <c r="Q612" s="0" t="s">
        <v>79</v>
      </c>
      <c r="R612" s="0" t="s">
        <v>290</v>
      </c>
      <c r="S612" s="0" t="s">
        <v>81</v>
      </c>
      <c r="T612" s="0" t="s">
        <v>82</v>
      </c>
    </row>
    <row r="613" customFormat="false" ht="15" hidden="false" customHeight="false" outlineLevel="0" collapsed="false">
      <c r="A613" s="0" t="str">
        <f aca="false">B613&amp;"|"&amp;C613&amp;"|"&amp;D613&amp;"|"&amp;E613&amp;"|"&amp;F613</f>
        <v>2.8+2506|FX|ct_category_member|Category 1|JPY</v>
      </c>
      <c r="B613" s="0" t="s">
        <v>286</v>
      </c>
      <c r="C613" s="0" t="s">
        <v>170</v>
      </c>
      <c r="D613" s="0" t="s">
        <v>215</v>
      </c>
      <c r="E613" s="0" t="s">
        <v>203</v>
      </c>
      <c r="F613" s="0" t="s">
        <v>21</v>
      </c>
      <c r="G613" s="0" t="n">
        <v>1</v>
      </c>
      <c r="H613" s="0" t="s">
        <v>99</v>
      </c>
      <c r="I613" s="0" t="s">
        <v>287</v>
      </c>
      <c r="J613" s="0" t="s">
        <v>286</v>
      </c>
      <c r="K613" s="0" t="s">
        <v>288</v>
      </c>
      <c r="L613" s="0" t="s">
        <v>205</v>
      </c>
      <c r="M613" s="0" t="s">
        <v>216</v>
      </c>
      <c r="N613" s="0" t="s">
        <v>217</v>
      </c>
      <c r="O613" s="0" t="s">
        <v>160</v>
      </c>
      <c r="P613" s="0" t="s">
        <v>289</v>
      </c>
      <c r="Q613" s="0" t="s">
        <v>79</v>
      </c>
      <c r="R613" s="0" t="s">
        <v>290</v>
      </c>
      <c r="S613" s="0" t="s">
        <v>81</v>
      </c>
      <c r="T613" s="0" t="s">
        <v>82</v>
      </c>
    </row>
    <row r="614" customFormat="false" ht="15" hidden="false" customHeight="false" outlineLevel="0" collapsed="false">
      <c r="A614" s="0" t="str">
        <f aca="false">B614&amp;"|"&amp;C614&amp;"|"&amp;D614&amp;"|"&amp;E614&amp;"|"&amp;F614</f>
        <v>2.8+2506|FX|ct_category_member|Category 1|GBP</v>
      </c>
      <c r="B614" s="0" t="s">
        <v>286</v>
      </c>
      <c r="C614" s="0" t="s">
        <v>170</v>
      </c>
      <c r="D614" s="0" t="s">
        <v>215</v>
      </c>
      <c r="E614" s="0" t="s">
        <v>203</v>
      </c>
      <c r="F614" s="0" t="s">
        <v>20</v>
      </c>
      <c r="G614" s="0" t="n">
        <v>1</v>
      </c>
      <c r="H614" s="0" t="s">
        <v>99</v>
      </c>
      <c r="I614" s="0" t="s">
        <v>287</v>
      </c>
      <c r="J614" s="0" t="s">
        <v>286</v>
      </c>
      <c r="K614" s="0" t="s">
        <v>288</v>
      </c>
      <c r="L614" s="0" t="s">
        <v>205</v>
      </c>
      <c r="M614" s="0" t="s">
        <v>216</v>
      </c>
      <c r="N614" s="0" t="s">
        <v>217</v>
      </c>
      <c r="O614" s="0" t="s">
        <v>160</v>
      </c>
      <c r="P614" s="0" t="s">
        <v>289</v>
      </c>
      <c r="Q614" s="0" t="s">
        <v>79</v>
      </c>
      <c r="R614" s="0" t="s">
        <v>290</v>
      </c>
      <c r="S614" s="0" t="s">
        <v>81</v>
      </c>
      <c r="T614" s="0" t="s">
        <v>82</v>
      </c>
    </row>
    <row r="615" customFormat="false" ht="15" hidden="false" customHeight="false" outlineLevel="0" collapsed="false">
      <c r="A615" s="0" t="str">
        <f aca="false">B615&amp;"|"&amp;C615&amp;"|"&amp;D615&amp;"|"&amp;E615&amp;"|"&amp;F615</f>
        <v>2.8+2506|FX|ct_category_member|Category 1|AUD</v>
      </c>
      <c r="B615" s="0" t="s">
        <v>286</v>
      </c>
      <c r="C615" s="0" t="s">
        <v>170</v>
      </c>
      <c r="D615" s="0" t="s">
        <v>215</v>
      </c>
      <c r="E615" s="0" t="s">
        <v>203</v>
      </c>
      <c r="F615" s="0" t="s">
        <v>103</v>
      </c>
      <c r="G615" s="0" t="n">
        <v>1</v>
      </c>
      <c r="H615" s="0" t="s">
        <v>99</v>
      </c>
      <c r="I615" s="0" t="s">
        <v>287</v>
      </c>
      <c r="J615" s="0" t="s">
        <v>286</v>
      </c>
      <c r="K615" s="0" t="s">
        <v>288</v>
      </c>
      <c r="L615" s="0" t="s">
        <v>205</v>
      </c>
      <c r="M615" s="0" t="s">
        <v>216</v>
      </c>
      <c r="N615" s="0" t="s">
        <v>217</v>
      </c>
      <c r="O615" s="0" t="s">
        <v>160</v>
      </c>
      <c r="P615" s="0" t="s">
        <v>289</v>
      </c>
      <c r="Q615" s="0" t="s">
        <v>79</v>
      </c>
      <c r="R615" s="0" t="s">
        <v>290</v>
      </c>
      <c r="S615" s="0" t="s">
        <v>81</v>
      </c>
      <c r="T615" s="0" t="s">
        <v>82</v>
      </c>
    </row>
    <row r="616" customFormat="false" ht="15" hidden="false" customHeight="false" outlineLevel="0" collapsed="false">
      <c r="A616" s="0" t="str">
        <f aca="false">B616&amp;"|"&amp;C616&amp;"|"&amp;D616&amp;"|"&amp;E616&amp;"|"&amp;F616</f>
        <v>2.8+2506|FX|ct_category_member|Category 1|CHF</v>
      </c>
      <c r="B616" s="0" t="s">
        <v>286</v>
      </c>
      <c r="C616" s="0" t="s">
        <v>170</v>
      </c>
      <c r="D616" s="0" t="s">
        <v>215</v>
      </c>
      <c r="E616" s="0" t="s">
        <v>203</v>
      </c>
      <c r="F616" s="0" t="s">
        <v>102</v>
      </c>
      <c r="G616" s="0" t="n">
        <v>1</v>
      </c>
      <c r="H616" s="0" t="s">
        <v>99</v>
      </c>
      <c r="I616" s="0" t="s">
        <v>287</v>
      </c>
      <c r="J616" s="0" t="s">
        <v>286</v>
      </c>
      <c r="K616" s="0" t="s">
        <v>288</v>
      </c>
      <c r="L616" s="0" t="s">
        <v>205</v>
      </c>
      <c r="M616" s="0" t="s">
        <v>216</v>
      </c>
      <c r="N616" s="0" t="s">
        <v>217</v>
      </c>
      <c r="O616" s="0" t="s">
        <v>160</v>
      </c>
      <c r="P616" s="0" t="s">
        <v>289</v>
      </c>
      <c r="Q616" s="0" t="s">
        <v>79</v>
      </c>
      <c r="R616" s="0" t="s">
        <v>290</v>
      </c>
      <c r="S616" s="0" t="s">
        <v>81</v>
      </c>
      <c r="T616" s="0" t="s">
        <v>82</v>
      </c>
    </row>
    <row r="617" customFormat="false" ht="15" hidden="false" customHeight="false" outlineLevel="0" collapsed="false">
      <c r="A617" s="0" t="str">
        <f aca="false">B617&amp;"|"&amp;C617&amp;"|"&amp;D617&amp;"|"&amp;E617&amp;"|"&amp;F617</f>
        <v>2.8+2506|FX|ct_category_member|Category 1|CAD</v>
      </c>
      <c r="B617" s="0" t="s">
        <v>286</v>
      </c>
      <c r="C617" s="0" t="s">
        <v>170</v>
      </c>
      <c r="D617" s="0" t="s">
        <v>215</v>
      </c>
      <c r="E617" s="0" t="s">
        <v>203</v>
      </c>
      <c r="F617" s="0" t="s">
        <v>105</v>
      </c>
      <c r="G617" s="0" t="n">
        <v>1</v>
      </c>
      <c r="H617" s="0" t="s">
        <v>99</v>
      </c>
      <c r="I617" s="0" t="s">
        <v>287</v>
      </c>
      <c r="J617" s="0" t="s">
        <v>286</v>
      </c>
      <c r="K617" s="0" t="s">
        <v>288</v>
      </c>
      <c r="L617" s="0" t="s">
        <v>205</v>
      </c>
      <c r="M617" s="0" t="s">
        <v>216</v>
      </c>
      <c r="N617" s="0" t="s">
        <v>217</v>
      </c>
      <c r="O617" s="0" t="s">
        <v>160</v>
      </c>
      <c r="P617" s="0" t="s">
        <v>289</v>
      </c>
      <c r="Q617" s="0" t="s">
        <v>79</v>
      </c>
      <c r="R617" s="0" t="s">
        <v>290</v>
      </c>
      <c r="S617" s="0" t="s">
        <v>81</v>
      </c>
      <c r="T617" s="0" t="s">
        <v>82</v>
      </c>
    </row>
    <row r="618" customFormat="false" ht="15" hidden="false" customHeight="false" outlineLevel="0" collapsed="false">
      <c r="A618" s="0" t="str">
        <f aca="false">B618&amp;"|"&amp;C618&amp;"|"&amp;D618&amp;"|"&amp;E618&amp;"|"&amp;F618</f>
        <v>2.8+2506|FX|ct_category_member|Category 2|BRL</v>
      </c>
      <c r="B618" s="0" t="s">
        <v>286</v>
      </c>
      <c r="C618" s="0" t="s">
        <v>170</v>
      </c>
      <c r="D618" s="0" t="s">
        <v>215</v>
      </c>
      <c r="E618" s="0" t="s">
        <v>208</v>
      </c>
      <c r="F618" s="0" t="s">
        <v>218</v>
      </c>
      <c r="G618" s="0" t="n">
        <v>1</v>
      </c>
      <c r="H618" s="0" t="s">
        <v>99</v>
      </c>
      <c r="I618" s="0" t="s">
        <v>287</v>
      </c>
      <c r="J618" s="0" t="s">
        <v>286</v>
      </c>
      <c r="K618" s="0" t="s">
        <v>288</v>
      </c>
      <c r="L618" s="0" t="s">
        <v>205</v>
      </c>
      <c r="M618" s="0" t="s">
        <v>216</v>
      </c>
      <c r="N618" s="0" t="s">
        <v>217</v>
      </c>
      <c r="O618" s="0" t="s">
        <v>160</v>
      </c>
      <c r="P618" s="0" t="s">
        <v>289</v>
      </c>
      <c r="Q618" s="0" t="s">
        <v>79</v>
      </c>
      <c r="R618" s="0" t="s">
        <v>290</v>
      </c>
      <c r="S618" s="0" t="s">
        <v>81</v>
      </c>
      <c r="T618" s="0" t="s">
        <v>82</v>
      </c>
    </row>
    <row r="619" customFormat="false" ht="15" hidden="false" customHeight="false" outlineLevel="0" collapsed="false">
      <c r="A619" s="0" t="str">
        <f aca="false">B619&amp;"|"&amp;C619&amp;"|"&amp;D619&amp;"|"&amp;E619&amp;"|"&amp;F619</f>
        <v>2.8+2506|FX|ct_category_member|Category 2|CNY</v>
      </c>
      <c r="B619" s="0" t="s">
        <v>286</v>
      </c>
      <c r="C619" s="0" t="s">
        <v>170</v>
      </c>
      <c r="D619" s="0" t="s">
        <v>215</v>
      </c>
      <c r="E619" s="0" t="s">
        <v>208</v>
      </c>
      <c r="F619" s="0" t="s">
        <v>219</v>
      </c>
      <c r="G619" s="0" t="n">
        <v>1</v>
      </c>
      <c r="H619" s="0" t="s">
        <v>99</v>
      </c>
      <c r="I619" s="0" t="s">
        <v>287</v>
      </c>
      <c r="J619" s="0" t="s">
        <v>286</v>
      </c>
      <c r="K619" s="0" t="s">
        <v>288</v>
      </c>
      <c r="L619" s="0" t="s">
        <v>205</v>
      </c>
      <c r="M619" s="0" t="s">
        <v>216</v>
      </c>
      <c r="N619" s="0" t="s">
        <v>217</v>
      </c>
      <c r="O619" s="0" t="s">
        <v>160</v>
      </c>
      <c r="P619" s="0" t="s">
        <v>289</v>
      </c>
      <c r="Q619" s="0" t="s">
        <v>79</v>
      </c>
      <c r="R619" s="0" t="s">
        <v>290</v>
      </c>
      <c r="S619" s="0" t="s">
        <v>81</v>
      </c>
      <c r="T619" s="0" t="s">
        <v>82</v>
      </c>
    </row>
    <row r="620" customFormat="false" ht="15" hidden="false" customHeight="false" outlineLevel="0" collapsed="false">
      <c r="A620" s="0" t="str">
        <f aca="false">B620&amp;"|"&amp;C620&amp;"|"&amp;D620&amp;"|"&amp;E620&amp;"|"&amp;F620</f>
        <v>2.8+2506|FX|ct_category_member|Category 2|HKD</v>
      </c>
      <c r="B620" s="0" t="s">
        <v>286</v>
      </c>
      <c r="C620" s="0" t="s">
        <v>170</v>
      </c>
      <c r="D620" s="0" t="s">
        <v>215</v>
      </c>
      <c r="E620" s="0" t="s">
        <v>208</v>
      </c>
      <c r="F620" s="0" t="s">
        <v>109</v>
      </c>
      <c r="G620" s="0" t="n">
        <v>1</v>
      </c>
      <c r="H620" s="0" t="s">
        <v>99</v>
      </c>
      <c r="I620" s="0" t="s">
        <v>287</v>
      </c>
      <c r="J620" s="0" t="s">
        <v>286</v>
      </c>
      <c r="K620" s="0" t="s">
        <v>288</v>
      </c>
      <c r="L620" s="0" t="s">
        <v>205</v>
      </c>
      <c r="M620" s="0" t="s">
        <v>216</v>
      </c>
      <c r="N620" s="0" t="s">
        <v>217</v>
      </c>
      <c r="O620" s="0" t="s">
        <v>160</v>
      </c>
      <c r="P620" s="0" t="s">
        <v>289</v>
      </c>
      <c r="Q620" s="0" t="s">
        <v>79</v>
      </c>
      <c r="R620" s="0" t="s">
        <v>290</v>
      </c>
      <c r="S620" s="0" t="s">
        <v>81</v>
      </c>
      <c r="T620" s="0" t="s">
        <v>82</v>
      </c>
    </row>
    <row r="621" customFormat="false" ht="15" hidden="false" customHeight="false" outlineLevel="0" collapsed="false">
      <c r="A621" s="0" t="str">
        <f aca="false">B621&amp;"|"&amp;C621&amp;"|"&amp;D621&amp;"|"&amp;E621&amp;"|"&amp;F621</f>
        <v>2.8+2506|FX|ct_category_member|Category 2|INR</v>
      </c>
      <c r="B621" s="0" t="s">
        <v>286</v>
      </c>
      <c r="C621" s="0" t="s">
        <v>170</v>
      </c>
      <c r="D621" s="0" t="s">
        <v>215</v>
      </c>
      <c r="E621" s="0" t="s">
        <v>208</v>
      </c>
      <c r="F621" s="0" t="s">
        <v>220</v>
      </c>
      <c r="G621" s="0" t="n">
        <v>1</v>
      </c>
      <c r="H621" s="0" t="s">
        <v>99</v>
      </c>
      <c r="I621" s="0" t="s">
        <v>287</v>
      </c>
      <c r="J621" s="0" t="s">
        <v>286</v>
      </c>
      <c r="K621" s="0" t="s">
        <v>288</v>
      </c>
      <c r="L621" s="0" t="s">
        <v>205</v>
      </c>
      <c r="M621" s="0" t="s">
        <v>216</v>
      </c>
      <c r="N621" s="0" t="s">
        <v>217</v>
      </c>
      <c r="O621" s="0" t="s">
        <v>160</v>
      </c>
      <c r="P621" s="0" t="s">
        <v>289</v>
      </c>
      <c r="Q621" s="0" t="s">
        <v>79</v>
      </c>
      <c r="R621" s="0" t="s">
        <v>290</v>
      </c>
      <c r="S621" s="0" t="s">
        <v>81</v>
      </c>
      <c r="T621" s="0" t="s">
        <v>82</v>
      </c>
    </row>
    <row r="622" customFormat="false" ht="15" hidden="false" customHeight="false" outlineLevel="0" collapsed="false">
      <c r="A622" s="0" t="str">
        <f aca="false">B622&amp;"|"&amp;C622&amp;"|"&amp;D622&amp;"|"&amp;E622&amp;"|"&amp;F622</f>
        <v>2.8+2506|FX|ct_category_member|Category 2|KRW</v>
      </c>
      <c r="B622" s="0" t="s">
        <v>286</v>
      </c>
      <c r="C622" s="0" t="s">
        <v>170</v>
      </c>
      <c r="D622" s="0" t="s">
        <v>215</v>
      </c>
      <c r="E622" s="0" t="s">
        <v>208</v>
      </c>
      <c r="F622" s="0" t="s">
        <v>110</v>
      </c>
      <c r="G622" s="0" t="n">
        <v>1</v>
      </c>
      <c r="H622" s="0" t="s">
        <v>99</v>
      </c>
      <c r="I622" s="0" t="s">
        <v>287</v>
      </c>
      <c r="J622" s="0" t="s">
        <v>286</v>
      </c>
      <c r="K622" s="0" t="s">
        <v>288</v>
      </c>
      <c r="L622" s="0" t="s">
        <v>205</v>
      </c>
      <c r="M622" s="0" t="s">
        <v>216</v>
      </c>
      <c r="N622" s="0" t="s">
        <v>217</v>
      </c>
      <c r="O622" s="0" t="s">
        <v>160</v>
      </c>
      <c r="P622" s="0" t="s">
        <v>289</v>
      </c>
      <c r="Q622" s="0" t="s">
        <v>79</v>
      </c>
      <c r="R622" s="0" t="s">
        <v>290</v>
      </c>
      <c r="S622" s="0" t="s">
        <v>81</v>
      </c>
      <c r="T622" s="0" t="s">
        <v>82</v>
      </c>
    </row>
    <row r="623" customFormat="false" ht="15" hidden="false" customHeight="false" outlineLevel="0" collapsed="false">
      <c r="A623" s="0" t="str">
        <f aca="false">B623&amp;"|"&amp;C623&amp;"|"&amp;D623&amp;"|"&amp;E623&amp;"|"&amp;F623</f>
        <v>2.8+2506|FX|ct_category_member|Category 2|MXN</v>
      </c>
      <c r="B623" s="0" t="s">
        <v>286</v>
      </c>
      <c r="C623" s="0" t="s">
        <v>170</v>
      </c>
      <c r="D623" s="0" t="s">
        <v>215</v>
      </c>
      <c r="E623" s="0" t="s">
        <v>208</v>
      </c>
      <c r="F623" s="0" t="s">
        <v>22</v>
      </c>
      <c r="G623" s="0" t="n">
        <v>1</v>
      </c>
      <c r="H623" s="0" t="s">
        <v>99</v>
      </c>
      <c r="I623" s="0" t="s">
        <v>287</v>
      </c>
      <c r="J623" s="0" t="s">
        <v>286</v>
      </c>
      <c r="K623" s="0" t="s">
        <v>288</v>
      </c>
      <c r="L623" s="0" t="s">
        <v>205</v>
      </c>
      <c r="M623" s="0" t="s">
        <v>216</v>
      </c>
      <c r="N623" s="0" t="s">
        <v>217</v>
      </c>
      <c r="O623" s="0" t="s">
        <v>160</v>
      </c>
      <c r="P623" s="0" t="s">
        <v>289</v>
      </c>
      <c r="Q623" s="0" t="s">
        <v>79</v>
      </c>
      <c r="R623" s="0" t="s">
        <v>290</v>
      </c>
      <c r="S623" s="0" t="s">
        <v>81</v>
      </c>
      <c r="T623" s="0" t="s">
        <v>82</v>
      </c>
    </row>
    <row r="624" customFormat="false" ht="15" hidden="false" customHeight="false" outlineLevel="0" collapsed="false">
      <c r="A624" s="0" t="str">
        <f aca="false">B624&amp;"|"&amp;C624&amp;"|"&amp;D624&amp;"|"&amp;E624&amp;"|"&amp;F624</f>
        <v>2.8+2506|FX|ct_category_member|Category 2|NOK</v>
      </c>
      <c r="B624" s="0" t="s">
        <v>286</v>
      </c>
      <c r="C624" s="0" t="s">
        <v>170</v>
      </c>
      <c r="D624" s="0" t="s">
        <v>215</v>
      </c>
      <c r="E624" s="0" t="s">
        <v>208</v>
      </c>
      <c r="F624" s="0" t="s">
        <v>107</v>
      </c>
      <c r="G624" s="0" t="n">
        <v>1</v>
      </c>
      <c r="H624" s="0" t="s">
        <v>99</v>
      </c>
      <c r="I624" s="0" t="s">
        <v>287</v>
      </c>
      <c r="J624" s="0" t="s">
        <v>286</v>
      </c>
      <c r="K624" s="0" t="s">
        <v>288</v>
      </c>
      <c r="L624" s="0" t="s">
        <v>205</v>
      </c>
      <c r="M624" s="0" t="s">
        <v>216</v>
      </c>
      <c r="N624" s="0" t="s">
        <v>217</v>
      </c>
      <c r="O624" s="0" t="s">
        <v>160</v>
      </c>
      <c r="P624" s="0" t="s">
        <v>289</v>
      </c>
      <c r="Q624" s="0" t="s">
        <v>79</v>
      </c>
      <c r="R624" s="0" t="s">
        <v>290</v>
      </c>
      <c r="S624" s="0" t="s">
        <v>81</v>
      </c>
      <c r="T624" s="0" t="s">
        <v>82</v>
      </c>
    </row>
    <row r="625" customFormat="false" ht="15" hidden="false" customHeight="false" outlineLevel="0" collapsed="false">
      <c r="A625" s="0" t="str">
        <f aca="false">B625&amp;"|"&amp;C625&amp;"|"&amp;D625&amp;"|"&amp;E625&amp;"|"&amp;F625</f>
        <v>2.8+2506|FX|ct_category_member|Category 2|NZD</v>
      </c>
      <c r="B625" s="0" t="s">
        <v>286</v>
      </c>
      <c r="C625" s="0" t="s">
        <v>170</v>
      </c>
      <c r="D625" s="0" t="s">
        <v>215</v>
      </c>
      <c r="E625" s="0" t="s">
        <v>208</v>
      </c>
      <c r="F625" s="0" t="s">
        <v>104</v>
      </c>
      <c r="G625" s="0" t="n">
        <v>1</v>
      </c>
      <c r="H625" s="0" t="s">
        <v>99</v>
      </c>
      <c r="I625" s="0" t="s">
        <v>287</v>
      </c>
      <c r="J625" s="0" t="s">
        <v>286</v>
      </c>
      <c r="K625" s="0" t="s">
        <v>288</v>
      </c>
      <c r="L625" s="0" t="s">
        <v>205</v>
      </c>
      <c r="M625" s="0" t="s">
        <v>216</v>
      </c>
      <c r="N625" s="0" t="s">
        <v>217</v>
      </c>
      <c r="O625" s="0" t="s">
        <v>160</v>
      </c>
      <c r="P625" s="0" t="s">
        <v>289</v>
      </c>
      <c r="Q625" s="0" t="s">
        <v>79</v>
      </c>
      <c r="R625" s="0" t="s">
        <v>290</v>
      </c>
      <c r="S625" s="0" t="s">
        <v>81</v>
      </c>
      <c r="T625" s="0" t="s">
        <v>82</v>
      </c>
    </row>
    <row r="626" customFormat="false" ht="15" hidden="false" customHeight="false" outlineLevel="0" collapsed="false">
      <c r="A626" s="0" t="str">
        <f aca="false">B626&amp;"|"&amp;C626&amp;"|"&amp;D626&amp;"|"&amp;E626&amp;"|"&amp;F626</f>
        <v>2.8+2506|FX|ct_category_member|Category 2|RUB</v>
      </c>
      <c r="B626" s="0" t="s">
        <v>286</v>
      </c>
      <c r="C626" s="0" t="s">
        <v>170</v>
      </c>
      <c r="D626" s="0" t="s">
        <v>215</v>
      </c>
      <c r="E626" s="0" t="s">
        <v>208</v>
      </c>
      <c r="F626" s="0" t="s">
        <v>221</v>
      </c>
      <c r="G626" s="0" t="n">
        <v>1</v>
      </c>
      <c r="H626" s="0" t="s">
        <v>99</v>
      </c>
      <c r="I626" s="0" t="s">
        <v>287</v>
      </c>
      <c r="J626" s="0" t="s">
        <v>286</v>
      </c>
      <c r="K626" s="0" t="s">
        <v>288</v>
      </c>
      <c r="L626" s="0" t="s">
        <v>205</v>
      </c>
      <c r="M626" s="0" t="s">
        <v>216</v>
      </c>
      <c r="N626" s="0" t="s">
        <v>217</v>
      </c>
      <c r="O626" s="0" t="s">
        <v>160</v>
      </c>
      <c r="P626" s="0" t="s">
        <v>289</v>
      </c>
      <c r="Q626" s="0" t="s">
        <v>79</v>
      </c>
      <c r="R626" s="0" t="s">
        <v>290</v>
      </c>
      <c r="S626" s="0" t="s">
        <v>81</v>
      </c>
      <c r="T626" s="0" t="s">
        <v>82</v>
      </c>
    </row>
    <row r="627" customFormat="false" ht="15" hidden="false" customHeight="false" outlineLevel="0" collapsed="false">
      <c r="A627" s="0" t="str">
        <f aca="false">B627&amp;"|"&amp;C627&amp;"|"&amp;D627&amp;"|"&amp;E627&amp;"|"&amp;F627</f>
        <v>2.8+2506|FX|ct_category_member|Category 2|SEK</v>
      </c>
      <c r="B627" s="0" t="s">
        <v>286</v>
      </c>
      <c r="C627" s="0" t="s">
        <v>170</v>
      </c>
      <c r="D627" s="0" t="s">
        <v>215</v>
      </c>
      <c r="E627" s="0" t="s">
        <v>208</v>
      </c>
      <c r="F627" s="0" t="s">
        <v>106</v>
      </c>
      <c r="G627" s="0" t="n">
        <v>1</v>
      </c>
      <c r="H627" s="0" t="s">
        <v>99</v>
      </c>
      <c r="I627" s="0" t="s">
        <v>287</v>
      </c>
      <c r="J627" s="0" t="s">
        <v>286</v>
      </c>
      <c r="K627" s="0" t="s">
        <v>288</v>
      </c>
      <c r="L627" s="0" t="s">
        <v>205</v>
      </c>
      <c r="M627" s="0" t="s">
        <v>216</v>
      </c>
      <c r="N627" s="0" t="s">
        <v>217</v>
      </c>
      <c r="O627" s="0" t="s">
        <v>160</v>
      </c>
      <c r="P627" s="0" t="s">
        <v>289</v>
      </c>
      <c r="Q627" s="0" t="s">
        <v>79</v>
      </c>
      <c r="R627" s="0" t="s">
        <v>290</v>
      </c>
      <c r="S627" s="0" t="s">
        <v>81</v>
      </c>
      <c r="T627" s="0" t="s">
        <v>82</v>
      </c>
    </row>
    <row r="628" customFormat="false" ht="15" hidden="false" customHeight="false" outlineLevel="0" collapsed="false">
      <c r="A628" s="0" t="str">
        <f aca="false">B628&amp;"|"&amp;C628&amp;"|"&amp;D628&amp;"|"&amp;E628&amp;"|"&amp;F628</f>
        <v>2.8+2506|FX|ct_category_member|Category 2|SGD</v>
      </c>
      <c r="B628" s="0" t="s">
        <v>286</v>
      </c>
      <c r="C628" s="0" t="s">
        <v>170</v>
      </c>
      <c r="D628" s="0" t="s">
        <v>215</v>
      </c>
      <c r="E628" s="0" t="s">
        <v>208</v>
      </c>
      <c r="F628" s="0" t="s">
        <v>111</v>
      </c>
      <c r="G628" s="0" t="n">
        <v>1</v>
      </c>
      <c r="H628" s="0" t="s">
        <v>99</v>
      </c>
      <c r="I628" s="0" t="s">
        <v>287</v>
      </c>
      <c r="J628" s="0" t="s">
        <v>286</v>
      </c>
      <c r="K628" s="0" t="s">
        <v>288</v>
      </c>
      <c r="L628" s="0" t="s">
        <v>205</v>
      </c>
      <c r="M628" s="0" t="s">
        <v>216</v>
      </c>
      <c r="N628" s="0" t="s">
        <v>217</v>
      </c>
      <c r="O628" s="0" t="s">
        <v>160</v>
      </c>
      <c r="P628" s="0" t="s">
        <v>289</v>
      </c>
      <c r="Q628" s="0" t="s">
        <v>79</v>
      </c>
      <c r="R628" s="0" t="s">
        <v>290</v>
      </c>
      <c r="S628" s="0" t="s">
        <v>81</v>
      </c>
      <c r="T628" s="0" t="s">
        <v>82</v>
      </c>
    </row>
    <row r="629" customFormat="false" ht="15" hidden="false" customHeight="false" outlineLevel="0" collapsed="false">
      <c r="A629" s="0" t="str">
        <f aca="false">B629&amp;"|"&amp;C629&amp;"|"&amp;D629&amp;"|"&amp;E629&amp;"|"&amp;F629</f>
        <v>2.8+2506|FX|ct_category_member|Category 2|TRY</v>
      </c>
      <c r="B629" s="0" t="s">
        <v>286</v>
      </c>
      <c r="C629" s="0" t="s">
        <v>170</v>
      </c>
      <c r="D629" s="0" t="s">
        <v>215</v>
      </c>
      <c r="E629" s="0" t="s">
        <v>208</v>
      </c>
      <c r="F629" s="0" t="s">
        <v>222</v>
      </c>
      <c r="G629" s="0" t="n">
        <v>1</v>
      </c>
      <c r="H629" s="0" t="s">
        <v>99</v>
      </c>
      <c r="I629" s="0" t="s">
        <v>287</v>
      </c>
      <c r="J629" s="0" t="s">
        <v>286</v>
      </c>
      <c r="K629" s="0" t="s">
        <v>288</v>
      </c>
      <c r="L629" s="0" t="s">
        <v>205</v>
      </c>
      <c r="M629" s="0" t="s">
        <v>216</v>
      </c>
      <c r="N629" s="0" t="s">
        <v>217</v>
      </c>
      <c r="O629" s="0" t="s">
        <v>160</v>
      </c>
      <c r="P629" s="0" t="s">
        <v>289</v>
      </c>
      <c r="Q629" s="0" t="s">
        <v>79</v>
      </c>
      <c r="R629" s="0" t="s">
        <v>290</v>
      </c>
      <c r="S629" s="0" t="s">
        <v>81</v>
      </c>
      <c r="T629" s="0" t="s">
        <v>82</v>
      </c>
    </row>
    <row r="630" customFormat="false" ht="15" hidden="false" customHeight="false" outlineLevel="0" collapsed="false">
      <c r="A630" s="0" t="str">
        <f aca="false">B630&amp;"|"&amp;C630&amp;"|"&amp;D630&amp;"|"&amp;E630&amp;"|"&amp;F630</f>
        <v>2.8+2506|FX|ct_category_member|Category 2|ZAR</v>
      </c>
      <c r="B630" s="0" t="s">
        <v>286</v>
      </c>
      <c r="C630" s="0" t="s">
        <v>170</v>
      </c>
      <c r="D630" s="0" t="s">
        <v>215</v>
      </c>
      <c r="E630" s="0" t="s">
        <v>208</v>
      </c>
      <c r="F630" s="0" t="s">
        <v>223</v>
      </c>
      <c r="G630" s="0" t="n">
        <v>1</v>
      </c>
      <c r="H630" s="0" t="s">
        <v>99</v>
      </c>
      <c r="I630" s="0" t="s">
        <v>287</v>
      </c>
      <c r="J630" s="0" t="s">
        <v>286</v>
      </c>
      <c r="K630" s="0" t="s">
        <v>288</v>
      </c>
      <c r="L630" s="0" t="s">
        <v>205</v>
      </c>
      <c r="M630" s="0" t="s">
        <v>216</v>
      </c>
      <c r="N630" s="0" t="s">
        <v>217</v>
      </c>
      <c r="O630" s="0" t="s">
        <v>160</v>
      </c>
      <c r="P630" s="0" t="s">
        <v>289</v>
      </c>
      <c r="Q630" s="0" t="s">
        <v>79</v>
      </c>
      <c r="R630" s="0" t="s">
        <v>290</v>
      </c>
      <c r="S630" s="0" t="s">
        <v>81</v>
      </c>
      <c r="T630" s="0" t="s">
        <v>82</v>
      </c>
    </row>
    <row r="631" customFormat="false" ht="15" hidden="false" customHeight="false" outlineLevel="0" collapsed="false">
      <c r="A631" s="0" t="str">
        <f aca="false">B631&amp;"|"&amp;C631&amp;"|"&amp;D631&amp;"|"&amp;E631&amp;"|"&amp;F631</f>
        <v>2.8+2506|FX|ct_category_member|Category 3|ALL_OTHER</v>
      </c>
      <c r="B631" s="0" t="s">
        <v>286</v>
      </c>
      <c r="C631" s="0" t="s">
        <v>170</v>
      </c>
      <c r="D631" s="0" t="s">
        <v>215</v>
      </c>
      <c r="E631" s="0" t="s">
        <v>209</v>
      </c>
      <c r="F631" s="0" t="s">
        <v>115</v>
      </c>
      <c r="G631" s="0" t="n">
        <v>1</v>
      </c>
      <c r="H631" s="0" t="s">
        <v>99</v>
      </c>
      <c r="I631" s="0" t="s">
        <v>287</v>
      </c>
      <c r="J631" s="0" t="s">
        <v>286</v>
      </c>
      <c r="K631" s="0" t="s">
        <v>288</v>
      </c>
      <c r="L631" s="0" t="s">
        <v>205</v>
      </c>
      <c r="M631" s="0" t="s">
        <v>216</v>
      </c>
      <c r="N631" s="0" t="s">
        <v>169</v>
      </c>
      <c r="O631" s="0" t="s">
        <v>160</v>
      </c>
      <c r="P631" s="0" t="s">
        <v>289</v>
      </c>
      <c r="Q631" s="0" t="s">
        <v>79</v>
      </c>
      <c r="R631" s="0" t="s">
        <v>290</v>
      </c>
      <c r="S631" s="0" t="s">
        <v>81</v>
      </c>
      <c r="T631" s="0" t="s">
        <v>82</v>
      </c>
    </row>
    <row r="632" customFormat="false" ht="15" hidden="false" customHeight="false" outlineLevel="0" collapsed="false">
      <c r="A632" s="0" t="str">
        <f aca="false">B632&amp;"|"&amp;C632&amp;"|"&amp;D632&amp;"|"&amp;E632&amp;"|"&amp;F632</f>
        <v>2.8+2506|ALL|curvature_sf_example|2w|</v>
      </c>
      <c r="B632" s="0" t="s">
        <v>286</v>
      </c>
      <c r="C632" s="0" t="s">
        <v>224</v>
      </c>
      <c r="D632" s="0" t="s">
        <v>225</v>
      </c>
      <c r="E632" s="0" t="s">
        <v>24</v>
      </c>
      <c r="G632" s="0" t="n">
        <v>0.5</v>
      </c>
      <c r="H632" s="0" t="s">
        <v>119</v>
      </c>
      <c r="I632" s="0" t="s">
        <v>287</v>
      </c>
      <c r="J632" s="0" t="s">
        <v>286</v>
      </c>
      <c r="K632" s="0" t="s">
        <v>288</v>
      </c>
      <c r="L632" s="0" t="s">
        <v>226</v>
      </c>
      <c r="M632" s="0" t="s">
        <v>227</v>
      </c>
      <c r="N632" s="0" t="s">
        <v>228</v>
      </c>
      <c r="O632" s="0" t="s">
        <v>229</v>
      </c>
      <c r="P632" s="0" t="s">
        <v>289</v>
      </c>
      <c r="Q632" s="0" t="s">
        <v>79</v>
      </c>
      <c r="R632" s="0" t="s">
        <v>290</v>
      </c>
      <c r="S632" s="0" t="s">
        <v>81</v>
      </c>
      <c r="T632" s="0" t="s">
        <v>82</v>
      </c>
    </row>
    <row r="633" customFormat="false" ht="15" hidden="false" customHeight="false" outlineLevel="0" collapsed="false">
      <c r="A633" s="0" t="str">
        <f aca="false">B633&amp;"|"&amp;C633&amp;"|"&amp;D633&amp;"|"&amp;E633&amp;"|"&amp;F633</f>
        <v>2.8+2506|ALL|curvature_sf_example|1m|</v>
      </c>
      <c r="B633" s="0" t="s">
        <v>286</v>
      </c>
      <c r="C633" s="0" t="s">
        <v>224</v>
      </c>
      <c r="D633" s="0" t="s">
        <v>225</v>
      </c>
      <c r="E633" s="0" t="s">
        <v>25</v>
      </c>
      <c r="G633" s="0" t="n">
        <v>0.23</v>
      </c>
      <c r="H633" s="0" t="s">
        <v>119</v>
      </c>
      <c r="I633" s="0" t="s">
        <v>287</v>
      </c>
      <c r="J633" s="0" t="s">
        <v>286</v>
      </c>
      <c r="K633" s="0" t="s">
        <v>288</v>
      </c>
      <c r="L633" s="0" t="s">
        <v>226</v>
      </c>
      <c r="M633" s="0" t="s">
        <v>227</v>
      </c>
      <c r="N633" s="0" t="s">
        <v>228</v>
      </c>
      <c r="O633" s="0" t="s">
        <v>229</v>
      </c>
      <c r="P633" s="0" t="s">
        <v>289</v>
      </c>
      <c r="Q633" s="0" t="s">
        <v>79</v>
      </c>
      <c r="R633" s="0" t="s">
        <v>290</v>
      </c>
      <c r="S633" s="0" t="s">
        <v>81</v>
      </c>
      <c r="T633" s="0" t="s">
        <v>82</v>
      </c>
    </row>
    <row r="634" customFormat="false" ht="15" hidden="false" customHeight="false" outlineLevel="0" collapsed="false">
      <c r="A634" s="0" t="str">
        <f aca="false">B634&amp;"|"&amp;C634&amp;"|"&amp;D634&amp;"|"&amp;E634&amp;"|"&amp;F634</f>
        <v>2.8+2506|ALL|curvature_sf_example|3m|</v>
      </c>
      <c r="B634" s="0" t="s">
        <v>286</v>
      </c>
      <c r="C634" s="0" t="s">
        <v>224</v>
      </c>
      <c r="D634" s="0" t="s">
        <v>225</v>
      </c>
      <c r="E634" s="0" t="s">
        <v>26</v>
      </c>
      <c r="G634" s="0" t="n">
        <v>0.077</v>
      </c>
      <c r="H634" s="0" t="s">
        <v>119</v>
      </c>
      <c r="I634" s="0" t="s">
        <v>287</v>
      </c>
      <c r="J634" s="0" t="s">
        <v>286</v>
      </c>
      <c r="K634" s="0" t="s">
        <v>288</v>
      </c>
      <c r="L634" s="0" t="s">
        <v>226</v>
      </c>
      <c r="M634" s="0" t="s">
        <v>227</v>
      </c>
      <c r="N634" s="0" t="s">
        <v>228</v>
      </c>
      <c r="O634" s="0" t="s">
        <v>229</v>
      </c>
      <c r="P634" s="0" t="s">
        <v>289</v>
      </c>
      <c r="Q634" s="0" t="s">
        <v>79</v>
      </c>
      <c r="R634" s="0" t="s">
        <v>290</v>
      </c>
      <c r="S634" s="0" t="s">
        <v>81</v>
      </c>
      <c r="T634" s="0" t="s">
        <v>82</v>
      </c>
    </row>
    <row r="635" customFormat="false" ht="15" hidden="false" customHeight="false" outlineLevel="0" collapsed="false">
      <c r="A635" s="0" t="str">
        <f aca="false">B635&amp;"|"&amp;C635&amp;"|"&amp;D635&amp;"|"&amp;E635&amp;"|"&amp;F635</f>
        <v>2.8+2506|ALL|curvature_sf_example|6m|</v>
      </c>
      <c r="B635" s="0" t="s">
        <v>286</v>
      </c>
      <c r="C635" s="0" t="s">
        <v>224</v>
      </c>
      <c r="D635" s="0" t="s">
        <v>225</v>
      </c>
      <c r="E635" s="0" t="s">
        <v>27</v>
      </c>
      <c r="G635" s="0" t="n">
        <v>0.038</v>
      </c>
      <c r="H635" s="0" t="s">
        <v>119</v>
      </c>
      <c r="I635" s="0" t="s">
        <v>287</v>
      </c>
      <c r="J635" s="0" t="s">
        <v>286</v>
      </c>
      <c r="K635" s="0" t="s">
        <v>288</v>
      </c>
      <c r="L635" s="0" t="s">
        <v>226</v>
      </c>
      <c r="M635" s="0" t="s">
        <v>227</v>
      </c>
      <c r="N635" s="0" t="s">
        <v>228</v>
      </c>
      <c r="O635" s="0" t="s">
        <v>229</v>
      </c>
      <c r="P635" s="0" t="s">
        <v>289</v>
      </c>
      <c r="Q635" s="0" t="s">
        <v>79</v>
      </c>
      <c r="R635" s="0" t="s">
        <v>290</v>
      </c>
      <c r="S635" s="0" t="s">
        <v>81</v>
      </c>
      <c r="T635" s="0" t="s">
        <v>82</v>
      </c>
    </row>
    <row r="636" customFormat="false" ht="15" hidden="false" customHeight="false" outlineLevel="0" collapsed="false">
      <c r="A636" s="0" t="str">
        <f aca="false">B636&amp;"|"&amp;C636&amp;"|"&amp;D636&amp;"|"&amp;E636&amp;"|"&amp;F636</f>
        <v>2.8+2506|ALL|curvature_sf_example|12m|</v>
      </c>
      <c r="B636" s="0" t="s">
        <v>286</v>
      </c>
      <c r="C636" s="0" t="s">
        <v>224</v>
      </c>
      <c r="D636" s="0" t="s">
        <v>225</v>
      </c>
      <c r="E636" s="0" t="s">
        <v>230</v>
      </c>
      <c r="G636" s="0" t="n">
        <v>0.019</v>
      </c>
      <c r="H636" s="0" t="s">
        <v>119</v>
      </c>
      <c r="I636" s="0" t="s">
        <v>287</v>
      </c>
      <c r="J636" s="0" t="s">
        <v>286</v>
      </c>
      <c r="K636" s="0" t="s">
        <v>288</v>
      </c>
      <c r="L636" s="0" t="s">
        <v>226</v>
      </c>
      <c r="M636" s="0" t="s">
        <v>227</v>
      </c>
      <c r="N636" s="0" t="s">
        <v>228</v>
      </c>
      <c r="O636" s="0" t="s">
        <v>229</v>
      </c>
      <c r="P636" s="0" t="s">
        <v>289</v>
      </c>
      <c r="Q636" s="0" t="s">
        <v>79</v>
      </c>
      <c r="R636" s="0" t="s">
        <v>290</v>
      </c>
      <c r="S636" s="0" t="s">
        <v>81</v>
      </c>
      <c r="T636" s="0" t="s">
        <v>82</v>
      </c>
    </row>
    <row r="637" customFormat="false" ht="15" hidden="false" customHeight="false" outlineLevel="0" collapsed="false">
      <c r="A637" s="0" t="str">
        <f aca="false">B637&amp;"|"&amp;C637&amp;"|"&amp;D637&amp;"|"&amp;E637&amp;"|"&amp;F637</f>
        <v>2.8+2506|ALL|curvature_sf_example|2y|</v>
      </c>
      <c r="B637" s="0" t="s">
        <v>286</v>
      </c>
      <c r="C637" s="0" t="s">
        <v>224</v>
      </c>
      <c r="D637" s="0" t="s">
        <v>225</v>
      </c>
      <c r="E637" s="0" t="s">
        <v>29</v>
      </c>
      <c r="G637" s="0" t="n">
        <v>0.01</v>
      </c>
      <c r="H637" s="0" t="s">
        <v>119</v>
      </c>
      <c r="I637" s="0" t="s">
        <v>287</v>
      </c>
      <c r="J637" s="0" t="s">
        <v>286</v>
      </c>
      <c r="K637" s="0" t="s">
        <v>288</v>
      </c>
      <c r="L637" s="0" t="s">
        <v>226</v>
      </c>
      <c r="M637" s="0" t="s">
        <v>227</v>
      </c>
      <c r="N637" s="0" t="s">
        <v>228</v>
      </c>
      <c r="O637" s="0" t="s">
        <v>229</v>
      </c>
      <c r="P637" s="0" t="s">
        <v>289</v>
      </c>
      <c r="Q637" s="0" t="s">
        <v>79</v>
      </c>
      <c r="R637" s="0" t="s">
        <v>290</v>
      </c>
      <c r="S637" s="0" t="s">
        <v>81</v>
      </c>
      <c r="T637" s="0" t="s">
        <v>82</v>
      </c>
    </row>
    <row r="638" customFormat="false" ht="15" hidden="false" customHeight="false" outlineLevel="0" collapsed="false">
      <c r="A638" s="0" t="str">
        <f aca="false">B638&amp;"|"&amp;C638&amp;"|"&amp;D638&amp;"|"&amp;E638&amp;"|"&amp;F638</f>
        <v>2.8+2506|ALL|curvature_sf_example|3y|</v>
      </c>
      <c r="B638" s="0" t="s">
        <v>286</v>
      </c>
      <c r="C638" s="0" t="s">
        <v>224</v>
      </c>
      <c r="D638" s="0" t="s">
        <v>225</v>
      </c>
      <c r="E638" s="0" t="s">
        <v>30</v>
      </c>
      <c r="G638" s="0" t="n">
        <v>0.006</v>
      </c>
      <c r="H638" s="0" t="s">
        <v>119</v>
      </c>
      <c r="I638" s="0" t="s">
        <v>287</v>
      </c>
      <c r="J638" s="0" t="s">
        <v>286</v>
      </c>
      <c r="K638" s="0" t="s">
        <v>288</v>
      </c>
      <c r="L638" s="0" t="s">
        <v>226</v>
      </c>
      <c r="M638" s="0" t="s">
        <v>227</v>
      </c>
      <c r="N638" s="0" t="s">
        <v>228</v>
      </c>
      <c r="O638" s="0" t="s">
        <v>229</v>
      </c>
      <c r="P638" s="0" t="s">
        <v>289</v>
      </c>
      <c r="Q638" s="0" t="s">
        <v>79</v>
      </c>
      <c r="R638" s="0" t="s">
        <v>290</v>
      </c>
      <c r="S638" s="0" t="s">
        <v>81</v>
      </c>
      <c r="T638" s="0" t="s">
        <v>82</v>
      </c>
    </row>
    <row r="639" customFormat="false" ht="15" hidden="false" customHeight="false" outlineLevel="0" collapsed="false">
      <c r="A639" s="0" t="str">
        <f aca="false">B639&amp;"|"&amp;C639&amp;"|"&amp;D639&amp;"|"&amp;E639&amp;"|"&amp;F639</f>
        <v>2.8+2506|ALL|curvature_sf_example|5y|</v>
      </c>
      <c r="B639" s="0" t="s">
        <v>286</v>
      </c>
      <c r="C639" s="0" t="s">
        <v>224</v>
      </c>
      <c r="D639" s="0" t="s">
        <v>225</v>
      </c>
      <c r="E639" s="0" t="s">
        <v>31</v>
      </c>
      <c r="G639" s="0" t="n">
        <v>0.004</v>
      </c>
      <c r="H639" s="0" t="s">
        <v>119</v>
      </c>
      <c r="I639" s="0" t="s">
        <v>287</v>
      </c>
      <c r="J639" s="0" t="s">
        <v>286</v>
      </c>
      <c r="K639" s="0" t="s">
        <v>288</v>
      </c>
      <c r="L639" s="0" t="s">
        <v>226</v>
      </c>
      <c r="M639" s="0" t="s">
        <v>227</v>
      </c>
      <c r="N639" s="0" t="s">
        <v>228</v>
      </c>
      <c r="O639" s="0" t="s">
        <v>229</v>
      </c>
      <c r="P639" s="0" t="s">
        <v>289</v>
      </c>
      <c r="Q639" s="0" t="s">
        <v>79</v>
      </c>
      <c r="R639" s="0" t="s">
        <v>290</v>
      </c>
      <c r="S639" s="0" t="s">
        <v>81</v>
      </c>
      <c r="T639" s="0" t="s">
        <v>82</v>
      </c>
    </row>
    <row r="640" customFormat="false" ht="15" hidden="false" customHeight="false" outlineLevel="0" collapsed="false">
      <c r="A640" s="0" t="str">
        <f aca="false">B640&amp;"|"&amp;C640&amp;"|"&amp;D640&amp;"|"&amp;E640&amp;"|"&amp;F640</f>
        <v>2.8+2506|ALL|curvature_sf_example|10y|</v>
      </c>
      <c r="B640" s="0" t="s">
        <v>286</v>
      </c>
      <c r="C640" s="0" t="s">
        <v>224</v>
      </c>
      <c r="D640" s="0" t="s">
        <v>225</v>
      </c>
      <c r="E640" s="0" t="s">
        <v>32</v>
      </c>
      <c r="G640" s="0" t="n">
        <v>0.002</v>
      </c>
      <c r="H640" s="0" t="s">
        <v>119</v>
      </c>
      <c r="I640" s="0" t="s">
        <v>287</v>
      </c>
      <c r="J640" s="0" t="s">
        <v>286</v>
      </c>
      <c r="K640" s="0" t="s">
        <v>288</v>
      </c>
      <c r="L640" s="0" t="s">
        <v>226</v>
      </c>
      <c r="M640" s="0" t="s">
        <v>227</v>
      </c>
      <c r="N640" s="0" t="s">
        <v>228</v>
      </c>
      <c r="O640" s="0" t="s">
        <v>229</v>
      </c>
      <c r="P640" s="0" t="s">
        <v>289</v>
      </c>
      <c r="Q640" s="0" t="s">
        <v>79</v>
      </c>
      <c r="R640" s="0" t="s">
        <v>290</v>
      </c>
      <c r="S640" s="0" t="s">
        <v>81</v>
      </c>
      <c r="T640" s="0" t="s">
        <v>82</v>
      </c>
    </row>
    <row r="641" customFormat="false" ht="15" hidden="false" customHeight="false" outlineLevel="0" collapsed="false">
      <c r="A641" s="0" t="str">
        <f aca="false">B641&amp;"|"&amp;C641&amp;"|"&amp;D641&amp;"|"&amp;E641&amp;"|"&amp;F641</f>
        <v>2.8+2506|ALL|curvature_sf_scale||</v>
      </c>
      <c r="B641" s="0" t="s">
        <v>286</v>
      </c>
      <c r="C641" s="0" t="s">
        <v>224</v>
      </c>
      <c r="D641" s="0" t="s">
        <v>231</v>
      </c>
      <c r="G641" s="0" t="n">
        <v>0.5</v>
      </c>
      <c r="H641" s="0" t="s">
        <v>119</v>
      </c>
      <c r="I641" s="0" t="s">
        <v>287</v>
      </c>
      <c r="J641" s="0" t="s">
        <v>286</v>
      </c>
      <c r="K641" s="0" t="s">
        <v>288</v>
      </c>
      <c r="L641" s="0" t="s">
        <v>226</v>
      </c>
      <c r="M641" s="0" t="s">
        <v>227</v>
      </c>
      <c r="N641" s="0" t="s">
        <v>232</v>
      </c>
      <c r="O641" s="0" t="s">
        <v>229</v>
      </c>
      <c r="P641" s="0" t="s">
        <v>289</v>
      </c>
      <c r="Q641" s="0" t="s">
        <v>79</v>
      </c>
      <c r="R641" s="0" t="s">
        <v>290</v>
      </c>
      <c r="S641" s="0" t="s">
        <v>81</v>
      </c>
      <c r="T641" s="0" t="s">
        <v>82</v>
      </c>
    </row>
    <row r="642" customFormat="false" ht="15" hidden="false" customHeight="false" outlineLevel="0" collapsed="false">
      <c r="A642" s="0" t="str">
        <f aca="false">B642&amp;"|"&amp;C642&amp;"|"&amp;D642&amp;"|"&amp;E642&amp;"|"&amp;F642</f>
        <v>2.8+2506|ALL|curvature_sf_ref_days||</v>
      </c>
      <c r="B642" s="0" t="s">
        <v>286</v>
      </c>
      <c r="C642" s="0" t="s">
        <v>224</v>
      </c>
      <c r="D642" s="0" t="s">
        <v>233</v>
      </c>
      <c r="G642" s="0" t="n">
        <v>14</v>
      </c>
      <c r="H642" s="0" t="s">
        <v>234</v>
      </c>
      <c r="I642" s="0" t="s">
        <v>287</v>
      </c>
      <c r="J642" s="0" t="s">
        <v>286</v>
      </c>
      <c r="K642" s="0" t="s">
        <v>288</v>
      </c>
      <c r="L642" s="0" t="s">
        <v>226</v>
      </c>
      <c r="M642" s="0" t="s">
        <v>227</v>
      </c>
      <c r="N642" s="0" t="s">
        <v>232</v>
      </c>
      <c r="O642" s="0" t="s">
        <v>229</v>
      </c>
      <c r="P642" s="0" t="s">
        <v>289</v>
      </c>
      <c r="Q642" s="0" t="s">
        <v>79</v>
      </c>
      <c r="R642" s="0" t="s">
        <v>290</v>
      </c>
      <c r="S642" s="0" t="s">
        <v>81</v>
      </c>
      <c r="T642" s="0" t="s">
        <v>82</v>
      </c>
    </row>
    <row r="643" customFormat="false" ht="15" hidden="false" customHeight="false" outlineLevel="0" collapsed="false">
      <c r="A643" s="0" t="str">
        <f aca="false">B643&amp;"|"&amp;C643&amp;"|"&amp;D643&amp;"|"&amp;E643&amp;"|"&amp;F643</f>
        <v>2.8+2506|ALL|tenor_days_per_year||</v>
      </c>
      <c r="B643" s="0" t="s">
        <v>286</v>
      </c>
      <c r="C643" s="0" t="s">
        <v>224</v>
      </c>
      <c r="D643" s="0" t="s">
        <v>235</v>
      </c>
      <c r="G643" s="0" t="n">
        <v>365</v>
      </c>
      <c r="H643" s="0" t="s">
        <v>234</v>
      </c>
      <c r="I643" s="0" t="s">
        <v>287</v>
      </c>
      <c r="J643" s="0" t="s">
        <v>286</v>
      </c>
      <c r="K643" s="0" t="s">
        <v>288</v>
      </c>
      <c r="L643" s="0" t="s">
        <v>226</v>
      </c>
      <c r="M643" s="0" t="s">
        <v>227</v>
      </c>
      <c r="N643" s="0" t="s">
        <v>236</v>
      </c>
      <c r="O643" s="0" t="s">
        <v>229</v>
      </c>
      <c r="P643" s="0" t="s">
        <v>289</v>
      </c>
      <c r="Q643" s="0" t="s">
        <v>79</v>
      </c>
      <c r="R643" s="0" t="s">
        <v>290</v>
      </c>
      <c r="S643" s="0" t="s">
        <v>81</v>
      </c>
      <c r="T643" s="0" t="s">
        <v>82</v>
      </c>
    </row>
    <row r="644" customFormat="false" ht="15" hidden="false" customHeight="false" outlineLevel="0" collapsed="false">
      <c r="A644" s="0" t="str">
        <f aca="false">B644&amp;"|"&amp;C644&amp;"|"&amp;D644&amp;"|"&amp;E644&amp;"|"&amp;F644</f>
        <v>2.8+2506|ALL|curvature_lambda_quantile||</v>
      </c>
      <c r="B644" s="0" t="s">
        <v>286</v>
      </c>
      <c r="C644" s="0" t="s">
        <v>224</v>
      </c>
      <c r="D644" s="0" t="s">
        <v>237</v>
      </c>
      <c r="G644" s="0" t="n">
        <v>0.995</v>
      </c>
      <c r="H644" s="0" t="s">
        <v>119</v>
      </c>
      <c r="I644" s="0" t="s">
        <v>287</v>
      </c>
      <c r="J644" s="0" t="s">
        <v>286</v>
      </c>
      <c r="K644" s="0" t="s">
        <v>288</v>
      </c>
      <c r="L644" s="0" t="s">
        <v>226</v>
      </c>
      <c r="M644" s="0" t="s">
        <v>238</v>
      </c>
      <c r="N644" s="0" t="s">
        <v>239</v>
      </c>
      <c r="O644" s="0" t="s">
        <v>229</v>
      </c>
      <c r="P644" s="0" t="s">
        <v>289</v>
      </c>
      <c r="Q644" s="0" t="s">
        <v>79</v>
      </c>
      <c r="R644" s="0" t="s">
        <v>290</v>
      </c>
      <c r="S644" s="0" t="s">
        <v>81</v>
      </c>
      <c r="T644" s="0" t="s">
        <v>82</v>
      </c>
    </row>
    <row r="645" customFormat="false" ht="15" hidden="false" customHeight="false" outlineLevel="0" collapsed="false">
      <c r="A645" s="0" t="str">
        <f aca="false">B645&amp;"|"&amp;C645&amp;"|"&amp;D645&amp;"|"&amp;E645&amp;"|"&amp;F645</f>
        <v>2.8+2506|IR|curvature_hvr_exponent||</v>
      </c>
      <c r="B645" s="0" t="s">
        <v>286</v>
      </c>
      <c r="C645" s="0" t="s">
        <v>68</v>
      </c>
      <c r="D645" s="0" t="s">
        <v>240</v>
      </c>
      <c r="G645" s="0" t="n">
        <v>-2</v>
      </c>
      <c r="H645" s="0" t="s">
        <v>241</v>
      </c>
      <c r="I645" s="0" t="s">
        <v>287</v>
      </c>
      <c r="J645" s="0" t="s">
        <v>286</v>
      </c>
      <c r="K645" s="0" t="s">
        <v>288</v>
      </c>
      <c r="L645" s="0" t="s">
        <v>226</v>
      </c>
      <c r="M645" s="0" t="s">
        <v>238</v>
      </c>
      <c r="N645" s="0" t="s">
        <v>242</v>
      </c>
      <c r="O645" s="0" t="s">
        <v>243</v>
      </c>
      <c r="P645" s="0" t="s">
        <v>289</v>
      </c>
      <c r="Q645" s="0" t="s">
        <v>79</v>
      </c>
      <c r="R645" s="0" t="s">
        <v>290</v>
      </c>
      <c r="S645" s="0" t="s">
        <v>81</v>
      </c>
      <c r="T645" s="0" t="s">
        <v>82</v>
      </c>
    </row>
    <row r="646" customFormat="false" ht="15" hidden="false" customHeight="false" outlineLevel="0" collapsed="false">
      <c r="A646" s="0" t="str">
        <f aca="false">B646&amp;"|"&amp;C646&amp;"|"&amp;D646&amp;"|"&amp;E646&amp;"|"&amp;F646</f>
        <v>2.8+2506|ALL|vega_sigma_days_numerator||</v>
      </c>
      <c r="B646" s="0" t="s">
        <v>286</v>
      </c>
      <c r="C646" s="0" t="s">
        <v>224</v>
      </c>
      <c r="D646" s="0" t="s">
        <v>244</v>
      </c>
      <c r="G646" s="0" t="n">
        <v>365</v>
      </c>
      <c r="H646" s="0" t="s">
        <v>234</v>
      </c>
      <c r="I646" s="0" t="s">
        <v>287</v>
      </c>
      <c r="J646" s="0" t="s">
        <v>286</v>
      </c>
      <c r="K646" s="0" t="s">
        <v>288</v>
      </c>
      <c r="L646" s="0" t="s">
        <v>226</v>
      </c>
      <c r="M646" s="0" t="s">
        <v>245</v>
      </c>
      <c r="N646" s="0" t="s">
        <v>246</v>
      </c>
      <c r="O646" s="0" t="s">
        <v>247</v>
      </c>
      <c r="P646" s="0" t="s">
        <v>289</v>
      </c>
      <c r="Q646" s="0" t="s">
        <v>79</v>
      </c>
      <c r="R646" s="0" t="s">
        <v>290</v>
      </c>
      <c r="S646" s="0" t="s">
        <v>81</v>
      </c>
      <c r="T646" s="0" t="s">
        <v>82</v>
      </c>
    </row>
    <row r="647" customFormat="false" ht="15" hidden="false" customHeight="false" outlineLevel="0" collapsed="false">
      <c r="A647" s="0" t="str">
        <f aca="false">B647&amp;"|"&amp;C647&amp;"|"&amp;D647&amp;"|"&amp;E647&amp;"|"&amp;F647</f>
        <v>2.8+2506|ALL|vega_sigma_days_denominator||</v>
      </c>
      <c r="B647" s="0" t="s">
        <v>286</v>
      </c>
      <c r="C647" s="0" t="s">
        <v>224</v>
      </c>
      <c r="D647" s="0" t="s">
        <v>248</v>
      </c>
      <c r="G647" s="0" t="n">
        <v>14</v>
      </c>
      <c r="H647" s="0" t="s">
        <v>234</v>
      </c>
      <c r="I647" s="0" t="s">
        <v>287</v>
      </c>
      <c r="J647" s="0" t="s">
        <v>286</v>
      </c>
      <c r="K647" s="0" t="s">
        <v>288</v>
      </c>
      <c r="L647" s="0" t="s">
        <v>226</v>
      </c>
      <c r="M647" s="0" t="s">
        <v>245</v>
      </c>
      <c r="N647" s="0" t="s">
        <v>249</v>
      </c>
      <c r="O647" s="0" t="s">
        <v>247</v>
      </c>
      <c r="P647" s="0" t="s">
        <v>289</v>
      </c>
      <c r="Q647" s="0" t="s">
        <v>79</v>
      </c>
      <c r="R647" s="0" t="s">
        <v>290</v>
      </c>
      <c r="S647" s="0" t="s">
        <v>81</v>
      </c>
      <c r="T647" s="0" t="s">
        <v>82</v>
      </c>
    </row>
    <row r="648" customFormat="false" ht="15" hidden="false" customHeight="false" outlineLevel="0" collapsed="false">
      <c r="A648" s="0" t="str">
        <f aca="false">B648&amp;"|"&amp;C648&amp;"|"&amp;D648&amp;"|"&amp;E648&amp;"|"&amp;F648</f>
        <v>2.8+2506|ALL|vega_sigma_quantile||</v>
      </c>
      <c r="B648" s="0" t="s">
        <v>286</v>
      </c>
      <c r="C648" s="0" t="s">
        <v>224</v>
      </c>
      <c r="D648" s="0" t="s">
        <v>250</v>
      </c>
      <c r="G648" s="0" t="n">
        <v>0.99</v>
      </c>
      <c r="H648" s="0" t="s">
        <v>119</v>
      </c>
      <c r="I648" s="0" t="s">
        <v>287</v>
      </c>
      <c r="J648" s="0" t="s">
        <v>286</v>
      </c>
      <c r="K648" s="0" t="s">
        <v>288</v>
      </c>
      <c r="L648" s="0" t="s">
        <v>226</v>
      </c>
      <c r="M648" s="0" t="s">
        <v>245</v>
      </c>
      <c r="N648" s="0" t="s">
        <v>251</v>
      </c>
      <c r="O648" s="0" t="s">
        <v>247</v>
      </c>
      <c r="P648" s="0" t="s">
        <v>289</v>
      </c>
      <c r="Q648" s="0" t="s">
        <v>79</v>
      </c>
      <c r="R648" s="0" t="s">
        <v>290</v>
      </c>
      <c r="S648" s="0" t="s">
        <v>81</v>
      </c>
      <c r="T648" s="0" t="s">
        <v>82</v>
      </c>
    </row>
    <row r="649" customFormat="false" ht="15" hidden="false" customHeight="false" outlineLevel="0" collapsed="false">
      <c r="A649" s="0" t="str">
        <f aca="false">B649&amp;"|"&amp;C649&amp;"|"&amp;D649&amp;"|"&amp;E649&amp;"|"&amp;F649</f>
        <v>2.8+2506|ALL|concentration_exponent||</v>
      </c>
      <c r="B649" s="0" t="s">
        <v>286</v>
      </c>
      <c r="C649" s="0" t="s">
        <v>224</v>
      </c>
      <c r="D649" s="0" t="s">
        <v>252</v>
      </c>
      <c r="G649" s="0" t="n">
        <v>0.5</v>
      </c>
      <c r="H649" s="0" t="s">
        <v>241</v>
      </c>
      <c r="I649" s="0" t="s">
        <v>287</v>
      </c>
      <c r="J649" s="0" t="s">
        <v>286</v>
      </c>
      <c r="K649" s="0" t="s">
        <v>288</v>
      </c>
      <c r="L649" s="0" t="s">
        <v>226</v>
      </c>
      <c r="M649" s="0" t="s">
        <v>253</v>
      </c>
      <c r="N649" s="0" t="s">
        <v>254</v>
      </c>
      <c r="O649" s="0" t="s">
        <v>255</v>
      </c>
      <c r="P649" s="0" t="s">
        <v>289</v>
      </c>
      <c r="Q649" s="0" t="s">
        <v>79</v>
      </c>
      <c r="R649" s="0" t="s">
        <v>290</v>
      </c>
      <c r="S649" s="0" t="s">
        <v>81</v>
      </c>
      <c r="T649" s="0" t="s">
        <v>82</v>
      </c>
    </row>
    <row r="650" customFormat="false" ht="15" hidden="false" customHeight="false" outlineLevel="0" collapsed="false">
      <c r="A650" s="0" t="str">
        <f aca="false">B650&amp;"|"&amp;C650&amp;"|"&amp;D650&amp;"|"&amp;E650&amp;"|"&amp;F650</f>
        <v>2.8+2506|ALL|psi|IR|IR</v>
      </c>
      <c r="B650" s="0" t="s">
        <v>286</v>
      </c>
      <c r="C650" s="0" t="s">
        <v>224</v>
      </c>
      <c r="D650" s="0" t="s">
        <v>256</v>
      </c>
      <c r="E650" s="0" t="s">
        <v>68</v>
      </c>
      <c r="F650" s="0" t="s">
        <v>68</v>
      </c>
      <c r="G650" s="0" t="n">
        <v>1</v>
      </c>
      <c r="H650" s="0" t="s">
        <v>119</v>
      </c>
      <c r="I650" s="0" t="s">
        <v>287</v>
      </c>
      <c r="J650" s="0" t="s">
        <v>286</v>
      </c>
      <c r="K650" s="0" t="s">
        <v>288</v>
      </c>
      <c r="L650" s="0" t="s">
        <v>257</v>
      </c>
      <c r="M650" s="0" t="s">
        <v>258</v>
      </c>
      <c r="N650" s="0" t="s">
        <v>259</v>
      </c>
      <c r="O650" s="0" t="s">
        <v>260</v>
      </c>
      <c r="P650" s="0" t="s">
        <v>289</v>
      </c>
      <c r="Q650" s="0" t="s">
        <v>79</v>
      </c>
      <c r="R650" s="0" t="s">
        <v>290</v>
      </c>
      <c r="S650" s="0" t="s">
        <v>81</v>
      </c>
      <c r="T650" s="0" t="s">
        <v>123</v>
      </c>
    </row>
    <row r="651" customFormat="false" ht="15" hidden="false" customHeight="false" outlineLevel="0" collapsed="false">
      <c r="A651" s="0" t="str">
        <f aca="false">B651&amp;"|"&amp;C651&amp;"|"&amp;D651&amp;"|"&amp;E651&amp;"|"&amp;F651</f>
        <v>2.8+2506|ALL|psi|IR|CreditQ</v>
      </c>
      <c r="B651" s="0" t="s">
        <v>286</v>
      </c>
      <c r="C651" s="0" t="s">
        <v>224</v>
      </c>
      <c r="D651" s="0" t="s">
        <v>256</v>
      </c>
      <c r="E651" s="0" t="s">
        <v>68</v>
      </c>
      <c r="F651" s="0" t="s">
        <v>261</v>
      </c>
      <c r="G651" s="0" t="n">
        <v>0.1</v>
      </c>
      <c r="H651" s="0" t="s">
        <v>119</v>
      </c>
      <c r="I651" s="0" t="s">
        <v>287</v>
      </c>
      <c r="J651" s="0" t="s">
        <v>286</v>
      </c>
      <c r="K651" s="0" t="s">
        <v>288</v>
      </c>
      <c r="L651" s="0" t="s">
        <v>257</v>
      </c>
      <c r="M651" s="0" t="s">
        <v>258</v>
      </c>
      <c r="N651" s="0" t="s">
        <v>259</v>
      </c>
      <c r="O651" s="0" t="s">
        <v>260</v>
      </c>
      <c r="P651" s="0" t="s">
        <v>289</v>
      </c>
      <c r="Q651" s="0" t="s">
        <v>79</v>
      </c>
      <c r="R651" s="0" t="s">
        <v>290</v>
      </c>
      <c r="S651" s="0" t="s">
        <v>81</v>
      </c>
      <c r="T651" s="0" t="s">
        <v>82</v>
      </c>
    </row>
    <row r="652" customFormat="false" ht="15" hidden="false" customHeight="false" outlineLevel="0" collapsed="false">
      <c r="A652" s="0" t="str">
        <f aca="false">B652&amp;"|"&amp;C652&amp;"|"&amp;D652&amp;"|"&amp;E652&amp;"|"&amp;F652</f>
        <v>2.8+2506|ALL|psi|IR|CreditNonQ</v>
      </c>
      <c r="B652" s="0" t="s">
        <v>286</v>
      </c>
      <c r="C652" s="0" t="s">
        <v>224</v>
      </c>
      <c r="D652" s="0" t="s">
        <v>256</v>
      </c>
      <c r="E652" s="0" t="s">
        <v>68</v>
      </c>
      <c r="F652" s="0" t="s">
        <v>262</v>
      </c>
      <c r="G652" s="0" t="n">
        <v>0.14</v>
      </c>
      <c r="H652" s="0" t="s">
        <v>119</v>
      </c>
      <c r="I652" s="0" t="s">
        <v>287</v>
      </c>
      <c r="J652" s="0" t="s">
        <v>286</v>
      </c>
      <c r="K652" s="0" t="s">
        <v>288</v>
      </c>
      <c r="L652" s="0" t="s">
        <v>257</v>
      </c>
      <c r="M652" s="0" t="s">
        <v>258</v>
      </c>
      <c r="N652" s="0" t="s">
        <v>259</v>
      </c>
      <c r="O652" s="0" t="s">
        <v>260</v>
      </c>
      <c r="P652" s="0" t="s">
        <v>289</v>
      </c>
      <c r="Q652" s="0" t="s">
        <v>79</v>
      </c>
      <c r="R652" s="0" t="s">
        <v>290</v>
      </c>
      <c r="S652" s="0" t="s">
        <v>81</v>
      </c>
      <c r="T652" s="0" t="s">
        <v>82</v>
      </c>
    </row>
    <row r="653" customFormat="false" ht="15" hidden="false" customHeight="false" outlineLevel="0" collapsed="false">
      <c r="A653" s="0" t="str">
        <f aca="false">B653&amp;"|"&amp;C653&amp;"|"&amp;D653&amp;"|"&amp;E653&amp;"|"&amp;F653</f>
        <v>2.8+2506|ALL|psi|IR|Equity</v>
      </c>
      <c r="B653" s="0" t="s">
        <v>286</v>
      </c>
      <c r="C653" s="0" t="s">
        <v>224</v>
      </c>
      <c r="D653" s="0" t="s">
        <v>256</v>
      </c>
      <c r="E653" s="0" t="s">
        <v>68</v>
      </c>
      <c r="F653" s="0" t="s">
        <v>263</v>
      </c>
      <c r="G653" s="0" t="n">
        <v>0.12</v>
      </c>
      <c r="H653" s="0" t="s">
        <v>119</v>
      </c>
      <c r="I653" s="0" t="s">
        <v>287</v>
      </c>
      <c r="J653" s="0" t="s">
        <v>286</v>
      </c>
      <c r="K653" s="0" t="s">
        <v>288</v>
      </c>
      <c r="L653" s="0" t="s">
        <v>257</v>
      </c>
      <c r="M653" s="0" t="s">
        <v>258</v>
      </c>
      <c r="N653" s="0" t="s">
        <v>259</v>
      </c>
      <c r="O653" s="0" t="s">
        <v>260</v>
      </c>
      <c r="P653" s="0" t="s">
        <v>289</v>
      </c>
      <c r="Q653" s="0" t="s">
        <v>79</v>
      </c>
      <c r="R653" s="0" t="s">
        <v>290</v>
      </c>
      <c r="S653" s="0" t="s">
        <v>81</v>
      </c>
      <c r="T653" s="0" t="s">
        <v>82</v>
      </c>
    </row>
    <row r="654" customFormat="false" ht="15" hidden="false" customHeight="false" outlineLevel="0" collapsed="false">
      <c r="A654" s="0" t="str">
        <f aca="false">B654&amp;"|"&amp;C654&amp;"|"&amp;D654&amp;"|"&amp;E654&amp;"|"&amp;F654</f>
        <v>2.8+2506|ALL|psi|IR|Commodity</v>
      </c>
      <c r="B654" s="0" t="s">
        <v>286</v>
      </c>
      <c r="C654" s="0" t="s">
        <v>224</v>
      </c>
      <c r="D654" s="0" t="s">
        <v>256</v>
      </c>
      <c r="E654" s="0" t="s">
        <v>68</v>
      </c>
      <c r="F654" s="0" t="s">
        <v>264</v>
      </c>
      <c r="G654" s="0" t="n">
        <v>0.3</v>
      </c>
      <c r="H654" s="0" t="s">
        <v>119</v>
      </c>
      <c r="I654" s="0" t="s">
        <v>287</v>
      </c>
      <c r="J654" s="0" t="s">
        <v>286</v>
      </c>
      <c r="K654" s="0" t="s">
        <v>288</v>
      </c>
      <c r="L654" s="0" t="s">
        <v>257</v>
      </c>
      <c r="M654" s="0" t="s">
        <v>258</v>
      </c>
      <c r="N654" s="0" t="s">
        <v>259</v>
      </c>
      <c r="O654" s="0" t="s">
        <v>260</v>
      </c>
      <c r="P654" s="0" t="s">
        <v>289</v>
      </c>
      <c r="Q654" s="0" t="s">
        <v>79</v>
      </c>
      <c r="R654" s="0" t="s">
        <v>290</v>
      </c>
      <c r="S654" s="0" t="s">
        <v>81</v>
      </c>
      <c r="T654" s="0" t="s">
        <v>82</v>
      </c>
    </row>
    <row r="655" customFormat="false" ht="15" hidden="false" customHeight="false" outlineLevel="0" collapsed="false">
      <c r="A655" s="0" t="str">
        <f aca="false">B655&amp;"|"&amp;C655&amp;"|"&amp;D655&amp;"|"&amp;E655&amp;"|"&amp;F655</f>
        <v>2.8+2506|ALL|psi|IR|FX</v>
      </c>
      <c r="B655" s="0" t="s">
        <v>286</v>
      </c>
      <c r="C655" s="0" t="s">
        <v>224</v>
      </c>
      <c r="D655" s="0" t="s">
        <v>256</v>
      </c>
      <c r="E655" s="0" t="s">
        <v>68</v>
      </c>
      <c r="F655" s="0" t="s">
        <v>170</v>
      </c>
      <c r="G655" s="0" t="n">
        <v>0.1</v>
      </c>
      <c r="H655" s="0" t="s">
        <v>119</v>
      </c>
      <c r="I655" s="0" t="s">
        <v>287</v>
      </c>
      <c r="J655" s="0" t="s">
        <v>286</v>
      </c>
      <c r="K655" s="0" t="s">
        <v>288</v>
      </c>
      <c r="L655" s="0" t="s">
        <v>257</v>
      </c>
      <c r="M655" s="0" t="s">
        <v>258</v>
      </c>
      <c r="N655" s="0" t="s">
        <v>259</v>
      </c>
      <c r="O655" s="0" t="s">
        <v>260</v>
      </c>
      <c r="P655" s="0" t="s">
        <v>289</v>
      </c>
      <c r="Q655" s="0" t="s">
        <v>79</v>
      </c>
      <c r="R655" s="0" t="s">
        <v>290</v>
      </c>
      <c r="S655" s="0" t="s">
        <v>81</v>
      </c>
      <c r="T655" s="0" t="s">
        <v>82</v>
      </c>
    </row>
    <row r="656" customFormat="false" ht="15" hidden="false" customHeight="false" outlineLevel="0" collapsed="false">
      <c r="A656" s="0" t="str">
        <f aca="false">B656&amp;"|"&amp;C656&amp;"|"&amp;D656&amp;"|"&amp;E656&amp;"|"&amp;F656</f>
        <v>2.8+2506|ALL|psi|CreditQ|IR</v>
      </c>
      <c r="B656" s="0" t="s">
        <v>286</v>
      </c>
      <c r="C656" s="0" t="s">
        <v>224</v>
      </c>
      <c r="D656" s="0" t="s">
        <v>256</v>
      </c>
      <c r="E656" s="0" t="s">
        <v>261</v>
      </c>
      <c r="F656" s="0" t="s">
        <v>68</v>
      </c>
      <c r="G656" s="0" t="n">
        <v>0.1</v>
      </c>
      <c r="H656" s="0" t="s">
        <v>119</v>
      </c>
      <c r="I656" s="0" t="s">
        <v>287</v>
      </c>
      <c r="J656" s="0" t="s">
        <v>286</v>
      </c>
      <c r="K656" s="0" t="s">
        <v>288</v>
      </c>
      <c r="L656" s="0" t="s">
        <v>257</v>
      </c>
      <c r="M656" s="0" t="s">
        <v>258</v>
      </c>
      <c r="N656" s="0" t="s">
        <v>259</v>
      </c>
      <c r="O656" s="0" t="s">
        <v>260</v>
      </c>
      <c r="P656" s="0" t="s">
        <v>289</v>
      </c>
      <c r="Q656" s="0" t="s">
        <v>79</v>
      </c>
      <c r="R656" s="0" t="s">
        <v>290</v>
      </c>
      <c r="S656" s="0" t="s">
        <v>81</v>
      </c>
      <c r="T656" s="0" t="s">
        <v>82</v>
      </c>
    </row>
    <row r="657" customFormat="false" ht="15" hidden="false" customHeight="false" outlineLevel="0" collapsed="false">
      <c r="A657" s="0" t="str">
        <f aca="false">B657&amp;"|"&amp;C657&amp;"|"&amp;D657&amp;"|"&amp;E657&amp;"|"&amp;F657</f>
        <v>2.8+2506|ALL|psi|CreditQ|CreditQ</v>
      </c>
      <c r="B657" s="0" t="s">
        <v>286</v>
      </c>
      <c r="C657" s="0" t="s">
        <v>224</v>
      </c>
      <c r="D657" s="0" t="s">
        <v>256</v>
      </c>
      <c r="E657" s="0" t="s">
        <v>261</v>
      </c>
      <c r="F657" s="0" t="s">
        <v>261</v>
      </c>
      <c r="G657" s="0" t="n">
        <v>1</v>
      </c>
      <c r="H657" s="0" t="s">
        <v>119</v>
      </c>
      <c r="I657" s="0" t="s">
        <v>287</v>
      </c>
      <c r="J657" s="0" t="s">
        <v>286</v>
      </c>
      <c r="K657" s="0" t="s">
        <v>288</v>
      </c>
      <c r="L657" s="0" t="s">
        <v>257</v>
      </c>
      <c r="M657" s="0" t="s">
        <v>258</v>
      </c>
      <c r="N657" s="0" t="s">
        <v>259</v>
      </c>
      <c r="O657" s="0" t="s">
        <v>260</v>
      </c>
      <c r="P657" s="0" t="s">
        <v>289</v>
      </c>
      <c r="Q657" s="0" t="s">
        <v>79</v>
      </c>
      <c r="R657" s="0" t="s">
        <v>290</v>
      </c>
      <c r="S657" s="0" t="s">
        <v>81</v>
      </c>
      <c r="T657" s="0" t="s">
        <v>123</v>
      </c>
    </row>
    <row r="658" customFormat="false" ht="15" hidden="false" customHeight="false" outlineLevel="0" collapsed="false">
      <c r="A658" s="0" t="str">
        <f aca="false">B658&amp;"|"&amp;C658&amp;"|"&amp;D658&amp;"|"&amp;E658&amp;"|"&amp;F658</f>
        <v>2.8+2506|ALL|psi|CreditQ|CreditNonQ</v>
      </c>
      <c r="B658" s="0" t="s">
        <v>286</v>
      </c>
      <c r="C658" s="0" t="s">
        <v>224</v>
      </c>
      <c r="D658" s="0" t="s">
        <v>256</v>
      </c>
      <c r="E658" s="0" t="s">
        <v>261</v>
      </c>
      <c r="F658" s="0" t="s">
        <v>262</v>
      </c>
      <c r="G658" s="0" t="n">
        <v>0.6</v>
      </c>
      <c r="H658" s="0" t="s">
        <v>119</v>
      </c>
      <c r="I658" s="0" t="s">
        <v>287</v>
      </c>
      <c r="J658" s="0" t="s">
        <v>286</v>
      </c>
      <c r="K658" s="0" t="s">
        <v>288</v>
      </c>
      <c r="L658" s="0" t="s">
        <v>257</v>
      </c>
      <c r="M658" s="0" t="s">
        <v>258</v>
      </c>
      <c r="N658" s="0" t="s">
        <v>259</v>
      </c>
      <c r="O658" s="0" t="s">
        <v>260</v>
      </c>
      <c r="P658" s="0" t="s">
        <v>289</v>
      </c>
      <c r="Q658" s="0" t="s">
        <v>79</v>
      </c>
      <c r="R658" s="0" t="s">
        <v>290</v>
      </c>
      <c r="S658" s="0" t="s">
        <v>81</v>
      </c>
      <c r="T658" s="0" t="s">
        <v>82</v>
      </c>
    </row>
    <row r="659" customFormat="false" ht="15" hidden="false" customHeight="false" outlineLevel="0" collapsed="false">
      <c r="A659" s="0" t="str">
        <f aca="false">B659&amp;"|"&amp;C659&amp;"|"&amp;D659&amp;"|"&amp;E659&amp;"|"&amp;F659</f>
        <v>2.8+2506|ALL|psi|CreditQ|Equity</v>
      </c>
      <c r="B659" s="0" t="s">
        <v>286</v>
      </c>
      <c r="C659" s="0" t="s">
        <v>224</v>
      </c>
      <c r="D659" s="0" t="s">
        <v>256</v>
      </c>
      <c r="E659" s="0" t="s">
        <v>261</v>
      </c>
      <c r="F659" s="0" t="s">
        <v>263</v>
      </c>
      <c r="G659" s="0" t="n">
        <v>0.66</v>
      </c>
      <c r="H659" s="0" t="s">
        <v>119</v>
      </c>
      <c r="I659" s="0" t="s">
        <v>287</v>
      </c>
      <c r="J659" s="0" t="s">
        <v>286</v>
      </c>
      <c r="K659" s="0" t="s">
        <v>288</v>
      </c>
      <c r="L659" s="0" t="s">
        <v>257</v>
      </c>
      <c r="M659" s="0" t="s">
        <v>258</v>
      </c>
      <c r="N659" s="0" t="s">
        <v>259</v>
      </c>
      <c r="O659" s="0" t="s">
        <v>260</v>
      </c>
      <c r="P659" s="0" t="s">
        <v>289</v>
      </c>
      <c r="Q659" s="0" t="s">
        <v>79</v>
      </c>
      <c r="R659" s="0" t="s">
        <v>290</v>
      </c>
      <c r="S659" s="0" t="s">
        <v>81</v>
      </c>
      <c r="T659" s="0" t="s">
        <v>82</v>
      </c>
    </row>
    <row r="660" customFormat="false" ht="15" hidden="false" customHeight="false" outlineLevel="0" collapsed="false">
      <c r="A660" s="0" t="str">
        <f aca="false">B660&amp;"|"&amp;C660&amp;"|"&amp;D660&amp;"|"&amp;E660&amp;"|"&amp;F660</f>
        <v>2.8+2506|ALL|psi|CreditQ|Commodity</v>
      </c>
      <c r="B660" s="0" t="s">
        <v>286</v>
      </c>
      <c r="C660" s="0" t="s">
        <v>224</v>
      </c>
      <c r="D660" s="0" t="s">
        <v>256</v>
      </c>
      <c r="E660" s="0" t="s">
        <v>261</v>
      </c>
      <c r="F660" s="0" t="s">
        <v>264</v>
      </c>
      <c r="G660" s="0" t="n">
        <v>0.25</v>
      </c>
      <c r="H660" s="0" t="s">
        <v>119</v>
      </c>
      <c r="I660" s="0" t="s">
        <v>287</v>
      </c>
      <c r="J660" s="0" t="s">
        <v>286</v>
      </c>
      <c r="K660" s="0" t="s">
        <v>288</v>
      </c>
      <c r="L660" s="0" t="s">
        <v>257</v>
      </c>
      <c r="M660" s="0" t="s">
        <v>258</v>
      </c>
      <c r="N660" s="0" t="s">
        <v>259</v>
      </c>
      <c r="O660" s="0" t="s">
        <v>260</v>
      </c>
      <c r="P660" s="0" t="s">
        <v>289</v>
      </c>
      <c r="Q660" s="0" t="s">
        <v>79</v>
      </c>
      <c r="R660" s="0" t="s">
        <v>290</v>
      </c>
      <c r="S660" s="0" t="s">
        <v>81</v>
      </c>
      <c r="T660" s="0" t="s">
        <v>82</v>
      </c>
    </row>
    <row r="661" customFormat="false" ht="15" hidden="false" customHeight="false" outlineLevel="0" collapsed="false">
      <c r="A661" s="0" t="str">
        <f aca="false">B661&amp;"|"&amp;C661&amp;"|"&amp;D661&amp;"|"&amp;E661&amp;"|"&amp;F661</f>
        <v>2.8+2506|ALL|psi|CreditQ|FX</v>
      </c>
      <c r="B661" s="0" t="s">
        <v>286</v>
      </c>
      <c r="C661" s="0" t="s">
        <v>224</v>
      </c>
      <c r="D661" s="0" t="s">
        <v>256</v>
      </c>
      <c r="E661" s="0" t="s">
        <v>261</v>
      </c>
      <c r="F661" s="0" t="s">
        <v>170</v>
      </c>
      <c r="G661" s="0" t="n">
        <v>0.22</v>
      </c>
      <c r="H661" s="0" t="s">
        <v>119</v>
      </c>
      <c r="I661" s="0" t="s">
        <v>287</v>
      </c>
      <c r="J661" s="0" t="s">
        <v>286</v>
      </c>
      <c r="K661" s="0" t="s">
        <v>288</v>
      </c>
      <c r="L661" s="0" t="s">
        <v>257</v>
      </c>
      <c r="M661" s="0" t="s">
        <v>258</v>
      </c>
      <c r="N661" s="0" t="s">
        <v>259</v>
      </c>
      <c r="O661" s="0" t="s">
        <v>260</v>
      </c>
      <c r="P661" s="0" t="s">
        <v>289</v>
      </c>
      <c r="Q661" s="0" t="s">
        <v>79</v>
      </c>
      <c r="R661" s="0" t="s">
        <v>290</v>
      </c>
      <c r="S661" s="0" t="s">
        <v>81</v>
      </c>
      <c r="T661" s="0" t="s">
        <v>82</v>
      </c>
    </row>
    <row r="662" customFormat="false" ht="15" hidden="false" customHeight="false" outlineLevel="0" collapsed="false">
      <c r="A662" s="0" t="str">
        <f aca="false">B662&amp;"|"&amp;C662&amp;"|"&amp;D662&amp;"|"&amp;E662&amp;"|"&amp;F662</f>
        <v>2.8+2506|ALL|psi|CreditNonQ|IR</v>
      </c>
      <c r="B662" s="0" t="s">
        <v>286</v>
      </c>
      <c r="C662" s="0" t="s">
        <v>224</v>
      </c>
      <c r="D662" s="0" t="s">
        <v>256</v>
      </c>
      <c r="E662" s="0" t="s">
        <v>262</v>
      </c>
      <c r="F662" s="0" t="s">
        <v>68</v>
      </c>
      <c r="G662" s="0" t="n">
        <v>0.14</v>
      </c>
      <c r="H662" s="0" t="s">
        <v>119</v>
      </c>
      <c r="I662" s="0" t="s">
        <v>287</v>
      </c>
      <c r="J662" s="0" t="s">
        <v>286</v>
      </c>
      <c r="K662" s="0" t="s">
        <v>288</v>
      </c>
      <c r="L662" s="0" t="s">
        <v>257</v>
      </c>
      <c r="M662" s="0" t="s">
        <v>258</v>
      </c>
      <c r="N662" s="0" t="s">
        <v>259</v>
      </c>
      <c r="O662" s="0" t="s">
        <v>260</v>
      </c>
      <c r="P662" s="0" t="s">
        <v>289</v>
      </c>
      <c r="Q662" s="0" t="s">
        <v>79</v>
      </c>
      <c r="R662" s="0" t="s">
        <v>290</v>
      </c>
      <c r="S662" s="0" t="s">
        <v>81</v>
      </c>
      <c r="T662" s="0" t="s">
        <v>82</v>
      </c>
    </row>
    <row r="663" customFormat="false" ht="15" hidden="false" customHeight="false" outlineLevel="0" collapsed="false">
      <c r="A663" s="0" t="str">
        <f aca="false">B663&amp;"|"&amp;C663&amp;"|"&amp;D663&amp;"|"&amp;E663&amp;"|"&amp;F663</f>
        <v>2.8+2506|ALL|psi|CreditNonQ|CreditQ</v>
      </c>
      <c r="B663" s="0" t="s">
        <v>286</v>
      </c>
      <c r="C663" s="0" t="s">
        <v>224</v>
      </c>
      <c r="D663" s="0" t="s">
        <v>256</v>
      </c>
      <c r="E663" s="0" t="s">
        <v>262</v>
      </c>
      <c r="F663" s="0" t="s">
        <v>261</v>
      </c>
      <c r="G663" s="0" t="n">
        <v>0.6</v>
      </c>
      <c r="H663" s="0" t="s">
        <v>119</v>
      </c>
      <c r="I663" s="0" t="s">
        <v>287</v>
      </c>
      <c r="J663" s="0" t="s">
        <v>286</v>
      </c>
      <c r="K663" s="0" t="s">
        <v>288</v>
      </c>
      <c r="L663" s="0" t="s">
        <v>257</v>
      </c>
      <c r="M663" s="0" t="s">
        <v>258</v>
      </c>
      <c r="N663" s="0" t="s">
        <v>259</v>
      </c>
      <c r="O663" s="0" t="s">
        <v>260</v>
      </c>
      <c r="P663" s="0" t="s">
        <v>289</v>
      </c>
      <c r="Q663" s="0" t="s">
        <v>79</v>
      </c>
      <c r="R663" s="0" t="s">
        <v>290</v>
      </c>
      <c r="S663" s="0" t="s">
        <v>81</v>
      </c>
      <c r="T663" s="0" t="s">
        <v>82</v>
      </c>
    </row>
    <row r="664" customFormat="false" ht="15" hidden="false" customHeight="false" outlineLevel="0" collapsed="false">
      <c r="A664" s="0" t="str">
        <f aca="false">B664&amp;"|"&amp;C664&amp;"|"&amp;D664&amp;"|"&amp;E664&amp;"|"&amp;F664</f>
        <v>2.8+2506|ALL|psi|CreditNonQ|CreditNonQ</v>
      </c>
      <c r="B664" s="0" t="s">
        <v>286</v>
      </c>
      <c r="C664" s="0" t="s">
        <v>224</v>
      </c>
      <c r="D664" s="0" t="s">
        <v>256</v>
      </c>
      <c r="E664" s="0" t="s">
        <v>262</v>
      </c>
      <c r="F664" s="0" t="s">
        <v>262</v>
      </c>
      <c r="G664" s="0" t="n">
        <v>1</v>
      </c>
      <c r="H664" s="0" t="s">
        <v>119</v>
      </c>
      <c r="I664" s="0" t="s">
        <v>287</v>
      </c>
      <c r="J664" s="0" t="s">
        <v>286</v>
      </c>
      <c r="K664" s="0" t="s">
        <v>288</v>
      </c>
      <c r="L664" s="0" t="s">
        <v>257</v>
      </c>
      <c r="M664" s="0" t="s">
        <v>258</v>
      </c>
      <c r="N664" s="0" t="s">
        <v>259</v>
      </c>
      <c r="O664" s="0" t="s">
        <v>260</v>
      </c>
      <c r="P664" s="0" t="s">
        <v>289</v>
      </c>
      <c r="Q664" s="0" t="s">
        <v>79</v>
      </c>
      <c r="R664" s="0" t="s">
        <v>290</v>
      </c>
      <c r="S664" s="0" t="s">
        <v>81</v>
      </c>
      <c r="T664" s="0" t="s">
        <v>123</v>
      </c>
    </row>
    <row r="665" customFormat="false" ht="15" hidden="false" customHeight="false" outlineLevel="0" collapsed="false">
      <c r="A665" s="0" t="str">
        <f aca="false">B665&amp;"|"&amp;C665&amp;"|"&amp;D665&amp;"|"&amp;E665&amp;"|"&amp;F665</f>
        <v>2.8+2506|ALL|psi|CreditNonQ|Equity</v>
      </c>
      <c r="B665" s="0" t="s">
        <v>286</v>
      </c>
      <c r="C665" s="0" t="s">
        <v>224</v>
      </c>
      <c r="D665" s="0" t="s">
        <v>256</v>
      </c>
      <c r="E665" s="0" t="s">
        <v>262</v>
      </c>
      <c r="F665" s="0" t="s">
        <v>263</v>
      </c>
      <c r="G665" s="0" t="n">
        <v>0.52</v>
      </c>
      <c r="H665" s="0" t="s">
        <v>119</v>
      </c>
      <c r="I665" s="0" t="s">
        <v>287</v>
      </c>
      <c r="J665" s="0" t="s">
        <v>286</v>
      </c>
      <c r="K665" s="0" t="s">
        <v>288</v>
      </c>
      <c r="L665" s="0" t="s">
        <v>257</v>
      </c>
      <c r="M665" s="0" t="s">
        <v>258</v>
      </c>
      <c r="N665" s="0" t="s">
        <v>259</v>
      </c>
      <c r="O665" s="0" t="s">
        <v>260</v>
      </c>
      <c r="P665" s="0" t="s">
        <v>289</v>
      </c>
      <c r="Q665" s="0" t="s">
        <v>79</v>
      </c>
      <c r="R665" s="0" t="s">
        <v>290</v>
      </c>
      <c r="S665" s="0" t="s">
        <v>81</v>
      </c>
      <c r="T665" s="0" t="s">
        <v>82</v>
      </c>
    </row>
    <row r="666" customFormat="false" ht="15" hidden="false" customHeight="false" outlineLevel="0" collapsed="false">
      <c r="A666" s="0" t="str">
        <f aca="false">B666&amp;"|"&amp;C666&amp;"|"&amp;D666&amp;"|"&amp;E666&amp;"|"&amp;F666</f>
        <v>2.8+2506|ALL|psi|CreditNonQ|Commodity</v>
      </c>
      <c r="B666" s="0" t="s">
        <v>286</v>
      </c>
      <c r="C666" s="0" t="s">
        <v>224</v>
      </c>
      <c r="D666" s="0" t="s">
        <v>256</v>
      </c>
      <c r="E666" s="0" t="s">
        <v>262</v>
      </c>
      <c r="F666" s="0" t="s">
        <v>264</v>
      </c>
      <c r="G666" s="0" t="n">
        <v>0.27</v>
      </c>
      <c r="H666" s="0" t="s">
        <v>119</v>
      </c>
      <c r="I666" s="0" t="s">
        <v>287</v>
      </c>
      <c r="J666" s="0" t="s">
        <v>286</v>
      </c>
      <c r="K666" s="0" t="s">
        <v>288</v>
      </c>
      <c r="L666" s="0" t="s">
        <v>257</v>
      </c>
      <c r="M666" s="0" t="s">
        <v>258</v>
      </c>
      <c r="N666" s="0" t="s">
        <v>259</v>
      </c>
      <c r="O666" s="0" t="s">
        <v>260</v>
      </c>
      <c r="P666" s="0" t="s">
        <v>289</v>
      </c>
      <c r="Q666" s="0" t="s">
        <v>79</v>
      </c>
      <c r="R666" s="0" t="s">
        <v>290</v>
      </c>
      <c r="S666" s="0" t="s">
        <v>81</v>
      </c>
      <c r="T666" s="0" t="s">
        <v>82</v>
      </c>
    </row>
    <row r="667" customFormat="false" ht="15" hidden="false" customHeight="false" outlineLevel="0" collapsed="false">
      <c r="A667" s="0" t="str">
        <f aca="false">B667&amp;"|"&amp;C667&amp;"|"&amp;D667&amp;"|"&amp;E667&amp;"|"&amp;F667</f>
        <v>2.8+2506|ALL|psi|CreditNonQ|FX</v>
      </c>
      <c r="B667" s="0" t="s">
        <v>286</v>
      </c>
      <c r="C667" s="0" t="s">
        <v>224</v>
      </c>
      <c r="D667" s="0" t="s">
        <v>256</v>
      </c>
      <c r="E667" s="0" t="s">
        <v>262</v>
      </c>
      <c r="F667" s="0" t="s">
        <v>170</v>
      </c>
      <c r="G667" s="0" t="n">
        <v>0.15</v>
      </c>
      <c r="H667" s="0" t="s">
        <v>119</v>
      </c>
      <c r="I667" s="0" t="s">
        <v>287</v>
      </c>
      <c r="J667" s="0" t="s">
        <v>286</v>
      </c>
      <c r="K667" s="0" t="s">
        <v>288</v>
      </c>
      <c r="L667" s="0" t="s">
        <v>257</v>
      </c>
      <c r="M667" s="0" t="s">
        <v>258</v>
      </c>
      <c r="N667" s="0" t="s">
        <v>259</v>
      </c>
      <c r="O667" s="0" t="s">
        <v>260</v>
      </c>
      <c r="P667" s="0" t="s">
        <v>289</v>
      </c>
      <c r="Q667" s="0" t="s">
        <v>79</v>
      </c>
      <c r="R667" s="0" t="s">
        <v>290</v>
      </c>
      <c r="S667" s="0" t="s">
        <v>81</v>
      </c>
      <c r="T667" s="0" t="s">
        <v>82</v>
      </c>
    </row>
    <row r="668" customFormat="false" ht="15" hidden="false" customHeight="false" outlineLevel="0" collapsed="false">
      <c r="A668" s="0" t="str">
        <f aca="false">B668&amp;"|"&amp;C668&amp;"|"&amp;D668&amp;"|"&amp;E668&amp;"|"&amp;F668</f>
        <v>2.8+2506|ALL|psi|Equity|IR</v>
      </c>
      <c r="B668" s="0" t="s">
        <v>286</v>
      </c>
      <c r="C668" s="0" t="s">
        <v>224</v>
      </c>
      <c r="D668" s="0" t="s">
        <v>256</v>
      </c>
      <c r="E668" s="0" t="s">
        <v>263</v>
      </c>
      <c r="F668" s="0" t="s">
        <v>68</v>
      </c>
      <c r="G668" s="0" t="n">
        <v>0.12</v>
      </c>
      <c r="H668" s="0" t="s">
        <v>119</v>
      </c>
      <c r="I668" s="0" t="s">
        <v>287</v>
      </c>
      <c r="J668" s="0" t="s">
        <v>286</v>
      </c>
      <c r="K668" s="0" t="s">
        <v>288</v>
      </c>
      <c r="L668" s="0" t="s">
        <v>257</v>
      </c>
      <c r="M668" s="0" t="s">
        <v>258</v>
      </c>
      <c r="N668" s="0" t="s">
        <v>259</v>
      </c>
      <c r="O668" s="0" t="s">
        <v>260</v>
      </c>
      <c r="P668" s="0" t="s">
        <v>289</v>
      </c>
      <c r="Q668" s="0" t="s">
        <v>79</v>
      </c>
      <c r="R668" s="0" t="s">
        <v>290</v>
      </c>
      <c r="S668" s="0" t="s">
        <v>81</v>
      </c>
      <c r="T668" s="0" t="s">
        <v>82</v>
      </c>
    </row>
    <row r="669" customFormat="false" ht="15" hidden="false" customHeight="false" outlineLevel="0" collapsed="false">
      <c r="A669" s="0" t="str">
        <f aca="false">B669&amp;"|"&amp;C669&amp;"|"&amp;D669&amp;"|"&amp;E669&amp;"|"&amp;F669</f>
        <v>2.8+2506|ALL|psi|Equity|CreditQ</v>
      </c>
      <c r="B669" s="0" t="s">
        <v>286</v>
      </c>
      <c r="C669" s="0" t="s">
        <v>224</v>
      </c>
      <c r="D669" s="0" t="s">
        <v>256</v>
      </c>
      <c r="E669" s="0" t="s">
        <v>263</v>
      </c>
      <c r="F669" s="0" t="s">
        <v>261</v>
      </c>
      <c r="G669" s="0" t="n">
        <v>0.66</v>
      </c>
      <c r="H669" s="0" t="s">
        <v>119</v>
      </c>
      <c r="I669" s="0" t="s">
        <v>287</v>
      </c>
      <c r="J669" s="0" t="s">
        <v>286</v>
      </c>
      <c r="K669" s="0" t="s">
        <v>288</v>
      </c>
      <c r="L669" s="0" t="s">
        <v>257</v>
      </c>
      <c r="M669" s="0" t="s">
        <v>258</v>
      </c>
      <c r="N669" s="0" t="s">
        <v>259</v>
      </c>
      <c r="O669" s="0" t="s">
        <v>260</v>
      </c>
      <c r="P669" s="0" t="s">
        <v>289</v>
      </c>
      <c r="Q669" s="0" t="s">
        <v>79</v>
      </c>
      <c r="R669" s="0" t="s">
        <v>290</v>
      </c>
      <c r="S669" s="0" t="s">
        <v>81</v>
      </c>
      <c r="T669" s="0" t="s">
        <v>82</v>
      </c>
    </row>
    <row r="670" customFormat="false" ht="15" hidden="false" customHeight="false" outlineLevel="0" collapsed="false">
      <c r="A670" s="0" t="str">
        <f aca="false">B670&amp;"|"&amp;C670&amp;"|"&amp;D670&amp;"|"&amp;E670&amp;"|"&amp;F670</f>
        <v>2.8+2506|ALL|psi|Equity|CreditNonQ</v>
      </c>
      <c r="B670" s="0" t="s">
        <v>286</v>
      </c>
      <c r="C670" s="0" t="s">
        <v>224</v>
      </c>
      <c r="D670" s="0" t="s">
        <v>256</v>
      </c>
      <c r="E670" s="0" t="s">
        <v>263</v>
      </c>
      <c r="F670" s="0" t="s">
        <v>262</v>
      </c>
      <c r="G670" s="0" t="n">
        <v>0.52</v>
      </c>
      <c r="H670" s="0" t="s">
        <v>119</v>
      </c>
      <c r="I670" s="0" t="s">
        <v>287</v>
      </c>
      <c r="J670" s="0" t="s">
        <v>286</v>
      </c>
      <c r="K670" s="0" t="s">
        <v>288</v>
      </c>
      <c r="L670" s="0" t="s">
        <v>257</v>
      </c>
      <c r="M670" s="0" t="s">
        <v>258</v>
      </c>
      <c r="N670" s="0" t="s">
        <v>259</v>
      </c>
      <c r="O670" s="0" t="s">
        <v>260</v>
      </c>
      <c r="P670" s="0" t="s">
        <v>289</v>
      </c>
      <c r="Q670" s="0" t="s">
        <v>79</v>
      </c>
      <c r="R670" s="0" t="s">
        <v>290</v>
      </c>
      <c r="S670" s="0" t="s">
        <v>81</v>
      </c>
      <c r="T670" s="0" t="s">
        <v>82</v>
      </c>
    </row>
    <row r="671" customFormat="false" ht="15" hidden="false" customHeight="false" outlineLevel="0" collapsed="false">
      <c r="A671" s="0" t="str">
        <f aca="false">B671&amp;"|"&amp;C671&amp;"|"&amp;D671&amp;"|"&amp;E671&amp;"|"&amp;F671</f>
        <v>2.8+2506|ALL|psi|Equity|Equity</v>
      </c>
      <c r="B671" s="0" t="s">
        <v>286</v>
      </c>
      <c r="C671" s="0" t="s">
        <v>224</v>
      </c>
      <c r="D671" s="0" t="s">
        <v>256</v>
      </c>
      <c r="E671" s="0" t="s">
        <v>263</v>
      </c>
      <c r="F671" s="0" t="s">
        <v>263</v>
      </c>
      <c r="G671" s="0" t="n">
        <v>1</v>
      </c>
      <c r="H671" s="0" t="s">
        <v>119</v>
      </c>
      <c r="I671" s="0" t="s">
        <v>287</v>
      </c>
      <c r="J671" s="0" t="s">
        <v>286</v>
      </c>
      <c r="K671" s="0" t="s">
        <v>288</v>
      </c>
      <c r="L671" s="0" t="s">
        <v>257</v>
      </c>
      <c r="M671" s="0" t="s">
        <v>258</v>
      </c>
      <c r="N671" s="0" t="s">
        <v>259</v>
      </c>
      <c r="O671" s="0" t="s">
        <v>260</v>
      </c>
      <c r="P671" s="0" t="s">
        <v>289</v>
      </c>
      <c r="Q671" s="0" t="s">
        <v>79</v>
      </c>
      <c r="R671" s="0" t="s">
        <v>290</v>
      </c>
      <c r="S671" s="0" t="s">
        <v>81</v>
      </c>
      <c r="T671" s="0" t="s">
        <v>123</v>
      </c>
    </row>
    <row r="672" customFormat="false" ht="15" hidden="false" customHeight="false" outlineLevel="0" collapsed="false">
      <c r="A672" s="0" t="str">
        <f aca="false">B672&amp;"|"&amp;C672&amp;"|"&amp;D672&amp;"|"&amp;E672&amp;"|"&amp;F672</f>
        <v>2.8+2506|ALL|psi|Equity|Commodity</v>
      </c>
      <c r="B672" s="0" t="s">
        <v>286</v>
      </c>
      <c r="C672" s="0" t="s">
        <v>224</v>
      </c>
      <c r="D672" s="0" t="s">
        <v>256</v>
      </c>
      <c r="E672" s="0" t="s">
        <v>263</v>
      </c>
      <c r="F672" s="0" t="s">
        <v>264</v>
      </c>
      <c r="G672" s="0" t="n">
        <v>0.33</v>
      </c>
      <c r="H672" s="0" t="s">
        <v>119</v>
      </c>
      <c r="I672" s="0" t="s">
        <v>287</v>
      </c>
      <c r="J672" s="0" t="s">
        <v>286</v>
      </c>
      <c r="K672" s="0" t="s">
        <v>288</v>
      </c>
      <c r="L672" s="0" t="s">
        <v>257</v>
      </c>
      <c r="M672" s="0" t="s">
        <v>258</v>
      </c>
      <c r="N672" s="0" t="s">
        <v>259</v>
      </c>
      <c r="O672" s="0" t="s">
        <v>260</v>
      </c>
      <c r="P672" s="0" t="s">
        <v>289</v>
      </c>
      <c r="Q672" s="0" t="s">
        <v>79</v>
      </c>
      <c r="R672" s="0" t="s">
        <v>290</v>
      </c>
      <c r="S672" s="0" t="s">
        <v>81</v>
      </c>
      <c r="T672" s="0" t="s">
        <v>82</v>
      </c>
    </row>
    <row r="673" customFormat="false" ht="15" hidden="false" customHeight="false" outlineLevel="0" collapsed="false">
      <c r="A673" s="0" t="str">
        <f aca="false">B673&amp;"|"&amp;C673&amp;"|"&amp;D673&amp;"|"&amp;E673&amp;"|"&amp;F673</f>
        <v>2.8+2506|ALL|psi|Equity|FX</v>
      </c>
      <c r="B673" s="0" t="s">
        <v>286</v>
      </c>
      <c r="C673" s="0" t="s">
        <v>224</v>
      </c>
      <c r="D673" s="0" t="s">
        <v>256</v>
      </c>
      <c r="E673" s="0" t="s">
        <v>263</v>
      </c>
      <c r="F673" s="0" t="s">
        <v>170</v>
      </c>
      <c r="G673" s="0" t="n">
        <v>0.24</v>
      </c>
      <c r="H673" s="0" t="s">
        <v>119</v>
      </c>
      <c r="I673" s="0" t="s">
        <v>287</v>
      </c>
      <c r="J673" s="0" t="s">
        <v>286</v>
      </c>
      <c r="K673" s="0" t="s">
        <v>288</v>
      </c>
      <c r="L673" s="0" t="s">
        <v>257</v>
      </c>
      <c r="M673" s="0" t="s">
        <v>258</v>
      </c>
      <c r="N673" s="0" t="s">
        <v>259</v>
      </c>
      <c r="O673" s="0" t="s">
        <v>260</v>
      </c>
      <c r="P673" s="0" t="s">
        <v>289</v>
      </c>
      <c r="Q673" s="0" t="s">
        <v>79</v>
      </c>
      <c r="R673" s="0" t="s">
        <v>290</v>
      </c>
      <c r="S673" s="0" t="s">
        <v>81</v>
      </c>
      <c r="T673" s="0" t="s">
        <v>82</v>
      </c>
    </row>
    <row r="674" customFormat="false" ht="15" hidden="false" customHeight="false" outlineLevel="0" collapsed="false">
      <c r="A674" s="0" t="str">
        <f aca="false">B674&amp;"|"&amp;C674&amp;"|"&amp;D674&amp;"|"&amp;E674&amp;"|"&amp;F674</f>
        <v>2.8+2506|ALL|psi|Commodity|IR</v>
      </c>
      <c r="B674" s="0" t="s">
        <v>286</v>
      </c>
      <c r="C674" s="0" t="s">
        <v>224</v>
      </c>
      <c r="D674" s="0" t="s">
        <v>256</v>
      </c>
      <c r="E674" s="0" t="s">
        <v>264</v>
      </c>
      <c r="F674" s="0" t="s">
        <v>68</v>
      </c>
      <c r="G674" s="0" t="n">
        <v>0.3</v>
      </c>
      <c r="H674" s="0" t="s">
        <v>119</v>
      </c>
      <c r="I674" s="0" t="s">
        <v>287</v>
      </c>
      <c r="J674" s="0" t="s">
        <v>286</v>
      </c>
      <c r="K674" s="0" t="s">
        <v>288</v>
      </c>
      <c r="L674" s="0" t="s">
        <v>257</v>
      </c>
      <c r="M674" s="0" t="s">
        <v>258</v>
      </c>
      <c r="N674" s="0" t="s">
        <v>259</v>
      </c>
      <c r="O674" s="0" t="s">
        <v>260</v>
      </c>
      <c r="P674" s="0" t="s">
        <v>289</v>
      </c>
      <c r="Q674" s="0" t="s">
        <v>79</v>
      </c>
      <c r="R674" s="0" t="s">
        <v>290</v>
      </c>
      <c r="S674" s="0" t="s">
        <v>81</v>
      </c>
      <c r="T674" s="0" t="s">
        <v>82</v>
      </c>
    </row>
    <row r="675" customFormat="false" ht="15" hidden="false" customHeight="false" outlineLevel="0" collapsed="false">
      <c r="A675" s="0" t="str">
        <f aca="false">B675&amp;"|"&amp;C675&amp;"|"&amp;D675&amp;"|"&amp;E675&amp;"|"&amp;F675</f>
        <v>2.8+2506|ALL|psi|Commodity|CreditQ</v>
      </c>
      <c r="B675" s="0" t="s">
        <v>286</v>
      </c>
      <c r="C675" s="0" t="s">
        <v>224</v>
      </c>
      <c r="D675" s="0" t="s">
        <v>256</v>
      </c>
      <c r="E675" s="0" t="s">
        <v>264</v>
      </c>
      <c r="F675" s="0" t="s">
        <v>261</v>
      </c>
      <c r="G675" s="0" t="n">
        <v>0.25</v>
      </c>
      <c r="H675" s="0" t="s">
        <v>119</v>
      </c>
      <c r="I675" s="0" t="s">
        <v>287</v>
      </c>
      <c r="J675" s="0" t="s">
        <v>286</v>
      </c>
      <c r="K675" s="0" t="s">
        <v>288</v>
      </c>
      <c r="L675" s="0" t="s">
        <v>257</v>
      </c>
      <c r="M675" s="0" t="s">
        <v>258</v>
      </c>
      <c r="N675" s="0" t="s">
        <v>259</v>
      </c>
      <c r="O675" s="0" t="s">
        <v>260</v>
      </c>
      <c r="P675" s="0" t="s">
        <v>289</v>
      </c>
      <c r="Q675" s="0" t="s">
        <v>79</v>
      </c>
      <c r="R675" s="0" t="s">
        <v>290</v>
      </c>
      <c r="S675" s="0" t="s">
        <v>81</v>
      </c>
      <c r="T675" s="0" t="s">
        <v>82</v>
      </c>
    </row>
    <row r="676" customFormat="false" ht="15" hidden="false" customHeight="false" outlineLevel="0" collapsed="false">
      <c r="A676" s="0" t="str">
        <f aca="false">B676&amp;"|"&amp;C676&amp;"|"&amp;D676&amp;"|"&amp;E676&amp;"|"&amp;F676</f>
        <v>2.8+2506|ALL|psi|Commodity|CreditNonQ</v>
      </c>
      <c r="B676" s="0" t="s">
        <v>286</v>
      </c>
      <c r="C676" s="0" t="s">
        <v>224</v>
      </c>
      <c r="D676" s="0" t="s">
        <v>256</v>
      </c>
      <c r="E676" s="0" t="s">
        <v>264</v>
      </c>
      <c r="F676" s="0" t="s">
        <v>262</v>
      </c>
      <c r="G676" s="0" t="n">
        <v>0.27</v>
      </c>
      <c r="H676" s="0" t="s">
        <v>119</v>
      </c>
      <c r="I676" s="0" t="s">
        <v>287</v>
      </c>
      <c r="J676" s="0" t="s">
        <v>286</v>
      </c>
      <c r="K676" s="0" t="s">
        <v>288</v>
      </c>
      <c r="L676" s="0" t="s">
        <v>257</v>
      </c>
      <c r="M676" s="0" t="s">
        <v>258</v>
      </c>
      <c r="N676" s="0" t="s">
        <v>259</v>
      </c>
      <c r="O676" s="0" t="s">
        <v>260</v>
      </c>
      <c r="P676" s="0" t="s">
        <v>289</v>
      </c>
      <c r="Q676" s="0" t="s">
        <v>79</v>
      </c>
      <c r="R676" s="0" t="s">
        <v>290</v>
      </c>
      <c r="S676" s="0" t="s">
        <v>81</v>
      </c>
      <c r="T676" s="0" t="s">
        <v>82</v>
      </c>
    </row>
    <row r="677" customFormat="false" ht="15" hidden="false" customHeight="false" outlineLevel="0" collapsed="false">
      <c r="A677" s="0" t="str">
        <f aca="false">B677&amp;"|"&amp;C677&amp;"|"&amp;D677&amp;"|"&amp;E677&amp;"|"&amp;F677</f>
        <v>2.8+2506|ALL|psi|Commodity|Equity</v>
      </c>
      <c r="B677" s="0" t="s">
        <v>286</v>
      </c>
      <c r="C677" s="0" t="s">
        <v>224</v>
      </c>
      <c r="D677" s="0" t="s">
        <v>256</v>
      </c>
      <c r="E677" s="0" t="s">
        <v>264</v>
      </c>
      <c r="F677" s="0" t="s">
        <v>263</v>
      </c>
      <c r="G677" s="0" t="n">
        <v>0.33</v>
      </c>
      <c r="H677" s="0" t="s">
        <v>119</v>
      </c>
      <c r="I677" s="0" t="s">
        <v>287</v>
      </c>
      <c r="J677" s="0" t="s">
        <v>286</v>
      </c>
      <c r="K677" s="0" t="s">
        <v>288</v>
      </c>
      <c r="L677" s="0" t="s">
        <v>257</v>
      </c>
      <c r="M677" s="0" t="s">
        <v>258</v>
      </c>
      <c r="N677" s="0" t="s">
        <v>259</v>
      </c>
      <c r="O677" s="0" t="s">
        <v>260</v>
      </c>
      <c r="P677" s="0" t="s">
        <v>289</v>
      </c>
      <c r="Q677" s="0" t="s">
        <v>79</v>
      </c>
      <c r="R677" s="0" t="s">
        <v>290</v>
      </c>
      <c r="S677" s="0" t="s">
        <v>81</v>
      </c>
      <c r="T677" s="0" t="s">
        <v>82</v>
      </c>
    </row>
    <row r="678" customFormat="false" ht="15" hidden="false" customHeight="false" outlineLevel="0" collapsed="false">
      <c r="A678" s="0" t="str">
        <f aca="false">B678&amp;"|"&amp;C678&amp;"|"&amp;D678&amp;"|"&amp;E678&amp;"|"&amp;F678</f>
        <v>2.8+2506|ALL|psi|Commodity|Commodity</v>
      </c>
      <c r="B678" s="0" t="s">
        <v>286</v>
      </c>
      <c r="C678" s="0" t="s">
        <v>224</v>
      </c>
      <c r="D678" s="0" t="s">
        <v>256</v>
      </c>
      <c r="E678" s="0" t="s">
        <v>264</v>
      </c>
      <c r="F678" s="0" t="s">
        <v>264</v>
      </c>
      <c r="G678" s="0" t="n">
        <v>1</v>
      </c>
      <c r="H678" s="0" t="s">
        <v>119</v>
      </c>
      <c r="I678" s="0" t="s">
        <v>287</v>
      </c>
      <c r="J678" s="0" t="s">
        <v>286</v>
      </c>
      <c r="K678" s="0" t="s">
        <v>288</v>
      </c>
      <c r="L678" s="0" t="s">
        <v>257</v>
      </c>
      <c r="M678" s="0" t="s">
        <v>258</v>
      </c>
      <c r="N678" s="0" t="s">
        <v>259</v>
      </c>
      <c r="O678" s="0" t="s">
        <v>260</v>
      </c>
      <c r="P678" s="0" t="s">
        <v>289</v>
      </c>
      <c r="Q678" s="0" t="s">
        <v>79</v>
      </c>
      <c r="R678" s="0" t="s">
        <v>290</v>
      </c>
      <c r="S678" s="0" t="s">
        <v>81</v>
      </c>
      <c r="T678" s="0" t="s">
        <v>123</v>
      </c>
    </row>
    <row r="679" customFormat="false" ht="15" hidden="false" customHeight="false" outlineLevel="0" collapsed="false">
      <c r="A679" s="0" t="str">
        <f aca="false">B679&amp;"|"&amp;C679&amp;"|"&amp;D679&amp;"|"&amp;E679&amp;"|"&amp;F679</f>
        <v>2.8+2506|ALL|psi|Commodity|FX</v>
      </c>
      <c r="B679" s="0" t="s">
        <v>286</v>
      </c>
      <c r="C679" s="0" t="s">
        <v>224</v>
      </c>
      <c r="D679" s="0" t="s">
        <v>256</v>
      </c>
      <c r="E679" s="0" t="s">
        <v>264</v>
      </c>
      <c r="F679" s="0" t="s">
        <v>170</v>
      </c>
      <c r="G679" s="0" t="n">
        <v>0.23</v>
      </c>
      <c r="H679" s="0" t="s">
        <v>119</v>
      </c>
      <c r="I679" s="0" t="s">
        <v>287</v>
      </c>
      <c r="J679" s="0" t="s">
        <v>286</v>
      </c>
      <c r="K679" s="0" t="s">
        <v>288</v>
      </c>
      <c r="L679" s="0" t="s">
        <v>257</v>
      </c>
      <c r="M679" s="0" t="s">
        <v>258</v>
      </c>
      <c r="N679" s="0" t="s">
        <v>259</v>
      </c>
      <c r="O679" s="0" t="s">
        <v>260</v>
      </c>
      <c r="P679" s="0" t="s">
        <v>289</v>
      </c>
      <c r="Q679" s="0" t="s">
        <v>79</v>
      </c>
      <c r="R679" s="0" t="s">
        <v>290</v>
      </c>
      <c r="S679" s="0" t="s">
        <v>81</v>
      </c>
      <c r="T679" s="0" t="s">
        <v>82</v>
      </c>
    </row>
    <row r="680" customFormat="false" ht="15" hidden="false" customHeight="false" outlineLevel="0" collapsed="false">
      <c r="A680" s="0" t="str">
        <f aca="false">B680&amp;"|"&amp;C680&amp;"|"&amp;D680&amp;"|"&amp;E680&amp;"|"&amp;F680</f>
        <v>2.8+2506|ALL|psi|FX|IR</v>
      </c>
      <c r="B680" s="0" t="s">
        <v>286</v>
      </c>
      <c r="C680" s="0" t="s">
        <v>224</v>
      </c>
      <c r="D680" s="0" t="s">
        <v>256</v>
      </c>
      <c r="E680" s="0" t="s">
        <v>170</v>
      </c>
      <c r="F680" s="0" t="s">
        <v>68</v>
      </c>
      <c r="G680" s="0" t="n">
        <v>0.1</v>
      </c>
      <c r="H680" s="0" t="s">
        <v>119</v>
      </c>
      <c r="I680" s="0" t="s">
        <v>287</v>
      </c>
      <c r="J680" s="0" t="s">
        <v>286</v>
      </c>
      <c r="K680" s="0" t="s">
        <v>288</v>
      </c>
      <c r="L680" s="0" t="s">
        <v>257</v>
      </c>
      <c r="M680" s="0" t="s">
        <v>258</v>
      </c>
      <c r="N680" s="0" t="s">
        <v>259</v>
      </c>
      <c r="O680" s="0" t="s">
        <v>260</v>
      </c>
      <c r="P680" s="0" t="s">
        <v>289</v>
      </c>
      <c r="Q680" s="0" t="s">
        <v>79</v>
      </c>
      <c r="R680" s="0" t="s">
        <v>290</v>
      </c>
      <c r="S680" s="0" t="s">
        <v>81</v>
      </c>
      <c r="T680" s="0" t="s">
        <v>82</v>
      </c>
    </row>
    <row r="681" customFormat="false" ht="15" hidden="false" customHeight="false" outlineLevel="0" collapsed="false">
      <c r="A681" s="0" t="str">
        <f aca="false">B681&amp;"|"&amp;C681&amp;"|"&amp;D681&amp;"|"&amp;E681&amp;"|"&amp;F681</f>
        <v>2.8+2506|ALL|psi|FX|CreditQ</v>
      </c>
      <c r="B681" s="0" t="s">
        <v>286</v>
      </c>
      <c r="C681" s="0" t="s">
        <v>224</v>
      </c>
      <c r="D681" s="0" t="s">
        <v>256</v>
      </c>
      <c r="E681" s="0" t="s">
        <v>170</v>
      </c>
      <c r="F681" s="0" t="s">
        <v>261</v>
      </c>
      <c r="G681" s="0" t="n">
        <v>0.22</v>
      </c>
      <c r="H681" s="0" t="s">
        <v>119</v>
      </c>
      <c r="I681" s="0" t="s">
        <v>287</v>
      </c>
      <c r="J681" s="0" t="s">
        <v>286</v>
      </c>
      <c r="K681" s="0" t="s">
        <v>288</v>
      </c>
      <c r="L681" s="0" t="s">
        <v>257</v>
      </c>
      <c r="M681" s="0" t="s">
        <v>258</v>
      </c>
      <c r="N681" s="0" t="s">
        <v>259</v>
      </c>
      <c r="O681" s="0" t="s">
        <v>260</v>
      </c>
      <c r="P681" s="0" t="s">
        <v>289</v>
      </c>
      <c r="Q681" s="0" t="s">
        <v>79</v>
      </c>
      <c r="R681" s="0" t="s">
        <v>290</v>
      </c>
      <c r="S681" s="0" t="s">
        <v>81</v>
      </c>
      <c r="T681" s="0" t="s">
        <v>82</v>
      </c>
    </row>
    <row r="682" customFormat="false" ht="15" hidden="false" customHeight="false" outlineLevel="0" collapsed="false">
      <c r="A682" s="0" t="str">
        <f aca="false">B682&amp;"|"&amp;C682&amp;"|"&amp;D682&amp;"|"&amp;E682&amp;"|"&amp;F682</f>
        <v>2.8+2506|ALL|psi|FX|CreditNonQ</v>
      </c>
      <c r="B682" s="0" t="s">
        <v>286</v>
      </c>
      <c r="C682" s="0" t="s">
        <v>224</v>
      </c>
      <c r="D682" s="0" t="s">
        <v>256</v>
      </c>
      <c r="E682" s="0" t="s">
        <v>170</v>
      </c>
      <c r="F682" s="0" t="s">
        <v>262</v>
      </c>
      <c r="G682" s="0" t="n">
        <v>0.15</v>
      </c>
      <c r="H682" s="0" t="s">
        <v>119</v>
      </c>
      <c r="I682" s="0" t="s">
        <v>287</v>
      </c>
      <c r="J682" s="0" t="s">
        <v>286</v>
      </c>
      <c r="K682" s="0" t="s">
        <v>288</v>
      </c>
      <c r="L682" s="0" t="s">
        <v>257</v>
      </c>
      <c r="M682" s="0" t="s">
        <v>258</v>
      </c>
      <c r="N682" s="0" t="s">
        <v>259</v>
      </c>
      <c r="O682" s="0" t="s">
        <v>260</v>
      </c>
      <c r="P682" s="0" t="s">
        <v>289</v>
      </c>
      <c r="Q682" s="0" t="s">
        <v>79</v>
      </c>
      <c r="R682" s="0" t="s">
        <v>290</v>
      </c>
      <c r="S682" s="0" t="s">
        <v>81</v>
      </c>
      <c r="T682" s="0" t="s">
        <v>82</v>
      </c>
    </row>
    <row r="683" customFormat="false" ht="15" hidden="false" customHeight="false" outlineLevel="0" collapsed="false">
      <c r="A683" s="0" t="str">
        <f aca="false">B683&amp;"|"&amp;C683&amp;"|"&amp;D683&amp;"|"&amp;E683&amp;"|"&amp;F683</f>
        <v>2.8+2506|ALL|psi|FX|Equity</v>
      </c>
      <c r="B683" s="0" t="s">
        <v>286</v>
      </c>
      <c r="C683" s="0" t="s">
        <v>224</v>
      </c>
      <c r="D683" s="0" t="s">
        <v>256</v>
      </c>
      <c r="E683" s="0" t="s">
        <v>170</v>
      </c>
      <c r="F683" s="0" t="s">
        <v>263</v>
      </c>
      <c r="G683" s="0" t="n">
        <v>0.24</v>
      </c>
      <c r="H683" s="0" t="s">
        <v>119</v>
      </c>
      <c r="I683" s="0" t="s">
        <v>287</v>
      </c>
      <c r="J683" s="0" t="s">
        <v>286</v>
      </c>
      <c r="K683" s="0" t="s">
        <v>288</v>
      </c>
      <c r="L683" s="0" t="s">
        <v>257</v>
      </c>
      <c r="M683" s="0" t="s">
        <v>258</v>
      </c>
      <c r="N683" s="0" t="s">
        <v>259</v>
      </c>
      <c r="O683" s="0" t="s">
        <v>260</v>
      </c>
      <c r="P683" s="0" t="s">
        <v>289</v>
      </c>
      <c r="Q683" s="0" t="s">
        <v>79</v>
      </c>
      <c r="R683" s="0" t="s">
        <v>290</v>
      </c>
      <c r="S683" s="0" t="s">
        <v>81</v>
      </c>
      <c r="T683" s="0" t="s">
        <v>82</v>
      </c>
    </row>
    <row r="684" customFormat="false" ht="15" hidden="false" customHeight="false" outlineLevel="0" collapsed="false">
      <c r="A684" s="0" t="str">
        <f aca="false">B684&amp;"|"&amp;C684&amp;"|"&amp;D684&amp;"|"&amp;E684&amp;"|"&amp;F684</f>
        <v>2.8+2506|ALL|psi|FX|Commodity</v>
      </c>
      <c r="B684" s="0" t="s">
        <v>286</v>
      </c>
      <c r="C684" s="0" t="s">
        <v>224</v>
      </c>
      <c r="D684" s="0" t="s">
        <v>256</v>
      </c>
      <c r="E684" s="0" t="s">
        <v>170</v>
      </c>
      <c r="F684" s="0" t="s">
        <v>264</v>
      </c>
      <c r="G684" s="0" t="n">
        <v>0.23</v>
      </c>
      <c r="H684" s="0" t="s">
        <v>119</v>
      </c>
      <c r="I684" s="0" t="s">
        <v>287</v>
      </c>
      <c r="J684" s="0" t="s">
        <v>286</v>
      </c>
      <c r="K684" s="0" t="s">
        <v>288</v>
      </c>
      <c r="L684" s="0" t="s">
        <v>257</v>
      </c>
      <c r="M684" s="0" t="s">
        <v>258</v>
      </c>
      <c r="N684" s="0" t="s">
        <v>259</v>
      </c>
      <c r="O684" s="0" t="s">
        <v>260</v>
      </c>
      <c r="P684" s="0" t="s">
        <v>289</v>
      </c>
      <c r="Q684" s="0" t="s">
        <v>79</v>
      </c>
      <c r="R684" s="0" t="s">
        <v>290</v>
      </c>
      <c r="S684" s="0" t="s">
        <v>81</v>
      </c>
      <c r="T684" s="0" t="s">
        <v>82</v>
      </c>
    </row>
    <row r="685" customFormat="false" ht="15" hidden="false" customHeight="false" outlineLevel="0" collapsed="false">
      <c r="A685" s="0" t="str">
        <f aca="false">B685&amp;"|"&amp;C685&amp;"|"&amp;D685&amp;"|"&amp;E685&amp;"|"&amp;F685</f>
        <v>2.8+2506|ALL|psi|FX|FX</v>
      </c>
      <c r="B685" s="0" t="s">
        <v>286</v>
      </c>
      <c r="C685" s="0" t="s">
        <v>224</v>
      </c>
      <c r="D685" s="0" t="s">
        <v>256</v>
      </c>
      <c r="E685" s="0" t="s">
        <v>170</v>
      </c>
      <c r="F685" s="0" t="s">
        <v>170</v>
      </c>
      <c r="G685" s="0" t="n">
        <v>1</v>
      </c>
      <c r="H685" s="0" t="s">
        <v>119</v>
      </c>
      <c r="I685" s="0" t="s">
        <v>287</v>
      </c>
      <c r="J685" s="0" t="s">
        <v>286</v>
      </c>
      <c r="K685" s="0" t="s">
        <v>288</v>
      </c>
      <c r="L685" s="0" t="s">
        <v>257</v>
      </c>
      <c r="M685" s="0" t="s">
        <v>258</v>
      </c>
      <c r="N685" s="0" t="s">
        <v>259</v>
      </c>
      <c r="O685" s="0" t="s">
        <v>260</v>
      </c>
      <c r="P685" s="0" t="s">
        <v>289</v>
      </c>
      <c r="Q685" s="0" t="s">
        <v>79</v>
      </c>
      <c r="R685" s="0" t="s">
        <v>290</v>
      </c>
      <c r="S685" s="0" t="s">
        <v>81</v>
      </c>
      <c r="T685" s="0" t="s">
        <v>123</v>
      </c>
    </row>
    <row r="686" customFormat="false" ht="15" hidden="false" customHeight="false" outlineLevel="0" collapsed="false">
      <c r="A686" s="0" t="str">
        <f aca="false">B686&amp;"|"&amp;C686&amp;"|"&amp;D686&amp;"|"&amp;E686&amp;"|"&amp;F686</f>
        <v>2.8+2506|ALL|multiplicative_scale_default|RatesFX|</v>
      </c>
      <c r="B686" s="0" t="s">
        <v>286</v>
      </c>
      <c r="C686" s="0" t="s">
        <v>224</v>
      </c>
      <c r="D686" s="0" t="s">
        <v>265</v>
      </c>
      <c r="E686" s="0" t="s">
        <v>266</v>
      </c>
      <c r="G686" s="0" t="n">
        <v>1</v>
      </c>
      <c r="H686" s="0" t="s">
        <v>267</v>
      </c>
      <c r="I686" s="0" t="s">
        <v>287</v>
      </c>
      <c r="J686" s="0" t="s">
        <v>286</v>
      </c>
      <c r="K686" s="0" t="s">
        <v>288</v>
      </c>
      <c r="L686" s="0" t="s">
        <v>268</v>
      </c>
      <c r="M686" s="0" t="s">
        <v>269</v>
      </c>
      <c r="N686" s="0" t="s">
        <v>270</v>
      </c>
      <c r="O686" s="0" t="s">
        <v>271</v>
      </c>
      <c r="P686" s="0" t="s">
        <v>289</v>
      </c>
      <c r="Q686" s="0" t="s">
        <v>79</v>
      </c>
      <c r="R686" s="0" t="s">
        <v>290</v>
      </c>
      <c r="S686" s="0" t="s">
        <v>81</v>
      </c>
      <c r="T686" s="0" t="s">
        <v>82</v>
      </c>
    </row>
    <row r="687" customFormat="false" ht="15" hidden="false" customHeight="false" outlineLevel="0" collapsed="false">
      <c r="A687" s="0" t="str">
        <f aca="false">B687&amp;"|"&amp;C687&amp;"|"&amp;D687&amp;"|"&amp;E687&amp;"|"&amp;F687</f>
        <v>2.8+2506|ALL|sens_bump_ir_bp||</v>
      </c>
      <c r="B687" s="0" t="s">
        <v>286</v>
      </c>
      <c r="C687" s="0" t="s">
        <v>224</v>
      </c>
      <c r="D687" s="0" t="s">
        <v>272</v>
      </c>
      <c r="G687" s="0" t="n">
        <v>1</v>
      </c>
      <c r="H687" s="0" t="s">
        <v>273</v>
      </c>
      <c r="I687" s="0" t="s">
        <v>287</v>
      </c>
      <c r="J687" s="0" t="s">
        <v>286</v>
      </c>
      <c r="K687" s="0" t="s">
        <v>288</v>
      </c>
      <c r="L687" s="0" t="s">
        <v>274</v>
      </c>
      <c r="M687" s="0" t="s">
        <v>275</v>
      </c>
      <c r="N687" s="0" t="s">
        <v>276</v>
      </c>
      <c r="O687" s="0" t="s">
        <v>277</v>
      </c>
      <c r="P687" s="0" t="s">
        <v>289</v>
      </c>
      <c r="Q687" s="0" t="s">
        <v>79</v>
      </c>
      <c r="R687" s="0" t="s">
        <v>290</v>
      </c>
      <c r="S687" s="0" t="s">
        <v>81</v>
      </c>
      <c r="T687" s="0" t="s">
        <v>82</v>
      </c>
    </row>
    <row r="688" customFormat="false" ht="15" hidden="false" customHeight="false" outlineLevel="0" collapsed="false">
      <c r="A688" s="0" t="str">
        <f aca="false">B688&amp;"|"&amp;C688&amp;"|"&amp;D688&amp;"|"&amp;E688&amp;"|"&amp;F688</f>
        <v>2.8+2506|ALL|sens_bump_fx_pct||</v>
      </c>
      <c r="B688" s="0" t="s">
        <v>286</v>
      </c>
      <c r="C688" s="0" t="s">
        <v>224</v>
      </c>
      <c r="D688" s="0" t="s">
        <v>278</v>
      </c>
      <c r="G688" s="0" t="n">
        <v>1</v>
      </c>
      <c r="H688" s="0" t="s">
        <v>279</v>
      </c>
      <c r="I688" s="0" t="s">
        <v>287</v>
      </c>
      <c r="J688" s="0" t="s">
        <v>286</v>
      </c>
      <c r="K688" s="0" t="s">
        <v>288</v>
      </c>
      <c r="L688" s="0" t="s">
        <v>274</v>
      </c>
      <c r="M688" s="0" t="s">
        <v>275</v>
      </c>
      <c r="N688" s="0" t="s">
        <v>280</v>
      </c>
      <c r="O688" s="0" t="s">
        <v>277</v>
      </c>
      <c r="P688" s="0" t="s">
        <v>289</v>
      </c>
      <c r="Q688" s="0" t="s">
        <v>79</v>
      </c>
      <c r="R688" s="0" t="s">
        <v>290</v>
      </c>
      <c r="S688" s="0" t="s">
        <v>81</v>
      </c>
      <c r="T688" s="0" t="s">
        <v>82</v>
      </c>
    </row>
    <row r="689" customFormat="false" ht="15" hidden="false" customHeight="false" outlineLevel="0" collapsed="false">
      <c r="A689" s="0" t="str">
        <f aca="false">B689&amp;"|"&amp;C689&amp;"|"&amp;D689&amp;"|"&amp;E689&amp;"|"&amp;F689</f>
        <v>2.8+2506|ALL|sens_bump_vol||</v>
      </c>
      <c r="B689" s="0" t="s">
        <v>286</v>
      </c>
      <c r="C689" s="0" t="s">
        <v>224</v>
      </c>
      <c r="D689" s="0" t="s">
        <v>281</v>
      </c>
      <c r="G689" s="0" t="n">
        <v>1</v>
      </c>
      <c r="H689" s="0" t="s">
        <v>282</v>
      </c>
      <c r="I689" s="0" t="s">
        <v>287</v>
      </c>
      <c r="J689" s="0" t="s">
        <v>286</v>
      </c>
      <c r="K689" s="0" t="s">
        <v>288</v>
      </c>
      <c r="L689" s="0" t="s">
        <v>283</v>
      </c>
      <c r="M689" s="0" t="s">
        <v>271</v>
      </c>
      <c r="N689" s="0" t="s">
        <v>284</v>
      </c>
      <c r="O689" s="0" t="s">
        <v>285</v>
      </c>
      <c r="P689" s="0" t="s">
        <v>289</v>
      </c>
      <c r="Q689" s="0" t="s">
        <v>79</v>
      </c>
      <c r="R689" s="0" t="s">
        <v>290</v>
      </c>
      <c r="S689" s="0" t="s">
        <v>81</v>
      </c>
      <c r="T689" s="0" t="s">
        <v>82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2734375" defaultRowHeight="15" customHeight="false" zeroHeight="false" outlineLevelRow="0" outlineLevelCol="0"/>
  <cols>
    <col collapsed="false" customWidth="true" hidden="false" outlineLevel="0" max="1" min="1" style="0" width="46"/>
  </cols>
  <sheetData>
    <row r="1" customFormat="false" ht="15" hidden="false" customHeight="false" outlineLevel="0" collapsed="false">
      <c r="A1" s="1" t="s">
        <v>292</v>
      </c>
    </row>
    <row r="4" customFormat="false" ht="15" hidden="false" customHeight="false" outlineLevel="0" collapsed="false">
      <c r="A4" s="1" t="s">
        <v>293</v>
      </c>
      <c r="B4" s="1" t="s">
        <v>294</v>
      </c>
      <c r="C4" s="1" t="s">
        <v>295</v>
      </c>
      <c r="D4" s="1" t="s">
        <v>296</v>
      </c>
      <c r="E4" s="1" t="s">
        <v>56</v>
      </c>
      <c r="F4" s="1" t="s">
        <v>59</v>
      </c>
      <c r="G4" s="1" t="s">
        <v>66</v>
      </c>
      <c r="H4" s="1" t="s">
        <v>64</v>
      </c>
      <c r="J4" s="1" t="s">
        <v>297</v>
      </c>
      <c r="K4" s="1" t="s">
        <v>54</v>
      </c>
      <c r="L4" s="1" t="s">
        <v>56</v>
      </c>
      <c r="M4" s="1" t="s">
        <v>298</v>
      </c>
      <c r="N4" s="1" t="s">
        <v>66</v>
      </c>
      <c r="P4" s="1" t="s">
        <v>299</v>
      </c>
      <c r="Q4" s="1" t="s">
        <v>300</v>
      </c>
      <c r="R4" s="1" t="s">
        <v>301</v>
      </c>
      <c r="S4" s="1" t="s">
        <v>302</v>
      </c>
    </row>
    <row r="5" customFormat="false" ht="15" hidden="false" customHeight="false" outlineLevel="0" collapsed="false">
      <c r="A5" s="0" t="s">
        <v>303</v>
      </c>
      <c r="B5" s="0" t="n">
        <v>0</v>
      </c>
      <c r="C5" s="0" t="n">
        <v>2</v>
      </c>
      <c r="D5" s="0" t="n">
        <v>2</v>
      </c>
      <c r="E5" s="0" t="s">
        <v>304</v>
      </c>
      <c r="F5" s="0" t="s">
        <v>305</v>
      </c>
      <c r="G5" s="0" t="s">
        <v>81</v>
      </c>
      <c r="H5" s="0" t="s">
        <v>79</v>
      </c>
      <c r="J5" s="0" t="s">
        <v>306</v>
      </c>
      <c r="K5" s="0" t="n">
        <v>0.4</v>
      </c>
      <c r="L5" s="0" t="s">
        <v>304</v>
      </c>
      <c r="M5" s="0" t="s">
        <v>307</v>
      </c>
      <c r="N5" s="0" t="s">
        <v>81</v>
      </c>
      <c r="P5" s="0" t="n">
        <v>0</v>
      </c>
      <c r="Q5" s="0" t="s">
        <v>308</v>
      </c>
      <c r="R5" s="0" t="n">
        <v>0</v>
      </c>
      <c r="S5" s="0" t="s">
        <v>309</v>
      </c>
    </row>
    <row r="6" customFormat="false" ht="15" hidden="false" customHeight="false" outlineLevel="0" collapsed="false">
      <c r="A6" s="0" t="s">
        <v>303</v>
      </c>
      <c r="B6" s="0" t="n">
        <v>2</v>
      </c>
      <c r="C6" s="0" t="n">
        <v>5</v>
      </c>
      <c r="D6" s="0" t="n">
        <v>5</v>
      </c>
      <c r="E6" s="0" t="s">
        <v>304</v>
      </c>
      <c r="F6" s="0" t="s">
        <v>305</v>
      </c>
      <c r="G6" s="0" t="s">
        <v>81</v>
      </c>
      <c r="H6" s="0" t="s">
        <v>79</v>
      </c>
      <c r="J6" s="0" t="s">
        <v>310</v>
      </c>
      <c r="K6" s="0" t="n">
        <v>0.6</v>
      </c>
      <c r="L6" s="0" t="s">
        <v>304</v>
      </c>
      <c r="M6" s="0" t="s">
        <v>307</v>
      </c>
      <c r="N6" s="0" t="s">
        <v>81</v>
      </c>
      <c r="P6" s="0" t="n">
        <v>1</v>
      </c>
      <c r="Q6" s="0" t="s">
        <v>308</v>
      </c>
      <c r="R6" s="0" t="n">
        <v>0</v>
      </c>
      <c r="S6" s="0" t="s">
        <v>309</v>
      </c>
    </row>
    <row r="7" customFormat="false" ht="15" hidden="false" customHeight="false" outlineLevel="0" collapsed="false">
      <c r="A7" s="0" t="s">
        <v>303</v>
      </c>
      <c r="B7" s="0" t="n">
        <v>5</v>
      </c>
      <c r="C7" s="0" t="n">
        <v>1000000000</v>
      </c>
      <c r="D7" s="0" t="n">
        <v>10</v>
      </c>
      <c r="E7" s="0" t="s">
        <v>304</v>
      </c>
      <c r="F7" s="0" t="s">
        <v>305</v>
      </c>
      <c r="G7" s="0" t="s">
        <v>81</v>
      </c>
      <c r="H7" s="0" t="s">
        <v>79</v>
      </c>
      <c r="P7" s="0" t="n">
        <v>2</v>
      </c>
      <c r="Q7" s="0" t="s">
        <v>308</v>
      </c>
      <c r="R7" s="0" t="n">
        <v>0</v>
      </c>
      <c r="S7" s="0" t="s">
        <v>309</v>
      </c>
    </row>
    <row r="8" customFormat="false" ht="15" hidden="false" customHeight="false" outlineLevel="0" collapsed="false">
      <c r="A8" s="0" t="s">
        <v>264</v>
      </c>
      <c r="B8" s="0" t="n">
        <v>0</v>
      </c>
      <c r="C8" s="0" t="n">
        <v>1000000000</v>
      </c>
      <c r="D8" s="0" t="n">
        <v>15</v>
      </c>
      <c r="E8" s="0" t="s">
        <v>304</v>
      </c>
      <c r="F8" s="0" t="s">
        <v>305</v>
      </c>
      <c r="G8" s="0" t="s">
        <v>81</v>
      </c>
      <c r="H8" s="0" t="s">
        <v>79</v>
      </c>
      <c r="P8" s="0" t="n">
        <v>3</v>
      </c>
      <c r="Q8" s="0" t="s">
        <v>308</v>
      </c>
      <c r="R8" s="0" t="n">
        <v>0</v>
      </c>
      <c r="S8" s="0" t="s">
        <v>309</v>
      </c>
    </row>
    <row r="9" customFormat="false" ht="15" hidden="false" customHeight="false" outlineLevel="0" collapsed="false">
      <c r="A9" s="0" t="s">
        <v>263</v>
      </c>
      <c r="B9" s="0" t="n">
        <v>0</v>
      </c>
      <c r="C9" s="0" t="n">
        <v>1000000000</v>
      </c>
      <c r="D9" s="0" t="n">
        <v>15</v>
      </c>
      <c r="E9" s="0" t="s">
        <v>304</v>
      </c>
      <c r="F9" s="0" t="s">
        <v>305</v>
      </c>
      <c r="G9" s="0" t="s">
        <v>81</v>
      </c>
      <c r="H9" s="0" t="s">
        <v>79</v>
      </c>
      <c r="P9" s="0" t="n">
        <v>4</v>
      </c>
      <c r="Q9" s="0" t="s">
        <v>308</v>
      </c>
      <c r="R9" s="0" t="n">
        <v>0</v>
      </c>
      <c r="S9" s="0" t="s">
        <v>309</v>
      </c>
    </row>
    <row r="10" customFormat="false" ht="15" hidden="false" customHeight="false" outlineLevel="0" collapsed="false">
      <c r="A10" s="0" t="s">
        <v>311</v>
      </c>
      <c r="B10" s="0" t="n">
        <v>0</v>
      </c>
      <c r="C10" s="0" t="n">
        <v>1000000000</v>
      </c>
      <c r="D10" s="0" t="n">
        <v>6</v>
      </c>
      <c r="E10" s="0" t="s">
        <v>304</v>
      </c>
      <c r="F10" s="0" t="s">
        <v>305</v>
      </c>
      <c r="G10" s="0" t="s">
        <v>81</v>
      </c>
      <c r="H10" s="0" t="s">
        <v>79</v>
      </c>
      <c r="P10" s="0" t="n">
        <v>5</v>
      </c>
      <c r="Q10" s="0" t="s">
        <v>312</v>
      </c>
      <c r="R10" s="0" t="n">
        <v>0.4</v>
      </c>
      <c r="S10" s="0" t="s">
        <v>309</v>
      </c>
    </row>
    <row r="11" customFormat="false" ht="15" hidden="false" customHeight="false" outlineLevel="0" collapsed="false">
      <c r="A11" s="0" t="s">
        <v>313</v>
      </c>
      <c r="B11" s="0" t="n">
        <v>0</v>
      </c>
      <c r="C11" s="0" t="n">
        <v>2</v>
      </c>
      <c r="D11" s="0" t="n">
        <v>1</v>
      </c>
      <c r="E11" s="0" t="s">
        <v>304</v>
      </c>
      <c r="F11" s="0" t="s">
        <v>305</v>
      </c>
      <c r="G11" s="0" t="s">
        <v>81</v>
      </c>
      <c r="H11" s="0" t="s">
        <v>79</v>
      </c>
      <c r="P11" s="0" t="n">
        <v>6</v>
      </c>
      <c r="Q11" s="0" t="s">
        <v>312</v>
      </c>
      <c r="R11" s="0" t="n">
        <v>0.5</v>
      </c>
      <c r="S11" s="0" t="s">
        <v>309</v>
      </c>
    </row>
    <row r="12" customFormat="false" ht="15" hidden="false" customHeight="false" outlineLevel="0" collapsed="false">
      <c r="A12" s="0" t="s">
        <v>313</v>
      </c>
      <c r="B12" s="0" t="n">
        <v>2</v>
      </c>
      <c r="C12" s="0" t="n">
        <v>5</v>
      </c>
      <c r="D12" s="0" t="n">
        <v>2</v>
      </c>
      <c r="E12" s="0" t="s">
        <v>304</v>
      </c>
      <c r="F12" s="0" t="s">
        <v>305</v>
      </c>
      <c r="G12" s="0" t="s">
        <v>81</v>
      </c>
      <c r="H12" s="0" t="s">
        <v>79</v>
      </c>
      <c r="P12" s="0" t="n">
        <v>7</v>
      </c>
      <c r="Q12" s="0" t="s">
        <v>312</v>
      </c>
      <c r="R12" s="0" t="n">
        <v>0.65</v>
      </c>
      <c r="S12" s="0" t="s">
        <v>309</v>
      </c>
    </row>
    <row r="13" customFormat="false" ht="15" hidden="false" customHeight="false" outlineLevel="0" collapsed="false">
      <c r="A13" s="0" t="s">
        <v>313</v>
      </c>
      <c r="B13" s="0" t="n">
        <v>5</v>
      </c>
      <c r="C13" s="0" t="n">
        <v>1000000000</v>
      </c>
      <c r="D13" s="0" t="n">
        <v>4</v>
      </c>
      <c r="E13" s="0" t="s">
        <v>304</v>
      </c>
      <c r="F13" s="0" t="s">
        <v>305</v>
      </c>
      <c r="G13" s="0" t="s">
        <v>81</v>
      </c>
      <c r="H13" s="0" t="s">
        <v>79</v>
      </c>
      <c r="P13" s="0" t="n">
        <v>8</v>
      </c>
      <c r="Q13" s="0" t="s">
        <v>312</v>
      </c>
      <c r="R13" s="0" t="n">
        <v>0.75</v>
      </c>
      <c r="S13" s="0" t="s">
        <v>309</v>
      </c>
    </row>
    <row r="14" customFormat="false" ht="15" hidden="false" customHeight="false" outlineLevel="0" collapsed="false">
      <c r="A14" s="0" t="s">
        <v>314</v>
      </c>
      <c r="B14" s="0" t="n">
        <v>0</v>
      </c>
      <c r="C14" s="0" t="n">
        <v>2</v>
      </c>
      <c r="D14" s="0" t="n">
        <v>1</v>
      </c>
      <c r="E14" s="0" t="s">
        <v>304</v>
      </c>
      <c r="F14" s="0" t="s">
        <v>305</v>
      </c>
      <c r="G14" s="0" t="s">
        <v>81</v>
      </c>
      <c r="H14" s="0" t="s">
        <v>79</v>
      </c>
      <c r="P14" s="0" t="n">
        <v>9</v>
      </c>
      <c r="Q14" s="0" t="s">
        <v>312</v>
      </c>
      <c r="R14" s="0" t="n">
        <v>0.85</v>
      </c>
      <c r="S14" s="0" t="s">
        <v>309</v>
      </c>
    </row>
    <row r="15" customFormat="false" ht="15" hidden="false" customHeight="false" outlineLevel="0" collapsed="false">
      <c r="A15" s="0" t="s">
        <v>314</v>
      </c>
      <c r="B15" s="0" t="n">
        <v>2</v>
      </c>
      <c r="C15" s="0" t="n">
        <v>5</v>
      </c>
      <c r="D15" s="0" t="n">
        <v>2</v>
      </c>
      <c r="E15" s="0" t="s">
        <v>304</v>
      </c>
      <c r="F15" s="0" t="s">
        <v>305</v>
      </c>
      <c r="G15" s="0" t="s">
        <v>81</v>
      </c>
      <c r="H15" s="0" t="s">
        <v>79</v>
      </c>
      <c r="P15" s="0" t="n">
        <v>10</v>
      </c>
      <c r="Q15" s="0" t="s">
        <v>315</v>
      </c>
      <c r="R15" s="0" t="n">
        <v>1</v>
      </c>
      <c r="S15" s="0" t="s">
        <v>309</v>
      </c>
    </row>
    <row r="16" customFormat="false" ht="15" hidden="false" customHeight="false" outlineLevel="0" collapsed="false">
      <c r="A16" s="0" t="s">
        <v>314</v>
      </c>
      <c r="B16" s="0" t="n">
        <v>5</v>
      </c>
      <c r="C16" s="0" t="n">
        <v>1000000000</v>
      </c>
      <c r="D16" s="0" t="n">
        <v>4</v>
      </c>
      <c r="E16" s="0" t="s">
        <v>304</v>
      </c>
      <c r="F16" s="0" t="s">
        <v>305</v>
      </c>
      <c r="G16" s="0" t="s">
        <v>81</v>
      </c>
      <c r="H16" s="0" t="s">
        <v>79</v>
      </c>
    </row>
    <row r="17" customFormat="false" ht="15" hidden="false" customHeight="false" outlineLevel="0" collapsed="false">
      <c r="A17" s="0" t="s">
        <v>316</v>
      </c>
      <c r="B17" s="0" t="n">
        <v>0</v>
      </c>
      <c r="C17" s="0" t="n">
        <v>1000000000</v>
      </c>
      <c r="D17" s="0" t="n">
        <v>15</v>
      </c>
      <c r="E17" s="0" t="s">
        <v>304</v>
      </c>
      <c r="F17" s="0" t="s">
        <v>305</v>
      </c>
      <c r="G17" s="0" t="s">
        <v>81</v>
      </c>
      <c r="H17" s="0" t="s">
        <v>79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2734375" defaultRowHeight="15" customHeight="false" zeroHeight="false" outlineLevelRow="0" outlineLevelCol="0"/>
  <cols>
    <col collapsed="false" customWidth="true" hidden="false" outlineLevel="0" max="1" min="1" style="0" width="46"/>
  </cols>
  <sheetData>
    <row r="1" customFormat="false" ht="15" hidden="false" customHeight="false" outlineLevel="0" collapsed="false">
      <c r="A1" s="1" t="s">
        <v>317</v>
      </c>
    </row>
    <row r="4" customFormat="false" ht="15" hidden="false" customHeight="false" outlineLevel="0" collapsed="false">
      <c r="A4" s="1" t="s">
        <v>318</v>
      </c>
      <c r="B4" s="1" t="s">
        <v>319</v>
      </c>
      <c r="C4" s="1" t="s">
        <v>320</v>
      </c>
      <c r="D4" s="1" t="s">
        <v>321</v>
      </c>
      <c r="E4" s="1" t="s">
        <v>322</v>
      </c>
      <c r="F4" s="1" t="s">
        <v>323</v>
      </c>
      <c r="G4" s="1" t="s">
        <v>324</v>
      </c>
      <c r="H4" s="1" t="s">
        <v>325</v>
      </c>
      <c r="I4" s="1" t="s">
        <v>326</v>
      </c>
      <c r="J4" s="1" t="s">
        <v>327</v>
      </c>
      <c r="K4" s="1" t="s">
        <v>328</v>
      </c>
      <c r="L4" s="1" t="s">
        <v>329</v>
      </c>
      <c r="M4" s="1" t="s">
        <v>330</v>
      </c>
    </row>
    <row r="5" customFormat="false" ht="15" hidden="false" customHeight="false" outlineLevel="0" collapsed="false">
      <c r="A5" s="0" t="s">
        <v>331</v>
      </c>
      <c r="B5" s="0" t="s">
        <v>332</v>
      </c>
      <c r="C5" s="0" t="s">
        <v>333</v>
      </c>
      <c r="D5" s="0" t="s">
        <v>11</v>
      </c>
      <c r="F5" s="0" t="n">
        <v>60000000</v>
      </c>
      <c r="G5" s="0" t="n">
        <v>1</v>
      </c>
      <c r="H5" s="0" t="n">
        <v>0</v>
      </c>
      <c r="I5" s="0" t="n">
        <v>2</v>
      </c>
      <c r="K5" s="0" t="n">
        <v>0.0396279159961279</v>
      </c>
      <c r="M5" s="0" t="n">
        <v>475770.616606461</v>
      </c>
    </row>
    <row r="6" customFormat="false" ht="15" hidden="false" customHeight="false" outlineLevel="0" collapsed="false">
      <c r="A6" s="0" t="s">
        <v>334</v>
      </c>
      <c r="B6" s="0" t="s">
        <v>332</v>
      </c>
      <c r="C6" s="0" t="s">
        <v>333</v>
      </c>
      <c r="D6" s="0" t="s">
        <v>11</v>
      </c>
      <c r="F6" s="0" t="n">
        <v>40000000</v>
      </c>
      <c r="G6" s="0" t="n">
        <v>-1</v>
      </c>
      <c r="H6" s="0" t="n">
        <v>0</v>
      </c>
      <c r="I6" s="0" t="n">
        <v>5</v>
      </c>
      <c r="K6" s="0" t="n">
        <v>0.039874146384107</v>
      </c>
      <c r="M6" s="0" t="n">
        <v>-1042407.75255617</v>
      </c>
    </row>
    <row r="7" customFormat="false" ht="15" hidden="false" customHeight="false" outlineLevel="0" collapsed="false">
      <c r="A7" s="0" t="s">
        <v>335</v>
      </c>
      <c r="B7" s="0" t="s">
        <v>332</v>
      </c>
      <c r="C7" s="0" t="s">
        <v>333</v>
      </c>
      <c r="D7" s="0" t="s">
        <v>11</v>
      </c>
      <c r="F7" s="0" t="n">
        <v>25000000</v>
      </c>
      <c r="G7" s="0" t="n">
        <v>1</v>
      </c>
      <c r="H7" s="0" t="n">
        <v>0</v>
      </c>
      <c r="I7" s="0" t="n">
        <v>10</v>
      </c>
      <c r="K7" s="0" t="n">
        <v>0.0429213784163929</v>
      </c>
      <c r="M7" s="0" t="n">
        <v>904650.831702938</v>
      </c>
    </row>
    <row r="8" customFormat="false" ht="15" hidden="false" customHeight="false" outlineLevel="0" collapsed="false">
      <c r="A8" s="0" t="s">
        <v>336</v>
      </c>
      <c r="B8" s="0" t="s">
        <v>332</v>
      </c>
      <c r="C8" s="0" t="s">
        <v>333</v>
      </c>
      <c r="D8" s="0" t="s">
        <v>11</v>
      </c>
      <c r="F8" s="0" t="n">
        <v>10000000</v>
      </c>
      <c r="G8" s="0" t="n">
        <v>-1</v>
      </c>
      <c r="H8" s="0" t="n">
        <v>0</v>
      </c>
      <c r="I8" s="0" t="n">
        <v>30</v>
      </c>
      <c r="K8" s="0" t="n">
        <v>0.0457669399484424</v>
      </c>
      <c r="M8" s="0" t="n">
        <v>-539620.163258573</v>
      </c>
    </row>
    <row r="9" customFormat="false" ht="15" hidden="false" customHeight="false" outlineLevel="0" collapsed="false">
      <c r="A9" s="0" t="s">
        <v>337</v>
      </c>
      <c r="B9" s="0" t="s">
        <v>332</v>
      </c>
      <c r="C9" s="0" t="s">
        <v>333</v>
      </c>
      <c r="D9" s="0" t="s">
        <v>19</v>
      </c>
      <c r="F9" s="0" t="n">
        <v>30000000</v>
      </c>
      <c r="G9" s="0" t="n">
        <v>1</v>
      </c>
      <c r="H9" s="0" t="n">
        <v>0</v>
      </c>
      <c r="I9" s="0" t="n">
        <v>5</v>
      </c>
      <c r="K9" s="0" t="n">
        <v>0.0240618618804441</v>
      </c>
      <c r="M9" s="0" t="n">
        <v>362788.000573817</v>
      </c>
    </row>
    <row r="10" customFormat="false" ht="15" hidden="false" customHeight="false" outlineLevel="0" collapsed="false">
      <c r="A10" s="0" t="s">
        <v>338</v>
      </c>
      <c r="B10" s="0" t="s">
        <v>332</v>
      </c>
      <c r="C10" s="0" t="s">
        <v>333</v>
      </c>
      <c r="D10" s="0" t="s">
        <v>19</v>
      </c>
      <c r="F10" s="0" t="n">
        <v>20000000</v>
      </c>
      <c r="G10" s="0" t="n">
        <v>-1</v>
      </c>
      <c r="H10" s="0" t="n">
        <v>0</v>
      </c>
      <c r="I10" s="0" t="n">
        <v>10</v>
      </c>
      <c r="K10" s="0" t="n">
        <v>0.0274855600676195</v>
      </c>
      <c r="M10" s="0" t="n">
        <v>179763.14919883</v>
      </c>
    </row>
    <row r="11" customFormat="false" ht="15" hidden="false" customHeight="false" outlineLevel="0" collapsed="false">
      <c r="A11" s="0" t="s">
        <v>339</v>
      </c>
      <c r="B11" s="0" t="s">
        <v>332</v>
      </c>
      <c r="C11" s="0" t="s">
        <v>333</v>
      </c>
      <c r="D11" s="0" t="s">
        <v>20</v>
      </c>
      <c r="F11" s="0" t="n">
        <v>25000000</v>
      </c>
      <c r="G11" s="0" t="n">
        <v>1</v>
      </c>
      <c r="H11" s="0" t="n">
        <v>0</v>
      </c>
      <c r="I11" s="0" t="n">
        <v>7</v>
      </c>
      <c r="K11" s="0" t="n">
        <v>0.0414553286774446</v>
      </c>
      <c r="M11" s="0" t="n">
        <v>152323.825170485</v>
      </c>
    </row>
    <row r="12" customFormat="false" ht="15" hidden="false" customHeight="false" outlineLevel="0" collapsed="false">
      <c r="A12" s="0" t="s">
        <v>340</v>
      </c>
      <c r="B12" s="0" t="s">
        <v>332</v>
      </c>
      <c r="C12" s="0" t="s">
        <v>333</v>
      </c>
      <c r="D12" s="0" t="s">
        <v>21</v>
      </c>
      <c r="F12" s="0" t="n">
        <v>4000000000</v>
      </c>
      <c r="G12" s="0" t="n">
        <v>-1</v>
      </c>
      <c r="H12" s="0" t="n">
        <v>0</v>
      </c>
      <c r="I12" s="0" t="n">
        <v>10</v>
      </c>
      <c r="K12" s="0" t="n">
        <v>0.0138967670772067</v>
      </c>
      <c r="M12" s="0" t="n">
        <v>-865234.251276554</v>
      </c>
    </row>
    <row r="13" customFormat="false" ht="15" hidden="false" customHeight="false" outlineLevel="0" collapsed="false">
      <c r="A13" s="0" t="s">
        <v>341</v>
      </c>
      <c r="B13" s="0" t="s">
        <v>332</v>
      </c>
      <c r="C13" s="0" t="s">
        <v>333</v>
      </c>
      <c r="D13" s="0" t="s">
        <v>22</v>
      </c>
      <c r="F13" s="0" t="n">
        <v>500000000</v>
      </c>
      <c r="G13" s="0" t="n">
        <v>1</v>
      </c>
      <c r="H13" s="0" t="n">
        <v>0</v>
      </c>
      <c r="I13" s="0" t="n">
        <v>3</v>
      </c>
      <c r="K13" s="0" t="n">
        <v>0.0882463624654972</v>
      </c>
      <c r="M13" s="0" t="n">
        <v>1891311.2353144</v>
      </c>
    </row>
    <row r="14" customFormat="false" ht="15" hidden="false" customHeight="false" outlineLevel="0" collapsed="false">
      <c r="A14" s="0" t="s">
        <v>342</v>
      </c>
      <c r="B14" s="0" t="s">
        <v>332</v>
      </c>
      <c r="C14" s="0" t="s">
        <v>343</v>
      </c>
      <c r="D14" s="0" t="s">
        <v>11</v>
      </c>
      <c r="F14" s="0" t="n">
        <v>50000000</v>
      </c>
      <c r="G14" s="0" t="n">
        <v>1</v>
      </c>
      <c r="H14" s="0" t="n">
        <v>1</v>
      </c>
      <c r="I14" s="0" t="n">
        <v>6</v>
      </c>
      <c r="J14" s="0" t="n">
        <v>1</v>
      </c>
      <c r="K14" s="0" t="n">
        <v>0.042878843209616</v>
      </c>
      <c r="L14" s="0" t="s">
        <v>344</v>
      </c>
      <c r="M14" s="0" t="n">
        <v>1213662.4175248</v>
      </c>
    </row>
    <row r="15" customFormat="false" ht="15" hidden="false" customHeight="false" outlineLevel="0" collapsed="false">
      <c r="A15" s="0" t="s">
        <v>345</v>
      </c>
      <c r="B15" s="0" t="s">
        <v>332</v>
      </c>
      <c r="C15" s="0" t="s">
        <v>343</v>
      </c>
      <c r="D15" s="0" t="s">
        <v>19</v>
      </c>
      <c r="F15" s="0" t="n">
        <v>30000000</v>
      </c>
      <c r="G15" s="0" t="n">
        <v>1</v>
      </c>
      <c r="H15" s="0" t="n">
        <v>4</v>
      </c>
      <c r="I15" s="0" t="n">
        <v>14</v>
      </c>
      <c r="J15" s="0" t="n">
        <v>4</v>
      </c>
      <c r="K15" s="0" t="n">
        <v>0.026976459753753</v>
      </c>
      <c r="L15" s="0" t="s">
        <v>346</v>
      </c>
      <c r="M15" s="0" t="n">
        <v>2062559.8388872</v>
      </c>
    </row>
    <row r="16" customFormat="false" ht="15" hidden="false" customHeight="false" outlineLevel="0" collapsed="false">
      <c r="A16" s="0" t="s">
        <v>347</v>
      </c>
      <c r="B16" s="0" t="s">
        <v>332</v>
      </c>
      <c r="C16" s="0" t="s">
        <v>343</v>
      </c>
      <c r="D16" s="0" t="s">
        <v>20</v>
      </c>
      <c r="F16" s="0" t="n">
        <v>25000000</v>
      </c>
      <c r="G16" s="0" t="n">
        <v>-1</v>
      </c>
      <c r="H16" s="0" t="n">
        <v>5</v>
      </c>
      <c r="I16" s="0" t="n">
        <v>10</v>
      </c>
      <c r="J16" s="0" t="n">
        <v>5</v>
      </c>
      <c r="K16" s="0" t="n">
        <v>0.0427477724770193</v>
      </c>
      <c r="L16" s="0" t="s">
        <v>344</v>
      </c>
      <c r="M16" s="0" t="n">
        <v>-1037840.31239474</v>
      </c>
    </row>
    <row r="17" customFormat="false" ht="15" hidden="false" customHeight="false" outlineLevel="0" collapsed="false">
      <c r="A17" s="0" t="s">
        <v>348</v>
      </c>
      <c r="B17" s="0" t="s">
        <v>332</v>
      </c>
      <c r="C17" s="0" t="s">
        <v>349</v>
      </c>
      <c r="D17" s="0" t="s">
        <v>19</v>
      </c>
      <c r="E17" s="0" t="s">
        <v>11</v>
      </c>
      <c r="F17" s="0" t="n">
        <v>25000000</v>
      </c>
      <c r="G17" s="0" t="n">
        <v>1</v>
      </c>
      <c r="H17" s="0" t="n">
        <v>0</v>
      </c>
      <c r="I17" s="0" t="n">
        <v>0.5</v>
      </c>
      <c r="K17" s="0" t="n">
        <v>1.09243281602399</v>
      </c>
      <c r="M17" s="0" t="n">
        <v>3371586.69905723</v>
      </c>
    </row>
    <row r="18" customFormat="false" ht="15" hidden="false" customHeight="false" outlineLevel="0" collapsed="false">
      <c r="A18" s="0" t="s">
        <v>350</v>
      </c>
      <c r="B18" s="0" t="s">
        <v>332</v>
      </c>
      <c r="C18" s="0" t="s">
        <v>349</v>
      </c>
      <c r="D18" s="0" t="s">
        <v>20</v>
      </c>
      <c r="E18" s="0" t="s">
        <v>11</v>
      </c>
      <c r="F18" s="0" t="n">
        <v>15000000</v>
      </c>
      <c r="G18" s="0" t="n">
        <v>-1</v>
      </c>
      <c r="H18" s="0" t="n">
        <v>0</v>
      </c>
      <c r="I18" s="0" t="n">
        <v>1</v>
      </c>
      <c r="K18" s="0" t="n">
        <v>1.26297559073652</v>
      </c>
      <c r="M18" s="0" t="n">
        <v>-299975.153860155</v>
      </c>
    </row>
    <row r="19" customFormat="false" ht="15" hidden="false" customHeight="false" outlineLevel="0" collapsed="false">
      <c r="A19" s="0" t="s">
        <v>351</v>
      </c>
      <c r="B19" s="0" t="s">
        <v>332</v>
      </c>
      <c r="C19" s="0" t="s">
        <v>349</v>
      </c>
      <c r="D19" s="0" t="s">
        <v>11</v>
      </c>
      <c r="E19" s="0" t="s">
        <v>21</v>
      </c>
      <c r="F19" s="0" t="n">
        <v>20000000</v>
      </c>
      <c r="G19" s="0" t="n">
        <v>1</v>
      </c>
      <c r="H19" s="0" t="n">
        <v>0</v>
      </c>
      <c r="I19" s="0" t="n">
        <v>0.25</v>
      </c>
      <c r="K19" s="0" t="n">
        <v>148.350886354251</v>
      </c>
      <c r="M19" s="0" t="n">
        <v>-250225.025804161</v>
      </c>
    </row>
    <row r="20" customFormat="false" ht="15" hidden="false" customHeight="false" outlineLevel="0" collapsed="false">
      <c r="A20" s="0" t="s">
        <v>352</v>
      </c>
      <c r="B20" s="0" t="s">
        <v>332</v>
      </c>
      <c r="C20" s="0" t="s">
        <v>349</v>
      </c>
      <c r="D20" s="0" t="s">
        <v>11</v>
      </c>
      <c r="E20" s="0" t="s">
        <v>22</v>
      </c>
      <c r="F20" s="0" t="n">
        <v>10000000</v>
      </c>
      <c r="G20" s="0" t="n">
        <v>-1</v>
      </c>
      <c r="H20" s="0" t="n">
        <v>0</v>
      </c>
      <c r="I20" s="0" t="n">
        <v>0.5</v>
      </c>
      <c r="K20" s="0" t="n">
        <v>18.6355313060708</v>
      </c>
      <c r="M20" s="0" t="n">
        <v>918421.285157551</v>
      </c>
    </row>
    <row r="21" customFormat="false" ht="15" hidden="false" customHeight="false" outlineLevel="0" collapsed="false">
      <c r="A21" s="0" t="s">
        <v>353</v>
      </c>
      <c r="B21" s="0" t="s">
        <v>332</v>
      </c>
      <c r="C21" s="0" t="s">
        <v>354</v>
      </c>
      <c r="D21" s="0" t="s">
        <v>19</v>
      </c>
      <c r="E21" s="0" t="s">
        <v>11</v>
      </c>
      <c r="F21" s="0" t="n">
        <v>20000000</v>
      </c>
      <c r="G21" s="0" t="n">
        <v>1</v>
      </c>
      <c r="H21" s="0" t="n">
        <v>0</v>
      </c>
      <c r="I21" s="0" t="n">
        <v>0.25</v>
      </c>
      <c r="J21" s="0" t="n">
        <v>0.25</v>
      </c>
      <c r="K21" s="0" t="n">
        <v>1.09488399108975</v>
      </c>
      <c r="L21" s="0" t="s">
        <v>355</v>
      </c>
      <c r="M21" s="0" t="n">
        <v>2572583.61199879</v>
      </c>
    </row>
    <row r="22" customFormat="false" ht="15" hidden="false" customHeight="false" outlineLevel="0" collapsed="false">
      <c r="A22" s="0" t="s">
        <v>356</v>
      </c>
      <c r="B22" s="0" t="s">
        <v>332</v>
      </c>
      <c r="C22" s="0" t="s">
        <v>354</v>
      </c>
      <c r="D22" s="0" t="s">
        <v>11</v>
      </c>
      <c r="E22" s="0" t="s">
        <v>22</v>
      </c>
      <c r="F22" s="0" t="n">
        <v>10000000</v>
      </c>
      <c r="G22" s="0" t="n">
        <v>1</v>
      </c>
      <c r="H22" s="0" t="n">
        <v>0</v>
      </c>
      <c r="I22" s="0" t="n">
        <v>1</v>
      </c>
      <c r="J22" s="0" t="n">
        <v>1</v>
      </c>
      <c r="K22" s="0" t="n">
        <v>19.6894941398357</v>
      </c>
      <c r="L22" s="0" t="s">
        <v>355</v>
      </c>
      <c r="M22" s="0" t="n">
        <v>187279.150043305</v>
      </c>
    </row>
    <row r="23" customFormat="false" ht="15" hidden="false" customHeight="false" outlineLevel="0" collapsed="false">
      <c r="A23" s="0" t="s">
        <v>357</v>
      </c>
      <c r="B23" s="0" t="s">
        <v>332</v>
      </c>
      <c r="C23" s="0" t="s">
        <v>354</v>
      </c>
      <c r="D23" s="0" t="s">
        <v>20</v>
      </c>
      <c r="E23" s="0" t="s">
        <v>11</v>
      </c>
      <c r="F23" s="0" t="n">
        <v>15000000</v>
      </c>
      <c r="G23" s="0" t="n">
        <v>1</v>
      </c>
      <c r="H23" s="0" t="n">
        <v>0</v>
      </c>
      <c r="I23" s="0" t="n">
        <v>0.5</v>
      </c>
      <c r="J23" s="0" t="n">
        <v>0.5</v>
      </c>
      <c r="K23" s="0" t="n">
        <v>1.27043730755083</v>
      </c>
      <c r="L23" s="0" t="s">
        <v>355</v>
      </c>
      <c r="M23" s="0" t="n">
        <v>796644.10571804</v>
      </c>
    </row>
    <row r="24" customFormat="false" ht="15" hidden="false" customHeight="false" outlineLevel="0" collapsed="false">
      <c r="A24" s="0" t="s">
        <v>358</v>
      </c>
      <c r="B24" s="0" t="s">
        <v>332</v>
      </c>
      <c r="C24" s="0" t="s">
        <v>354</v>
      </c>
      <c r="D24" s="0" t="s">
        <v>20</v>
      </c>
      <c r="E24" s="0" t="s">
        <v>11</v>
      </c>
      <c r="F24" s="0" t="n">
        <v>15000000</v>
      </c>
      <c r="G24" s="0" t="n">
        <v>1</v>
      </c>
      <c r="H24" s="0" t="n">
        <v>0</v>
      </c>
      <c r="I24" s="0" t="n">
        <v>0.5</v>
      </c>
      <c r="J24" s="0" t="n">
        <v>0.5</v>
      </c>
      <c r="K24" s="0" t="n">
        <v>1.27043730755083</v>
      </c>
      <c r="L24" s="0" t="s">
        <v>359</v>
      </c>
      <c r="M24" s="0" t="n">
        <v>627283.677598768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1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2734375" defaultRowHeight="15" customHeight="false" zeroHeight="false" outlineLevelRow="0" outlineLevelCol="0"/>
  <cols>
    <col collapsed="false" customWidth="true" hidden="false" outlineLevel="0" max="1" min="1" style="0" width="46"/>
  </cols>
  <sheetData>
    <row r="1" customFormat="false" ht="15" hidden="false" customHeight="false" outlineLevel="0" collapsed="false">
      <c r="A1" s="1" t="s">
        <v>360</v>
      </c>
    </row>
    <row r="4" customFormat="false" ht="15" hidden="false" customHeight="false" outlineLevel="0" collapsed="false">
      <c r="A4" s="1" t="s">
        <v>361</v>
      </c>
      <c r="B4" s="1" t="s">
        <v>362</v>
      </c>
      <c r="C4" s="1" t="s">
        <v>363</v>
      </c>
      <c r="D4" s="1" t="s">
        <v>364</v>
      </c>
      <c r="E4" s="1" t="s">
        <v>365</v>
      </c>
      <c r="F4" s="1" t="s">
        <v>366</v>
      </c>
      <c r="G4" s="1" t="s">
        <v>367</v>
      </c>
      <c r="H4" s="1" t="s">
        <v>368</v>
      </c>
      <c r="I4" s="1" t="s">
        <v>369</v>
      </c>
      <c r="J4" s="1" t="s">
        <v>370</v>
      </c>
      <c r="K4" s="1" t="s">
        <v>371</v>
      </c>
      <c r="L4" s="1" t="s">
        <v>372</v>
      </c>
      <c r="M4" s="1" t="s">
        <v>373</v>
      </c>
      <c r="O4" s="1" t="s">
        <v>374</v>
      </c>
    </row>
    <row r="5" customFormat="false" ht="15" hidden="false" customHeight="false" outlineLevel="0" collapsed="false">
      <c r="A5" s="0" t="s">
        <v>331</v>
      </c>
      <c r="B5" s="0" t="s">
        <v>375</v>
      </c>
      <c r="C5" s="0" t="s">
        <v>11</v>
      </c>
      <c r="D5" s="0" t="s">
        <v>153</v>
      </c>
      <c r="E5" s="0" t="s">
        <v>28</v>
      </c>
      <c r="F5" s="0" t="s">
        <v>376</v>
      </c>
      <c r="G5" s="0" t="n">
        <v>-22.3291207441947</v>
      </c>
      <c r="H5" s="0" t="s">
        <v>11</v>
      </c>
      <c r="I5" s="0" t="n">
        <v>-22.3291207441947</v>
      </c>
      <c r="K5" s="0" t="n">
        <f aca="false">IF(AND(B5="Risk_FXVol",ISNUMBER(J5)),I5/J5,0)</f>
        <v>0</v>
      </c>
      <c r="L5" s="0" t="n">
        <f aca="false">IF(OR(B5="Risk_FXVol",B5="Risk_IRVol"),INDEX(SIMM_Curvature!$D$15:$D$26,MATCH(E5,SIMM_Curvature!$A$15:$A$26,0)),0)</f>
        <v>0</v>
      </c>
      <c r="M5" s="0" t="n">
        <f aca="false">K5*L5</f>
        <v>0</v>
      </c>
      <c r="O5" s="1" t="s">
        <v>318</v>
      </c>
      <c r="P5" s="0" t="s">
        <v>342</v>
      </c>
    </row>
    <row r="6" customFormat="false" ht="15" hidden="false" customHeight="false" outlineLevel="0" collapsed="false">
      <c r="A6" s="0" t="s">
        <v>331</v>
      </c>
      <c r="B6" s="0" t="s">
        <v>375</v>
      </c>
      <c r="C6" s="0" t="s">
        <v>11</v>
      </c>
      <c r="D6" s="0" t="s">
        <v>153</v>
      </c>
      <c r="E6" s="0" t="s">
        <v>29</v>
      </c>
      <c r="F6" s="0" t="s">
        <v>376</v>
      </c>
      <c r="G6" s="0" t="n">
        <v>11213.5397633612</v>
      </c>
      <c r="H6" s="0" t="s">
        <v>11</v>
      </c>
      <c r="I6" s="0" t="n">
        <v>11213.5397633612</v>
      </c>
      <c r="K6" s="0" t="n">
        <f aca="false">IF(AND(B6="Risk_FXVol",ISNUMBER(J6)),I6/J6,0)</f>
        <v>0</v>
      </c>
      <c r="L6" s="0" t="n">
        <f aca="false">IF(OR(B6="Risk_FXVol",B6="Risk_IRVol"),INDEX(SIMM_Curvature!$D$15:$D$26,MATCH(E6,SIMM_Curvature!$A$15:$A$26,0)),0)</f>
        <v>0</v>
      </c>
      <c r="M6" s="0" t="n">
        <f aca="false">K6*L6</f>
        <v>0</v>
      </c>
      <c r="O6" s="1" t="s">
        <v>323</v>
      </c>
      <c r="P6" s="0" t="n">
        <v>50000000</v>
      </c>
    </row>
    <row r="7" customFormat="false" ht="15" hidden="false" customHeight="false" outlineLevel="0" collapsed="false">
      <c r="A7" s="0" t="s">
        <v>334</v>
      </c>
      <c r="B7" s="0" t="s">
        <v>375</v>
      </c>
      <c r="C7" s="0" t="s">
        <v>11</v>
      </c>
      <c r="D7" s="0" t="s">
        <v>153</v>
      </c>
      <c r="E7" s="0" t="s">
        <v>28</v>
      </c>
      <c r="F7" s="0" t="s">
        <v>376</v>
      </c>
      <c r="G7" s="0" t="n">
        <v>18.2622852128204</v>
      </c>
      <c r="H7" s="0" t="s">
        <v>11</v>
      </c>
      <c r="I7" s="0" t="n">
        <v>18.2622852128204</v>
      </c>
      <c r="K7" s="0" t="n">
        <f aca="false">IF(AND(B7="Risk_FXVol",ISNUMBER(J7)),I7/J7,0)</f>
        <v>0</v>
      </c>
      <c r="L7" s="0" t="n">
        <f aca="false">IF(OR(B7="Risk_FXVol",B7="Risk_IRVol"),INDEX(SIMM_Curvature!$D$15:$D$26,MATCH(E7,SIMM_Curvature!$A$15:$A$26,0)),0)</f>
        <v>0</v>
      </c>
      <c r="M7" s="0" t="n">
        <f aca="false">K7*L7</f>
        <v>0</v>
      </c>
      <c r="O7" s="1" t="s">
        <v>324</v>
      </c>
      <c r="P7" s="0" t="n">
        <v>1</v>
      </c>
    </row>
    <row r="8" customFormat="false" ht="15" hidden="false" customHeight="false" outlineLevel="0" collapsed="false">
      <c r="A8" s="0" t="s">
        <v>334</v>
      </c>
      <c r="B8" s="0" t="s">
        <v>375</v>
      </c>
      <c r="C8" s="0" t="s">
        <v>11</v>
      </c>
      <c r="D8" s="0" t="s">
        <v>153</v>
      </c>
      <c r="E8" s="0" t="s">
        <v>29</v>
      </c>
      <c r="F8" s="0" t="s">
        <v>376</v>
      </c>
      <c r="G8" s="0" t="n">
        <v>37.2770509485441</v>
      </c>
      <c r="H8" s="0" t="s">
        <v>11</v>
      </c>
      <c r="I8" s="0" t="n">
        <v>37.2770509485441</v>
      </c>
      <c r="K8" s="0" t="n">
        <f aca="false">IF(AND(B8="Risk_FXVol",ISNUMBER(J8)),I8/J8,0)</f>
        <v>0</v>
      </c>
      <c r="L8" s="0" t="n">
        <f aca="false">IF(OR(B8="Risk_FXVol",B8="Risk_IRVol"),INDEX(SIMM_Curvature!$D$15:$D$26,MATCH(E8,SIMM_Curvature!$A$15:$A$26,0)),0)</f>
        <v>0</v>
      </c>
      <c r="M8" s="0" t="n">
        <f aca="false">K8*L8</f>
        <v>0</v>
      </c>
      <c r="O8" s="1" t="s">
        <v>377</v>
      </c>
      <c r="P8" s="0" t="n">
        <v>0.0469034770524143</v>
      </c>
    </row>
    <row r="9" customFormat="false" ht="15" hidden="false" customHeight="false" outlineLevel="0" collapsed="false">
      <c r="A9" s="0" t="s">
        <v>334</v>
      </c>
      <c r="B9" s="0" t="s">
        <v>375</v>
      </c>
      <c r="C9" s="0" t="s">
        <v>11</v>
      </c>
      <c r="D9" s="0" t="s">
        <v>153</v>
      </c>
      <c r="E9" s="0" t="s">
        <v>30</v>
      </c>
      <c r="F9" s="0" t="s">
        <v>376</v>
      </c>
      <c r="G9" s="0" t="n">
        <v>96.1834149144061</v>
      </c>
      <c r="H9" s="0" t="s">
        <v>11</v>
      </c>
      <c r="I9" s="0" t="n">
        <v>96.1834149144061</v>
      </c>
      <c r="K9" s="0" t="n">
        <f aca="false">IF(AND(B9="Risk_FXVol",ISNUMBER(J9)),I9/J9,0)</f>
        <v>0</v>
      </c>
      <c r="L9" s="0" t="n">
        <f aca="false">IF(OR(B9="Risk_FXVol",B9="Risk_IRVol"),INDEX(SIMM_Curvature!$D$15:$D$26,MATCH(E9,SIMM_Curvature!$A$15:$A$26,0)),0)</f>
        <v>0</v>
      </c>
      <c r="M9" s="0" t="n">
        <f aca="false">K9*L9</f>
        <v>0</v>
      </c>
      <c r="O9" s="1" t="s">
        <v>378</v>
      </c>
      <c r="P9" s="0" t="n">
        <v>4.19346456190088</v>
      </c>
    </row>
    <row r="10" customFormat="false" ht="15" hidden="false" customHeight="false" outlineLevel="0" collapsed="false">
      <c r="A10" s="0" t="s">
        <v>334</v>
      </c>
      <c r="B10" s="0" t="s">
        <v>375</v>
      </c>
      <c r="C10" s="0" t="s">
        <v>11</v>
      </c>
      <c r="D10" s="0" t="s">
        <v>153</v>
      </c>
      <c r="E10" s="0" t="s">
        <v>31</v>
      </c>
      <c r="F10" s="0" t="s">
        <v>376</v>
      </c>
      <c r="G10" s="0" t="n">
        <v>-17421.6860474568</v>
      </c>
      <c r="H10" s="0" t="s">
        <v>11</v>
      </c>
      <c r="I10" s="0" t="n">
        <v>-17421.6860474568</v>
      </c>
      <c r="K10" s="0" t="n">
        <f aca="false">IF(AND(B10="Risk_FXVol",ISNUMBER(J10)),I10/J10,0)</f>
        <v>0</v>
      </c>
      <c r="L10" s="0" t="n">
        <f aca="false">IF(OR(B10="Risk_FXVol",B10="Risk_IRVol"),INDEX(SIMM_Curvature!$D$15:$D$26,MATCH(E10,SIMM_Curvature!$A$15:$A$26,0)),0)</f>
        <v>0</v>
      </c>
      <c r="M10" s="0" t="n">
        <f aca="false">K10*L10</f>
        <v>0</v>
      </c>
      <c r="O10" s="1" t="s">
        <v>328</v>
      </c>
      <c r="P10" s="0" t="n">
        <v>0.042878843209616</v>
      </c>
    </row>
    <row r="11" customFormat="false" ht="15" hidden="false" customHeight="false" outlineLevel="0" collapsed="false">
      <c r="A11" s="0" t="s">
        <v>335</v>
      </c>
      <c r="B11" s="0" t="s">
        <v>375</v>
      </c>
      <c r="C11" s="0" t="s">
        <v>11</v>
      </c>
      <c r="D11" s="0" t="s">
        <v>153</v>
      </c>
      <c r="E11" s="0" t="s">
        <v>28</v>
      </c>
      <c r="F11" s="0" t="s">
        <v>376</v>
      </c>
      <c r="G11" s="0" t="n">
        <v>-6.9223531028532</v>
      </c>
      <c r="H11" s="0" t="s">
        <v>11</v>
      </c>
      <c r="I11" s="0" t="n">
        <v>-6.9223531028532</v>
      </c>
      <c r="K11" s="0" t="n">
        <f aca="false">IF(AND(B11="Risk_FXVol",ISNUMBER(J11)),I11/J11,0)</f>
        <v>0</v>
      </c>
      <c r="L11" s="0" t="n">
        <f aca="false">IF(OR(B11="Risk_FXVol",B11="Risk_IRVol"),INDEX(SIMM_Curvature!$D$15:$D$26,MATCH(E11,SIMM_Curvature!$A$15:$A$26,0)),0)</f>
        <v>0</v>
      </c>
      <c r="M11" s="0" t="n">
        <f aca="false">K11*L11</f>
        <v>0</v>
      </c>
      <c r="O11" s="1" t="s">
        <v>379</v>
      </c>
      <c r="P11" s="0" t="n">
        <v>85.3323178505987</v>
      </c>
    </row>
    <row r="12" customFormat="false" ht="15" hidden="false" customHeight="false" outlineLevel="0" collapsed="false">
      <c r="A12" s="0" t="s">
        <v>335</v>
      </c>
      <c r="B12" s="0" t="s">
        <v>375</v>
      </c>
      <c r="C12" s="0" t="s">
        <v>11</v>
      </c>
      <c r="D12" s="0" t="s">
        <v>153</v>
      </c>
      <c r="E12" s="0" t="s">
        <v>29</v>
      </c>
      <c r="F12" s="0" t="s">
        <v>376</v>
      </c>
      <c r="G12" s="0" t="n">
        <v>-14.1299352423491</v>
      </c>
      <c r="H12" s="0" t="s">
        <v>11</v>
      </c>
      <c r="I12" s="0" t="n">
        <v>-14.1299352423491</v>
      </c>
      <c r="K12" s="0" t="n">
        <f aca="false">IF(AND(B12="Risk_FXVol",ISNUMBER(J12)),I12/J12,0)</f>
        <v>0</v>
      </c>
      <c r="L12" s="0" t="n">
        <f aca="false">IF(OR(B12="Risk_FXVol",B12="Risk_IRVol"),INDEX(SIMM_Curvature!$D$15:$D$26,MATCH(E12,SIMM_Curvature!$A$15:$A$26,0)),0)</f>
        <v>0</v>
      </c>
      <c r="M12" s="0" t="n">
        <f aca="false">K12*L12</f>
        <v>0</v>
      </c>
      <c r="O12" s="1" t="s">
        <v>380</v>
      </c>
      <c r="P12" s="0" t="n">
        <v>1</v>
      </c>
    </row>
    <row r="13" customFormat="false" ht="15" hidden="false" customHeight="false" outlineLevel="0" collapsed="false">
      <c r="A13" s="0" t="s">
        <v>335</v>
      </c>
      <c r="B13" s="0" t="s">
        <v>375</v>
      </c>
      <c r="C13" s="0" t="s">
        <v>11</v>
      </c>
      <c r="D13" s="0" t="s">
        <v>153</v>
      </c>
      <c r="E13" s="0" t="s">
        <v>30</v>
      </c>
      <c r="F13" s="0" t="s">
        <v>376</v>
      </c>
      <c r="G13" s="0" t="n">
        <v>-36.4585009729666</v>
      </c>
      <c r="H13" s="0" t="s">
        <v>11</v>
      </c>
      <c r="I13" s="0" t="n">
        <v>-36.4585009729666</v>
      </c>
      <c r="K13" s="0" t="n">
        <f aca="false">IF(AND(B13="Risk_FXVol",ISNUMBER(J13)),I13/J13,0)</f>
        <v>0</v>
      </c>
      <c r="L13" s="0" t="n">
        <f aca="false">IF(OR(B13="Risk_FXVol",B13="Risk_IRVol"),INDEX(SIMM_Curvature!$D$15:$D$26,MATCH(E13,SIMM_Curvature!$A$15:$A$26,0)),0)</f>
        <v>0</v>
      </c>
      <c r="M13" s="0" t="n">
        <f aca="false">K13*L13</f>
        <v>0</v>
      </c>
      <c r="O13" s="1" t="s">
        <v>381</v>
      </c>
      <c r="P13" s="0" t="n">
        <v>1</v>
      </c>
    </row>
    <row r="14" customFormat="false" ht="15" hidden="false" customHeight="false" outlineLevel="0" collapsed="false">
      <c r="A14" s="0" t="s">
        <v>335</v>
      </c>
      <c r="B14" s="0" t="s">
        <v>375</v>
      </c>
      <c r="C14" s="0" t="s">
        <v>11</v>
      </c>
      <c r="D14" s="0" t="s">
        <v>153</v>
      </c>
      <c r="E14" s="0" t="s">
        <v>31</v>
      </c>
      <c r="F14" s="0" t="s">
        <v>376</v>
      </c>
      <c r="G14" s="0" t="n">
        <v>-165.783323268622</v>
      </c>
      <c r="H14" s="0" t="s">
        <v>11</v>
      </c>
      <c r="I14" s="0" t="n">
        <v>-165.783323268622</v>
      </c>
      <c r="K14" s="0" t="n">
        <f aca="false">IF(AND(B14="Risk_FXVol",ISNUMBER(J14)),I14/J14,0)</f>
        <v>0</v>
      </c>
      <c r="L14" s="0" t="n">
        <f aca="false">IF(OR(B14="Risk_FXVol",B14="Risk_IRVol"),INDEX(SIMM_Curvature!$D$15:$D$26,MATCH(E14,SIMM_Curvature!$A$15:$A$26,0)),0)</f>
        <v>0</v>
      </c>
      <c r="M14" s="0" t="n">
        <f aca="false">K14*L14</f>
        <v>0</v>
      </c>
      <c r="O14" s="1" t="s">
        <v>382</v>
      </c>
      <c r="P14" s="0" t="n">
        <f aca="false">$P$11/10000</f>
        <v>0.00853323178505987</v>
      </c>
    </row>
    <row r="15" customFormat="false" ht="15" hidden="false" customHeight="false" outlineLevel="0" collapsed="false">
      <c r="A15" s="0" t="s">
        <v>335</v>
      </c>
      <c r="B15" s="0" t="s">
        <v>375</v>
      </c>
      <c r="C15" s="0" t="s">
        <v>11</v>
      </c>
      <c r="D15" s="0" t="s">
        <v>153</v>
      </c>
      <c r="E15" s="0" t="s">
        <v>32</v>
      </c>
      <c r="F15" s="0" t="s">
        <v>376</v>
      </c>
      <c r="G15" s="0" t="n">
        <v>19420.0583078246</v>
      </c>
      <c r="H15" s="0" t="s">
        <v>11</v>
      </c>
      <c r="I15" s="0" t="n">
        <v>19420.0583078246</v>
      </c>
      <c r="K15" s="0" t="n">
        <f aca="false">IF(AND(B15="Risk_FXVol",ISNUMBER(J15)),I15/J15,0)</f>
        <v>0</v>
      </c>
      <c r="L15" s="0" t="n">
        <f aca="false">IF(OR(B15="Risk_FXVol",B15="Risk_IRVol"),INDEX(SIMM_Curvature!$D$15:$D$26,MATCH(E15,SIMM_Curvature!$A$15:$A$26,0)),0)</f>
        <v>0</v>
      </c>
      <c r="M15" s="0" t="n">
        <f aca="false">K15*L15</f>
        <v>0</v>
      </c>
      <c r="O15" s="1" t="s">
        <v>383</v>
      </c>
      <c r="P15" s="0" t="n">
        <f aca="false">$P$14*SQRT($P$12)</f>
        <v>0.00853323178505987</v>
      </c>
    </row>
    <row r="16" customFormat="false" ht="15" hidden="false" customHeight="false" outlineLevel="0" collapsed="false">
      <c r="A16" s="0" t="s">
        <v>336</v>
      </c>
      <c r="B16" s="0" t="s">
        <v>375</v>
      </c>
      <c r="C16" s="0" t="s">
        <v>11</v>
      </c>
      <c r="D16" s="0" t="s">
        <v>153</v>
      </c>
      <c r="E16" s="0" t="s">
        <v>28</v>
      </c>
      <c r="F16" s="0" t="s">
        <v>376</v>
      </c>
      <c r="G16" s="0" t="n">
        <v>0.785935111066834</v>
      </c>
      <c r="H16" s="0" t="s">
        <v>11</v>
      </c>
      <c r="I16" s="0" t="n">
        <v>0.785935111066834</v>
      </c>
      <c r="K16" s="0" t="n">
        <f aca="false">IF(AND(B16="Risk_FXVol",ISNUMBER(J16)),I16/J16,0)</f>
        <v>0</v>
      </c>
      <c r="L16" s="0" t="n">
        <f aca="false">IF(OR(B16="Risk_FXVol",B16="Risk_IRVol"),INDEX(SIMM_Curvature!$D$15:$D$26,MATCH(E16,SIMM_Curvature!$A$15:$A$26,0)),0)</f>
        <v>0</v>
      </c>
      <c r="M16" s="0" t="n">
        <f aca="false">K16*L16</f>
        <v>0</v>
      </c>
      <c r="O16" s="1" t="s">
        <v>384</v>
      </c>
      <c r="P16" s="0" t="n">
        <f aca="false">($P$8-$P$10)/$P$15</f>
        <v>0.471642391086181</v>
      </c>
    </row>
    <row r="17" customFormat="false" ht="15" hidden="false" customHeight="false" outlineLevel="0" collapsed="false">
      <c r="A17" s="0" t="s">
        <v>336</v>
      </c>
      <c r="B17" s="0" t="s">
        <v>375</v>
      </c>
      <c r="C17" s="0" t="s">
        <v>11</v>
      </c>
      <c r="D17" s="0" t="s">
        <v>153</v>
      </c>
      <c r="E17" s="0" t="s">
        <v>29</v>
      </c>
      <c r="F17" s="0" t="s">
        <v>376</v>
      </c>
      <c r="G17" s="0" t="n">
        <v>1.60425386093205</v>
      </c>
      <c r="H17" s="0" t="s">
        <v>11</v>
      </c>
      <c r="I17" s="0" t="n">
        <v>1.60425386093205</v>
      </c>
      <c r="K17" s="0" t="n">
        <f aca="false">IF(AND(B17="Risk_FXVol",ISNUMBER(J17)),I17/J17,0)</f>
        <v>0</v>
      </c>
      <c r="L17" s="0" t="n">
        <f aca="false">IF(OR(B17="Risk_FXVol",B17="Risk_IRVol"),INDEX(SIMM_Curvature!$D$15:$D$26,MATCH(E17,SIMM_Curvature!$A$15:$A$26,0)),0)</f>
        <v>0</v>
      </c>
      <c r="M17" s="0" t="n">
        <f aca="false">K17*L17</f>
        <v>0</v>
      </c>
      <c r="O17" s="1" t="s">
        <v>385</v>
      </c>
      <c r="P17" s="0" t="n">
        <f aca="false">EXP(-0.5*$P$16^2)/SQRT(2*PI())</f>
        <v>0.35694919946708</v>
      </c>
    </row>
    <row r="18" customFormat="false" ht="15" hidden="false" customHeight="false" outlineLevel="0" collapsed="false">
      <c r="A18" s="0" t="s">
        <v>336</v>
      </c>
      <c r="B18" s="0" t="s">
        <v>375</v>
      </c>
      <c r="C18" s="0" t="s">
        <v>11</v>
      </c>
      <c r="D18" s="0" t="s">
        <v>153</v>
      </c>
      <c r="E18" s="0" t="s">
        <v>30</v>
      </c>
      <c r="F18" s="0" t="s">
        <v>376</v>
      </c>
      <c r="G18" s="0" t="n">
        <v>4.13934550504547</v>
      </c>
      <c r="H18" s="0" t="s">
        <v>11</v>
      </c>
      <c r="I18" s="0" t="n">
        <v>4.13934550504547</v>
      </c>
      <c r="K18" s="0" t="n">
        <f aca="false">IF(AND(B18="Risk_FXVol",ISNUMBER(J18)),I18/J18,0)</f>
        <v>0</v>
      </c>
      <c r="L18" s="0" t="n">
        <f aca="false">IF(OR(B18="Risk_FXVol",B18="Risk_IRVol"),INDEX(SIMM_Curvature!$D$15:$D$26,MATCH(E18,SIMM_Curvature!$A$15:$A$26,0)),0)</f>
        <v>0</v>
      </c>
      <c r="M18" s="0" t="n">
        <f aca="false">K18*L18</f>
        <v>0</v>
      </c>
      <c r="O18" s="1" t="s">
        <v>386</v>
      </c>
      <c r="P18" s="0" t="n">
        <f aca="false">$P$6*$P$7*$P$9*SQRT($P$12)*$P$17*0.0001*$P$13</f>
        <v>7484.26909182044</v>
      </c>
    </row>
    <row r="19" customFormat="false" ht="15" hidden="false" customHeight="false" outlineLevel="0" collapsed="false">
      <c r="A19" s="0" t="s">
        <v>336</v>
      </c>
      <c r="B19" s="0" t="s">
        <v>375</v>
      </c>
      <c r="C19" s="0" t="s">
        <v>11</v>
      </c>
      <c r="D19" s="0" t="s">
        <v>153</v>
      </c>
      <c r="E19" s="0" t="s">
        <v>31</v>
      </c>
      <c r="F19" s="0" t="s">
        <v>376</v>
      </c>
      <c r="G19" s="0" t="n">
        <v>18.8223399670739</v>
      </c>
      <c r="H19" s="0" t="s">
        <v>11</v>
      </c>
      <c r="I19" s="0" t="n">
        <v>18.8223399670739</v>
      </c>
      <c r="K19" s="0" t="n">
        <f aca="false">IF(AND(B19="Risk_FXVol",ISNUMBER(J19)),I19/J19,0)</f>
        <v>0</v>
      </c>
      <c r="L19" s="0" t="n">
        <f aca="false">IF(OR(B19="Risk_FXVol",B19="Risk_IRVol"),INDEX(SIMM_Curvature!$D$15:$D$26,MATCH(E19,SIMM_Curvature!$A$15:$A$26,0)),0)</f>
        <v>0</v>
      </c>
      <c r="M19" s="0" t="n">
        <f aca="false">K19*L19</f>
        <v>0</v>
      </c>
      <c r="O19" s="1" t="s">
        <v>387</v>
      </c>
      <c r="P19" s="0" t="n">
        <f aca="false">$P$18*$P$11</f>
        <v>638650.029022634</v>
      </c>
    </row>
    <row r="20" customFormat="false" ht="15" hidden="false" customHeight="false" outlineLevel="0" collapsed="false">
      <c r="A20" s="0" t="s">
        <v>336</v>
      </c>
      <c r="B20" s="0" t="s">
        <v>375</v>
      </c>
      <c r="C20" s="0" t="s">
        <v>11</v>
      </c>
      <c r="D20" s="0" t="s">
        <v>153</v>
      </c>
      <c r="E20" s="0" t="s">
        <v>32</v>
      </c>
      <c r="F20" s="0" t="s">
        <v>376</v>
      </c>
      <c r="G20" s="0" t="n">
        <v>49.8873098468112</v>
      </c>
      <c r="H20" s="0" t="s">
        <v>11</v>
      </c>
      <c r="I20" s="0" t="n">
        <v>49.8873098468112</v>
      </c>
      <c r="K20" s="0" t="n">
        <f aca="false">IF(AND(B20="Risk_FXVol",ISNUMBER(J20)),I20/J20,0)</f>
        <v>0</v>
      </c>
      <c r="L20" s="0" t="n">
        <f aca="false">IF(OR(B20="Risk_FXVol",B20="Risk_IRVol"),INDEX(SIMM_Curvature!$D$15:$D$26,MATCH(E20,SIMM_Curvature!$A$15:$A$26,0)),0)</f>
        <v>0</v>
      </c>
      <c r="M20" s="0" t="n">
        <f aca="false">K20*L20</f>
        <v>0</v>
      </c>
      <c r="O20" s="1" t="s">
        <v>388</v>
      </c>
      <c r="P20" s="0" t="n">
        <f aca="false">SUMIFS(Sensitivities!$I$5:$I$100,Sensitivities!$A$5:$A$100,$P$5,Sensitivities!$B$5:$B$100,"Risk_IRVol")</f>
        <v>638647.77101936</v>
      </c>
    </row>
    <row r="21" customFormat="false" ht="15" hidden="false" customHeight="false" outlineLevel="0" collapsed="false">
      <c r="A21" s="0" t="s">
        <v>336</v>
      </c>
      <c r="B21" s="0" t="s">
        <v>375</v>
      </c>
      <c r="C21" s="0" t="s">
        <v>11</v>
      </c>
      <c r="D21" s="0" t="s">
        <v>153</v>
      </c>
      <c r="E21" s="0" t="s">
        <v>33</v>
      </c>
      <c r="F21" s="0" t="s">
        <v>376</v>
      </c>
      <c r="G21" s="0" t="n">
        <v>84.792680133614</v>
      </c>
      <c r="H21" s="0" t="s">
        <v>11</v>
      </c>
      <c r="I21" s="0" t="n">
        <v>84.792680133614</v>
      </c>
      <c r="K21" s="0" t="n">
        <f aca="false">IF(AND(B21="Risk_FXVol",ISNUMBER(J21)),I21/J21,0)</f>
        <v>0</v>
      </c>
      <c r="L21" s="0" t="n">
        <f aca="false">IF(OR(B21="Risk_FXVol",B21="Risk_IRVol"),INDEX(SIMM_Curvature!$D$15:$D$26,MATCH(E21,SIMM_Curvature!$A$15:$A$26,0)),0)</f>
        <v>0</v>
      </c>
      <c r="M21" s="0" t="n">
        <f aca="false">K21*L21</f>
        <v>0</v>
      </c>
      <c r="O21" s="1" t="s">
        <v>389</v>
      </c>
      <c r="P21" s="0" t="n">
        <f aca="false">$P$6*$P$7*$P$9*(($P$8-$P$10)*NORMSDIST($P$16)+$P$15*$P$17)*$P$13</f>
        <v>1213662.4175248</v>
      </c>
    </row>
    <row r="22" customFormat="false" ht="15" hidden="false" customHeight="false" outlineLevel="0" collapsed="false">
      <c r="A22" s="0" t="s">
        <v>336</v>
      </c>
      <c r="B22" s="0" t="s">
        <v>375</v>
      </c>
      <c r="C22" s="0" t="s">
        <v>11</v>
      </c>
      <c r="D22" s="0" t="s">
        <v>153</v>
      </c>
      <c r="E22" s="0" t="s">
        <v>34</v>
      </c>
      <c r="F22" s="0" t="s">
        <v>376</v>
      </c>
      <c r="G22" s="0" t="n">
        <v>221.014888984238</v>
      </c>
      <c r="H22" s="0" t="s">
        <v>11</v>
      </c>
      <c r="I22" s="0" t="n">
        <v>221.014888984238</v>
      </c>
      <c r="K22" s="0" t="n">
        <f aca="false">IF(AND(B22="Risk_FXVol",ISNUMBER(J22)),I22/J22,0)</f>
        <v>0</v>
      </c>
      <c r="L22" s="0" t="n">
        <f aca="false">IF(OR(B22="Risk_FXVol",B22="Risk_IRVol"),INDEX(SIMM_Curvature!$D$15:$D$26,MATCH(E22,SIMM_Curvature!$A$15:$A$26,0)),0)</f>
        <v>0</v>
      </c>
      <c r="M22" s="0" t="n">
        <f aca="false">K22*L22</f>
        <v>0</v>
      </c>
      <c r="O22" s="1" t="s">
        <v>390</v>
      </c>
      <c r="P22" s="0" t="n">
        <f aca="false">INDEX(Portfolio!$M$5:$M$24,MATCH($P$5,Portfolio!$A$5:$A$24,0))</f>
        <v>1213662.4175248</v>
      </c>
    </row>
    <row r="23" customFormat="false" ht="15" hidden="false" customHeight="false" outlineLevel="0" collapsed="false">
      <c r="A23" s="0" t="s">
        <v>336</v>
      </c>
      <c r="B23" s="0" t="s">
        <v>375</v>
      </c>
      <c r="C23" s="0" t="s">
        <v>11</v>
      </c>
      <c r="D23" s="0" t="s">
        <v>153</v>
      </c>
      <c r="E23" s="0" t="s">
        <v>35</v>
      </c>
      <c r="F23" s="0" t="s">
        <v>376</v>
      </c>
      <c r="G23" s="0" t="n">
        <v>-15368.9766869093</v>
      </c>
      <c r="H23" s="0" t="s">
        <v>11</v>
      </c>
      <c r="I23" s="0" t="n">
        <v>-15368.9766869093</v>
      </c>
      <c r="K23" s="0" t="n">
        <f aca="false">IF(AND(B23="Risk_FXVol",ISNUMBER(J23)),I23/J23,0)</f>
        <v>0</v>
      </c>
      <c r="L23" s="0" t="n">
        <f aca="false">IF(OR(B23="Risk_FXVol",B23="Risk_IRVol"),INDEX(SIMM_Curvature!$D$15:$D$26,MATCH(E23,SIMM_Curvature!$A$15:$A$26,0)),0)</f>
        <v>0</v>
      </c>
      <c r="M23" s="0" t="n">
        <f aca="false">K23*L23</f>
        <v>0</v>
      </c>
    </row>
    <row r="24" customFormat="false" ht="15" hidden="false" customHeight="false" outlineLevel="0" collapsed="false">
      <c r="A24" s="0" t="s">
        <v>337</v>
      </c>
      <c r="B24" s="0" t="s">
        <v>375</v>
      </c>
      <c r="C24" s="0" t="s">
        <v>19</v>
      </c>
      <c r="D24" s="0" t="s">
        <v>153</v>
      </c>
      <c r="E24" s="0" t="s">
        <v>28</v>
      </c>
      <c r="F24" s="0" t="s">
        <v>376</v>
      </c>
      <c r="G24" s="0" t="n">
        <v>-5.50686247347733</v>
      </c>
      <c r="H24" s="0" t="s">
        <v>19</v>
      </c>
      <c r="I24" s="0" t="n">
        <v>-6.7159789917658</v>
      </c>
      <c r="K24" s="0" t="n">
        <f aca="false">IF(AND(B24="Risk_FXVol",ISNUMBER(J24)),I24/J24,0)</f>
        <v>0</v>
      </c>
      <c r="L24" s="0" t="n">
        <f aca="false">IF(OR(B24="Risk_FXVol",B24="Risk_IRVol"),INDEX(SIMM_Curvature!$D$15:$D$26,MATCH(E24,SIMM_Curvature!$A$15:$A$26,0)),0)</f>
        <v>0</v>
      </c>
      <c r="M24" s="0" t="n">
        <f aca="false">K24*L24</f>
        <v>0</v>
      </c>
    </row>
    <row r="25" customFormat="false" ht="15" hidden="false" customHeight="false" outlineLevel="0" collapsed="false">
      <c r="A25" s="0" t="s">
        <v>337</v>
      </c>
      <c r="B25" s="0" t="s">
        <v>375</v>
      </c>
      <c r="C25" s="0" t="s">
        <v>19</v>
      </c>
      <c r="D25" s="0" t="s">
        <v>153</v>
      </c>
      <c r="E25" s="0" t="s">
        <v>29</v>
      </c>
      <c r="F25" s="0" t="s">
        <v>376</v>
      </c>
      <c r="G25" s="0" t="n">
        <v>-11.1461527913505</v>
      </c>
      <c r="H25" s="0" t="s">
        <v>19</v>
      </c>
      <c r="I25" s="0" t="n">
        <v>-13.5934624019134</v>
      </c>
      <c r="K25" s="0" t="n">
        <f aca="false">IF(AND(B25="Risk_FXVol",ISNUMBER(J25)),I25/J25,0)</f>
        <v>0</v>
      </c>
      <c r="L25" s="0" t="n">
        <f aca="false">IF(OR(B25="Risk_FXVol",B25="Risk_IRVol"),INDEX(SIMM_Curvature!$D$15:$D$26,MATCH(E25,SIMM_Curvature!$A$15:$A$26,0)),0)</f>
        <v>0</v>
      </c>
      <c r="M25" s="0" t="n">
        <f aca="false">K25*L25</f>
        <v>0</v>
      </c>
    </row>
    <row r="26" customFormat="false" ht="15" hidden="false" customHeight="false" outlineLevel="0" collapsed="false">
      <c r="A26" s="0" t="s">
        <v>337</v>
      </c>
      <c r="B26" s="0" t="s">
        <v>375</v>
      </c>
      <c r="C26" s="0" t="s">
        <v>19</v>
      </c>
      <c r="D26" s="0" t="s">
        <v>153</v>
      </c>
      <c r="E26" s="0" t="s">
        <v>30</v>
      </c>
      <c r="F26" s="0" t="s">
        <v>376</v>
      </c>
      <c r="G26" s="0" t="n">
        <v>-28.3963144188858</v>
      </c>
      <c r="H26" s="0" t="s">
        <v>19</v>
      </c>
      <c r="I26" s="0" t="n">
        <v>-34.631162844419</v>
      </c>
      <c r="K26" s="0" t="n">
        <f aca="false">IF(AND(B26="Risk_FXVol",ISNUMBER(J26)),I26/J26,0)</f>
        <v>0</v>
      </c>
      <c r="L26" s="0" t="n">
        <f aca="false">IF(OR(B26="Risk_FXVol",B26="Risk_IRVol"),INDEX(SIMM_Curvature!$D$15:$D$26,MATCH(E26,SIMM_Curvature!$A$15:$A$26,0)),0)</f>
        <v>0</v>
      </c>
      <c r="M26" s="0" t="n">
        <f aca="false">K26*L26</f>
        <v>0</v>
      </c>
      <c r="O26" s="1" t="s">
        <v>391</v>
      </c>
    </row>
    <row r="27" customFormat="false" ht="15" hidden="false" customHeight="false" outlineLevel="0" collapsed="false">
      <c r="A27" s="0" t="s">
        <v>337</v>
      </c>
      <c r="B27" s="0" t="s">
        <v>375</v>
      </c>
      <c r="C27" s="0" t="s">
        <v>19</v>
      </c>
      <c r="D27" s="0" t="s">
        <v>153</v>
      </c>
      <c r="E27" s="0" t="s">
        <v>31</v>
      </c>
      <c r="F27" s="0" t="s">
        <v>376</v>
      </c>
      <c r="G27" s="0" t="n">
        <v>13859.9596472407</v>
      </c>
      <c r="H27" s="0" t="s">
        <v>19</v>
      </c>
      <c r="I27" s="0" t="n">
        <v>16903.1273735101</v>
      </c>
      <c r="K27" s="0" t="n">
        <f aca="false">IF(AND(B27="Risk_FXVol",ISNUMBER(J27)),I27/J27,0)</f>
        <v>0</v>
      </c>
      <c r="L27" s="0" t="n">
        <f aca="false">IF(OR(B27="Risk_FXVol",B27="Risk_IRVol"),INDEX(SIMM_Curvature!$D$15:$D$26,MATCH(E27,SIMM_Curvature!$A$15:$A$26,0)),0)</f>
        <v>0</v>
      </c>
      <c r="M27" s="0" t="n">
        <f aca="false">K27*L27</f>
        <v>0</v>
      </c>
      <c r="O27" s="1" t="s">
        <v>318</v>
      </c>
      <c r="P27" s="0" t="s">
        <v>357</v>
      </c>
    </row>
    <row r="28" customFormat="false" ht="15" hidden="false" customHeight="false" outlineLevel="0" collapsed="false">
      <c r="A28" s="0" t="s">
        <v>337</v>
      </c>
      <c r="B28" s="0" t="s">
        <v>392</v>
      </c>
      <c r="C28" s="0" t="s">
        <v>19</v>
      </c>
      <c r="G28" s="0" t="n">
        <v>3627.88000573812</v>
      </c>
      <c r="H28" s="0" t="s">
        <v>11</v>
      </c>
      <c r="I28" s="0" t="n">
        <v>3627.88000573812</v>
      </c>
      <c r="K28" s="0" t="n">
        <f aca="false">IF(AND(B28="Risk_FXVol",ISNUMBER(J28)),I28/J28,0)</f>
        <v>0</v>
      </c>
      <c r="L28" s="0" t="n">
        <f aca="false">IF(OR(B28="Risk_FXVol",B28="Risk_IRVol"),INDEX(SIMM_Curvature!$D$15:$D$26,MATCH(E28,SIMM_Curvature!$A$15:$A$26,0)),0)</f>
        <v>0</v>
      </c>
      <c r="M28" s="0" t="n">
        <f aca="false">K28*L28</f>
        <v>0</v>
      </c>
      <c r="O28" s="1" t="s">
        <v>393</v>
      </c>
      <c r="P28" s="0" t="n">
        <v>15000000</v>
      </c>
    </row>
    <row r="29" customFormat="false" ht="15" hidden="false" customHeight="false" outlineLevel="0" collapsed="false">
      <c r="A29" s="0" t="s">
        <v>338</v>
      </c>
      <c r="B29" s="0" t="s">
        <v>375</v>
      </c>
      <c r="C29" s="0" t="s">
        <v>19</v>
      </c>
      <c r="D29" s="0" t="s">
        <v>153</v>
      </c>
      <c r="E29" s="0" t="s">
        <v>28</v>
      </c>
      <c r="F29" s="0" t="s">
        <v>376</v>
      </c>
      <c r="G29" s="0" t="n">
        <v>-1.26346548003774</v>
      </c>
      <c r="H29" s="0" t="s">
        <v>19</v>
      </c>
      <c r="I29" s="0" t="n">
        <v>-1.54087879652397</v>
      </c>
      <c r="K29" s="0" t="n">
        <f aca="false">IF(AND(B29="Risk_FXVol",ISNUMBER(J29)),I29/J29,0)</f>
        <v>0</v>
      </c>
      <c r="L29" s="0" t="n">
        <f aca="false">IF(OR(B29="Risk_FXVol",B29="Risk_IRVol"),INDEX(SIMM_Curvature!$D$15:$D$26,MATCH(E29,SIMM_Curvature!$A$15:$A$26,0)),0)</f>
        <v>0</v>
      </c>
      <c r="M29" s="0" t="n">
        <f aca="false">K29*L29</f>
        <v>0</v>
      </c>
      <c r="O29" s="1" t="s">
        <v>324</v>
      </c>
      <c r="P29" s="0" t="n">
        <v>1</v>
      </c>
    </row>
    <row r="30" customFormat="false" ht="15" hidden="false" customHeight="false" outlineLevel="0" collapsed="false">
      <c r="A30" s="0" t="s">
        <v>338</v>
      </c>
      <c r="B30" s="0" t="s">
        <v>375</v>
      </c>
      <c r="C30" s="0" t="s">
        <v>19</v>
      </c>
      <c r="D30" s="0" t="s">
        <v>153</v>
      </c>
      <c r="E30" s="0" t="s">
        <v>29</v>
      </c>
      <c r="F30" s="0" t="s">
        <v>376</v>
      </c>
      <c r="G30" s="0" t="n">
        <v>-2.55731468378737</v>
      </c>
      <c r="H30" s="0" t="s">
        <v>19</v>
      </c>
      <c r="I30" s="0" t="n">
        <v>-3.11881253152215</v>
      </c>
      <c r="K30" s="0" t="n">
        <f aca="false">IF(AND(B30="Risk_FXVol",ISNUMBER(J30)),I30/J30,0)</f>
        <v>0</v>
      </c>
      <c r="L30" s="0" t="n">
        <f aca="false">IF(OR(B30="Risk_FXVol",B30="Risk_IRVol"),INDEX(SIMM_Curvature!$D$15:$D$26,MATCH(E30,SIMM_Curvature!$A$15:$A$26,0)),0)</f>
        <v>0</v>
      </c>
      <c r="M30" s="0" t="n">
        <f aca="false">K30*L30</f>
        <v>0</v>
      </c>
      <c r="O30" s="1" t="s">
        <v>394</v>
      </c>
      <c r="P30" s="0" t="n">
        <v>1.28196566159412</v>
      </c>
    </row>
    <row r="31" customFormat="false" ht="15" hidden="false" customHeight="false" outlineLevel="0" collapsed="false">
      <c r="A31" s="0" t="s">
        <v>338</v>
      </c>
      <c r="B31" s="0" t="s">
        <v>375</v>
      </c>
      <c r="C31" s="0" t="s">
        <v>19</v>
      </c>
      <c r="D31" s="0" t="s">
        <v>153</v>
      </c>
      <c r="E31" s="0" t="s">
        <v>30</v>
      </c>
      <c r="F31" s="0" t="s">
        <v>376</v>
      </c>
      <c r="G31" s="0" t="n">
        <v>-6.51510216449076</v>
      </c>
      <c r="H31" s="0" t="s">
        <v>19</v>
      </c>
      <c r="I31" s="0" t="n">
        <v>-7.9455932441869</v>
      </c>
      <c r="K31" s="0" t="n">
        <f aca="false">IF(AND(B31="Risk_FXVol",ISNUMBER(J31)),I31/J31,0)</f>
        <v>0</v>
      </c>
      <c r="L31" s="0" t="n">
        <f aca="false">IF(OR(B31="Risk_FXVol",B31="Risk_IRVol"),INDEX(SIMM_Curvature!$D$15:$D$26,MATCH(E31,SIMM_Curvature!$A$15:$A$26,0)),0)</f>
        <v>0</v>
      </c>
      <c r="M31" s="0" t="n">
        <f aca="false">K31*L31</f>
        <v>0</v>
      </c>
      <c r="O31" s="1" t="s">
        <v>328</v>
      </c>
      <c r="P31" s="0" t="n">
        <v>1.27043730755083</v>
      </c>
    </row>
    <row r="32" customFormat="false" ht="15" hidden="false" customHeight="false" outlineLevel="0" collapsed="false">
      <c r="A32" s="0" t="s">
        <v>338</v>
      </c>
      <c r="B32" s="0" t="s">
        <v>375</v>
      </c>
      <c r="C32" s="0" t="s">
        <v>19</v>
      </c>
      <c r="D32" s="0" t="s">
        <v>153</v>
      </c>
      <c r="E32" s="0" t="s">
        <v>31</v>
      </c>
      <c r="F32" s="0" t="s">
        <v>376</v>
      </c>
      <c r="G32" s="0" t="n">
        <v>-28.6901009217424</v>
      </c>
      <c r="H32" s="0" t="s">
        <v>19</v>
      </c>
      <c r="I32" s="0" t="n">
        <v>-34.9894547013071</v>
      </c>
      <c r="K32" s="0" t="n">
        <f aca="false">IF(AND(B32="Risk_FXVol",ISNUMBER(J32)),I32/J32,0)</f>
        <v>0</v>
      </c>
      <c r="L32" s="0" t="n">
        <f aca="false">IF(OR(B32="Risk_FXVol",B32="Risk_IRVol"),INDEX(SIMM_Curvature!$D$15:$D$26,MATCH(E32,SIMM_Curvature!$A$15:$A$26,0)),0)</f>
        <v>0</v>
      </c>
      <c r="M32" s="0" t="n">
        <f aca="false">K32*L32</f>
        <v>0</v>
      </c>
      <c r="O32" s="1" t="s">
        <v>395</v>
      </c>
      <c r="P32" s="0" t="n">
        <v>0.134059346807753</v>
      </c>
    </row>
    <row r="33" customFormat="false" ht="15" hidden="false" customHeight="false" outlineLevel="0" collapsed="false">
      <c r="A33" s="0" t="s">
        <v>338</v>
      </c>
      <c r="B33" s="0" t="s">
        <v>375</v>
      </c>
      <c r="C33" s="0" t="s">
        <v>19</v>
      </c>
      <c r="D33" s="0" t="s">
        <v>153</v>
      </c>
      <c r="E33" s="0" t="s">
        <v>32</v>
      </c>
      <c r="F33" s="0" t="s">
        <v>376</v>
      </c>
      <c r="G33" s="0" t="n">
        <v>-17420.2527644759</v>
      </c>
      <c r="H33" s="0" t="s">
        <v>19</v>
      </c>
      <c r="I33" s="0" t="n">
        <v>-21245.1377097118</v>
      </c>
      <c r="K33" s="0" t="n">
        <f aca="false">IF(AND(B33="Risk_FXVol",ISNUMBER(J33)),I33/J33,0)</f>
        <v>0</v>
      </c>
      <c r="L33" s="0" t="n">
        <f aca="false">IF(OR(B33="Risk_FXVol",B33="Risk_IRVol"),INDEX(SIMM_Curvature!$D$15:$D$26,MATCH(E33,SIMM_Curvature!$A$15:$A$26,0)),0)</f>
        <v>0</v>
      </c>
      <c r="M33" s="0" t="n">
        <f aca="false">K33*L33</f>
        <v>0</v>
      </c>
      <c r="O33" s="1" t="s">
        <v>380</v>
      </c>
      <c r="P33" s="0" t="n">
        <v>0.5</v>
      </c>
    </row>
    <row r="34" customFormat="false" ht="15" hidden="false" customHeight="false" outlineLevel="0" collapsed="false">
      <c r="A34" s="0" t="s">
        <v>338</v>
      </c>
      <c r="B34" s="0" t="s">
        <v>392</v>
      </c>
      <c r="C34" s="0" t="s">
        <v>19</v>
      </c>
      <c r="G34" s="0" t="n">
        <v>1797.63149198829</v>
      </c>
      <c r="H34" s="0" t="s">
        <v>11</v>
      </c>
      <c r="I34" s="0" t="n">
        <v>1797.63149198829</v>
      </c>
      <c r="K34" s="0" t="n">
        <f aca="false">IF(AND(B34="Risk_FXVol",ISNUMBER(J34)),I34/J34,0)</f>
        <v>0</v>
      </c>
      <c r="L34" s="0" t="n">
        <f aca="false">IF(OR(B34="Risk_FXVol",B34="Risk_IRVol"),INDEX(SIMM_Curvature!$D$15:$D$26,MATCH(E34,SIMM_Curvature!$A$15:$A$26,0)),0)</f>
        <v>0</v>
      </c>
      <c r="M34" s="0" t="n">
        <f aca="false">K34*L34</f>
        <v>0</v>
      </c>
      <c r="O34" s="1" t="s">
        <v>396</v>
      </c>
      <c r="P34" s="0" t="n">
        <v>0.979384842411174</v>
      </c>
    </row>
    <row r="35" customFormat="false" ht="15" hidden="false" customHeight="false" outlineLevel="0" collapsed="false">
      <c r="A35" s="0" t="s">
        <v>339</v>
      </c>
      <c r="B35" s="0" t="s">
        <v>375</v>
      </c>
      <c r="C35" s="0" t="s">
        <v>20</v>
      </c>
      <c r="D35" s="0" t="s">
        <v>153</v>
      </c>
      <c r="E35" s="0" t="s">
        <v>28</v>
      </c>
      <c r="F35" s="0" t="s">
        <v>376</v>
      </c>
      <c r="G35" s="0" t="n">
        <v>-10.7193223476378</v>
      </c>
      <c r="H35" s="0" t="s">
        <v>20</v>
      </c>
      <c r="I35" s="0" t="n">
        <v>-13.7164183352821</v>
      </c>
      <c r="K35" s="0" t="n">
        <f aca="false">IF(AND(B35="Risk_FXVol",ISNUMBER(J35)),I35/J35,0)</f>
        <v>0</v>
      </c>
      <c r="L35" s="0" t="n">
        <f aca="false">IF(OR(B35="Risk_FXVol",B35="Risk_IRVol"),INDEX(SIMM_Curvature!$D$15:$D$26,MATCH(E35,SIMM_Curvature!$A$15:$A$26,0)),0)</f>
        <v>0</v>
      </c>
      <c r="M35" s="0" t="n">
        <f aca="false">K35*L35</f>
        <v>0</v>
      </c>
      <c r="O35" s="1" t="s">
        <v>397</v>
      </c>
      <c r="P35" s="0" t="n">
        <v>0.981197379552473</v>
      </c>
    </row>
    <row r="36" customFormat="false" ht="15" hidden="false" customHeight="false" outlineLevel="0" collapsed="false">
      <c r="A36" s="0" t="s">
        <v>339</v>
      </c>
      <c r="B36" s="0" t="s">
        <v>375</v>
      </c>
      <c r="C36" s="0" t="s">
        <v>20</v>
      </c>
      <c r="D36" s="0" t="s">
        <v>153</v>
      </c>
      <c r="E36" s="0" t="s">
        <v>29</v>
      </c>
      <c r="F36" s="0" t="s">
        <v>376</v>
      </c>
      <c r="G36" s="0" t="n">
        <v>-21.8373460818676</v>
      </c>
      <c r="H36" s="0" t="s">
        <v>20</v>
      </c>
      <c r="I36" s="0" t="n">
        <v>-27.9430139776733</v>
      </c>
      <c r="K36" s="0" t="n">
        <f aca="false">IF(AND(B36="Risk_FXVol",ISNUMBER(J36)),I36/J36,0)</f>
        <v>0</v>
      </c>
      <c r="L36" s="0" t="n">
        <f aca="false">IF(OR(B36="Risk_FXVol",B36="Risk_IRVol"),INDEX(SIMM_Curvature!$D$15:$D$26,MATCH(E36,SIMM_Curvature!$A$15:$A$26,0)),0)</f>
        <v>0</v>
      </c>
      <c r="M36" s="0" t="n">
        <f aca="false">K36*L36</f>
        <v>0</v>
      </c>
      <c r="O36" s="1" t="s">
        <v>398</v>
      </c>
      <c r="P36" s="0" t="n">
        <v>1.27959752402676</v>
      </c>
    </row>
    <row r="37" customFormat="false" ht="15" hidden="false" customHeight="false" outlineLevel="0" collapsed="false">
      <c r="A37" s="0" t="s">
        <v>339</v>
      </c>
      <c r="B37" s="0" t="s">
        <v>375</v>
      </c>
      <c r="C37" s="0" t="s">
        <v>20</v>
      </c>
      <c r="D37" s="0" t="s">
        <v>153</v>
      </c>
      <c r="E37" s="0" t="s">
        <v>30</v>
      </c>
      <c r="F37" s="0" t="s">
        <v>376</v>
      </c>
      <c r="G37" s="0" t="n">
        <v>-56.235414330224</v>
      </c>
      <c r="H37" s="0" t="s">
        <v>20</v>
      </c>
      <c r="I37" s="0" t="n">
        <v>-71.9586969395738</v>
      </c>
      <c r="K37" s="0" t="n">
        <f aca="false">IF(AND(B37="Risk_FXVol",ISNUMBER(J37)),I37/J37,0)</f>
        <v>0</v>
      </c>
      <c r="L37" s="0" t="n">
        <f aca="false">IF(OR(B37="Risk_FXVol",B37="Risk_IRVol"),INDEX(SIMM_Curvature!$D$15:$D$26,MATCH(E37,SIMM_Curvature!$A$15:$A$26,0)),0)</f>
        <v>0</v>
      </c>
      <c r="M37" s="0" t="n">
        <f aca="false">K37*L37</f>
        <v>0</v>
      </c>
      <c r="O37" s="1" t="s">
        <v>399</v>
      </c>
      <c r="P37" s="0" t="n">
        <v>1</v>
      </c>
    </row>
    <row r="38" customFormat="false" ht="15" hidden="false" customHeight="false" outlineLevel="0" collapsed="false">
      <c r="A38" s="0" t="s">
        <v>339</v>
      </c>
      <c r="B38" s="0" t="s">
        <v>375</v>
      </c>
      <c r="C38" s="0" t="s">
        <v>20</v>
      </c>
      <c r="D38" s="0" t="s">
        <v>153</v>
      </c>
      <c r="E38" s="0" t="s">
        <v>31</v>
      </c>
      <c r="F38" s="0" t="s">
        <v>376</v>
      </c>
      <c r="G38" s="0" t="n">
        <v>8895.5288691349</v>
      </c>
      <c r="H38" s="0" t="s">
        <v>20</v>
      </c>
      <c r="I38" s="0" t="n">
        <v>11382.6967158536</v>
      </c>
      <c r="K38" s="0" t="n">
        <f aca="false">IF(AND(B38="Risk_FXVol",ISNUMBER(J38)),I38/J38,0)</f>
        <v>0</v>
      </c>
      <c r="L38" s="0" t="n">
        <f aca="false">IF(OR(B38="Risk_FXVol",B38="Risk_IRVol"),INDEX(SIMM_Curvature!$D$15:$D$26,MATCH(E38,SIMM_Curvature!$A$15:$A$26,0)),0)</f>
        <v>0</v>
      </c>
      <c r="M38" s="0" t="n">
        <f aca="false">K38*L38</f>
        <v>0</v>
      </c>
      <c r="O38" s="1" t="s">
        <v>383</v>
      </c>
      <c r="P38" s="0" t="n">
        <f aca="false">$P$32*SQRT($P$33)</f>
        <v>0.0947942732092016</v>
      </c>
    </row>
    <row r="39" customFormat="false" ht="15" hidden="false" customHeight="false" outlineLevel="0" collapsed="false">
      <c r="A39" s="0" t="s">
        <v>339</v>
      </c>
      <c r="B39" s="0" t="s">
        <v>375</v>
      </c>
      <c r="C39" s="0" t="s">
        <v>20</v>
      </c>
      <c r="D39" s="0" t="s">
        <v>153</v>
      </c>
      <c r="E39" s="0" t="s">
        <v>32</v>
      </c>
      <c r="F39" s="0" t="s">
        <v>376</v>
      </c>
      <c r="G39" s="0" t="n">
        <v>6054.19277641524</v>
      </c>
      <c r="H39" s="0" t="s">
        <v>20</v>
      </c>
      <c r="I39" s="0" t="n">
        <v>7746.93008668166</v>
      </c>
      <c r="K39" s="0" t="n">
        <f aca="false">IF(AND(B39="Risk_FXVol",ISNUMBER(J39)),I39/J39,0)</f>
        <v>0</v>
      </c>
      <c r="L39" s="0" t="n">
        <f aca="false">IF(OR(B39="Risk_FXVol",B39="Risk_IRVol"),INDEX(SIMM_Curvature!$D$15:$D$26,MATCH(E39,SIMM_Curvature!$A$15:$A$26,0)),0)</f>
        <v>0</v>
      </c>
      <c r="M39" s="0" t="n">
        <f aca="false">K39*L39</f>
        <v>0</v>
      </c>
      <c r="O39" s="1" t="s">
        <v>400</v>
      </c>
      <c r="P39" s="0" t="n">
        <f aca="false">(LN($P$30/$P$31)+0.5*$P$38^2)/$P$38</f>
        <v>0.142691872789723</v>
      </c>
    </row>
    <row r="40" customFormat="false" ht="15" hidden="false" customHeight="false" outlineLevel="0" collapsed="false">
      <c r="A40" s="0" t="s">
        <v>339</v>
      </c>
      <c r="B40" s="0" t="s">
        <v>392</v>
      </c>
      <c r="C40" s="0" t="s">
        <v>20</v>
      </c>
      <c r="G40" s="0" t="n">
        <v>1523.23825170484</v>
      </c>
      <c r="H40" s="0" t="s">
        <v>11</v>
      </c>
      <c r="I40" s="0" t="n">
        <v>1523.23825170484</v>
      </c>
      <c r="K40" s="0" t="n">
        <f aca="false">IF(AND(B40="Risk_FXVol",ISNUMBER(J40)),I40/J40,0)</f>
        <v>0</v>
      </c>
      <c r="L40" s="0" t="n">
        <f aca="false">IF(OR(B40="Risk_FXVol",B40="Risk_IRVol"),INDEX(SIMM_Curvature!$D$15:$D$26,MATCH(E40,SIMM_Curvature!$A$15:$A$26,0)),0)</f>
        <v>0</v>
      </c>
      <c r="M40" s="0" t="n">
        <f aca="false">K40*L40</f>
        <v>0</v>
      </c>
      <c r="O40" s="1" t="s">
        <v>401</v>
      </c>
      <c r="P40" s="0" t="n">
        <f aca="false">$P$39-$P$38</f>
        <v>0.047897599580521</v>
      </c>
    </row>
    <row r="41" customFormat="false" ht="15" hidden="false" customHeight="false" outlineLevel="0" collapsed="false">
      <c r="A41" s="0" t="s">
        <v>340</v>
      </c>
      <c r="B41" s="0" t="s">
        <v>375</v>
      </c>
      <c r="C41" s="0" t="s">
        <v>21</v>
      </c>
      <c r="D41" s="0" t="s">
        <v>402</v>
      </c>
      <c r="E41" s="0" t="s">
        <v>28</v>
      </c>
      <c r="F41" s="0" t="s">
        <v>376</v>
      </c>
      <c r="G41" s="0" t="n">
        <v>1186.75277326665</v>
      </c>
      <c r="H41" s="0" t="s">
        <v>21</v>
      </c>
      <c r="I41" s="0" t="n">
        <v>8.03443510142691</v>
      </c>
      <c r="K41" s="0" t="n">
        <f aca="false">IF(AND(B41="Risk_FXVol",ISNUMBER(J41)),I41/J41,0)</f>
        <v>0</v>
      </c>
      <c r="L41" s="0" t="n">
        <f aca="false">IF(OR(B41="Risk_FXVol",B41="Risk_IRVol"),INDEX(SIMM_Curvature!$D$15:$D$26,MATCH(E41,SIMM_Curvature!$A$15:$A$26,0)),0)</f>
        <v>0</v>
      </c>
      <c r="M41" s="0" t="n">
        <f aca="false">K41*L41</f>
        <v>0</v>
      </c>
      <c r="O41" s="1" t="s">
        <v>403</v>
      </c>
      <c r="P41" s="0" t="n">
        <f aca="false">$P$28*$P$29*$P$34*($P$30*NORMSDIST($P$39)-$P$31*NORMSDIST($P$40))*$P$37</f>
        <v>796644.105718033</v>
      </c>
    </row>
    <row r="42" customFormat="false" ht="15" hidden="false" customHeight="false" outlineLevel="0" collapsed="false">
      <c r="A42" s="0" t="s">
        <v>340</v>
      </c>
      <c r="B42" s="0" t="s">
        <v>375</v>
      </c>
      <c r="C42" s="0" t="s">
        <v>21</v>
      </c>
      <c r="D42" s="0" t="s">
        <v>402</v>
      </c>
      <c r="E42" s="0" t="s">
        <v>29</v>
      </c>
      <c r="F42" s="0" t="s">
        <v>376</v>
      </c>
      <c r="G42" s="0" t="n">
        <v>2381.78435309116</v>
      </c>
      <c r="H42" s="0" t="s">
        <v>21</v>
      </c>
      <c r="I42" s="0" t="n">
        <v>16.1249185521855</v>
      </c>
      <c r="K42" s="0" t="n">
        <f aca="false">IF(AND(B42="Risk_FXVol",ISNUMBER(J42)),I42/J42,0)</f>
        <v>0</v>
      </c>
      <c r="L42" s="0" t="n">
        <f aca="false">IF(OR(B42="Risk_FXVol",B42="Risk_IRVol"),INDEX(SIMM_Curvature!$D$15:$D$26,MATCH(E42,SIMM_Curvature!$A$15:$A$26,0)),0)</f>
        <v>0</v>
      </c>
      <c r="M42" s="0" t="n">
        <f aca="false">K42*L42</f>
        <v>0</v>
      </c>
      <c r="O42" s="1" t="s">
        <v>387</v>
      </c>
      <c r="P42" s="0" t="n">
        <f aca="false">$P$28*$P$29*$P$34*$P$30*EXP(-0.5*$P$39^2)/SQRT(2*PI())*SQRT($P$33)*$P$32*$P$37</f>
        <v>705004.466140601</v>
      </c>
    </row>
    <row r="43" customFormat="false" ht="15" hidden="false" customHeight="false" outlineLevel="0" collapsed="false">
      <c r="A43" s="0" t="s">
        <v>340</v>
      </c>
      <c r="B43" s="0" t="s">
        <v>375</v>
      </c>
      <c r="C43" s="0" t="s">
        <v>21</v>
      </c>
      <c r="D43" s="0" t="s">
        <v>402</v>
      </c>
      <c r="E43" s="0" t="s">
        <v>30</v>
      </c>
      <c r="F43" s="0" t="s">
        <v>376</v>
      </c>
      <c r="G43" s="0" t="n">
        <v>5991.40002883688</v>
      </c>
      <c r="H43" s="0" t="s">
        <v>21</v>
      </c>
      <c r="I43" s="0" t="n">
        <v>40.5623780982403</v>
      </c>
      <c r="K43" s="0" t="n">
        <f aca="false">IF(AND(B43="Risk_FXVol",ISNUMBER(J43)),I43/J43,0)</f>
        <v>0</v>
      </c>
      <c r="L43" s="0" t="n">
        <f aca="false">IF(OR(B43="Risk_FXVol",B43="Risk_IRVol"),INDEX(SIMM_Curvature!$D$15:$D$26,MATCH(E43,SIMM_Curvature!$A$15:$A$26,0)),0)</f>
        <v>0</v>
      </c>
      <c r="M43" s="0" t="n">
        <f aca="false">K43*L43</f>
        <v>0</v>
      </c>
      <c r="O43" s="1" t="s">
        <v>404</v>
      </c>
      <c r="P43" s="0" t="n">
        <f aca="false">$P$28*$P$29*$P$35*NORMSDIST($P$39)*$P$36*0.01</f>
        <v>104849.937407713</v>
      </c>
    </row>
    <row r="44" customFormat="false" ht="15" hidden="false" customHeight="false" outlineLevel="0" collapsed="false">
      <c r="A44" s="0" t="s">
        <v>340</v>
      </c>
      <c r="B44" s="0" t="s">
        <v>375</v>
      </c>
      <c r="C44" s="0" t="s">
        <v>21</v>
      </c>
      <c r="D44" s="0" t="s">
        <v>402</v>
      </c>
      <c r="E44" s="0" t="s">
        <v>31</v>
      </c>
      <c r="F44" s="0" t="s">
        <v>376</v>
      </c>
      <c r="G44" s="0" t="n">
        <v>25635.3757403962</v>
      </c>
      <c r="H44" s="0" t="s">
        <v>21</v>
      </c>
      <c r="I44" s="0" t="n">
        <v>173.554060564752</v>
      </c>
      <c r="K44" s="0" t="n">
        <f aca="false">IF(AND(B44="Risk_FXVol",ISNUMBER(J44)),I44/J44,0)</f>
        <v>0</v>
      </c>
      <c r="L44" s="0" t="n">
        <f aca="false">IF(OR(B44="Risk_FXVol",B44="Risk_IRVol"),INDEX(SIMM_Curvature!$D$15:$D$26,MATCH(E44,SIMM_Curvature!$A$15:$A$26,0)),0)</f>
        <v>0</v>
      </c>
      <c r="M44" s="0" t="n">
        <f aca="false">K44*L44</f>
        <v>0</v>
      </c>
    </row>
    <row r="45" customFormat="false" ht="15" hidden="false" customHeight="false" outlineLevel="0" collapsed="false">
      <c r="A45" s="0" t="s">
        <v>340</v>
      </c>
      <c r="B45" s="0" t="s">
        <v>375</v>
      </c>
      <c r="C45" s="0" t="s">
        <v>21</v>
      </c>
      <c r="D45" s="0" t="s">
        <v>402</v>
      </c>
      <c r="E45" s="0" t="s">
        <v>32</v>
      </c>
      <c r="F45" s="0" t="s">
        <v>376</v>
      </c>
      <c r="G45" s="0" t="n">
        <v>-3644956.15184678</v>
      </c>
      <c r="H45" s="0" t="s">
        <v>21</v>
      </c>
      <c r="I45" s="0" t="n">
        <v>-24676.7181078073</v>
      </c>
      <c r="K45" s="0" t="n">
        <f aca="false">IF(AND(B45="Risk_FXVol",ISNUMBER(J45)),I45/J45,0)</f>
        <v>0</v>
      </c>
      <c r="L45" s="0" t="n">
        <f aca="false">IF(OR(B45="Risk_FXVol",B45="Risk_IRVol"),INDEX(SIMM_Curvature!$D$15:$D$26,MATCH(E45,SIMM_Curvature!$A$15:$A$26,0)),0)</f>
        <v>0</v>
      </c>
      <c r="M45" s="0" t="n">
        <f aca="false">K45*L45</f>
        <v>0</v>
      </c>
    </row>
    <row r="46" customFormat="false" ht="15" hidden="false" customHeight="false" outlineLevel="0" collapsed="false">
      <c r="A46" s="0" t="s">
        <v>340</v>
      </c>
      <c r="B46" s="0" t="s">
        <v>392</v>
      </c>
      <c r="C46" s="0" t="s">
        <v>21</v>
      </c>
      <c r="G46" s="0" t="n">
        <v>-8652.34251276555</v>
      </c>
      <c r="H46" s="0" t="s">
        <v>11</v>
      </c>
      <c r="I46" s="0" t="n">
        <v>-8652.34251276555</v>
      </c>
      <c r="K46" s="0" t="n">
        <f aca="false">IF(AND(B46="Risk_FXVol",ISNUMBER(J46)),I46/J46,0)</f>
        <v>0</v>
      </c>
      <c r="L46" s="0" t="n">
        <f aca="false">IF(OR(B46="Risk_FXVol",B46="Risk_IRVol"),INDEX(SIMM_Curvature!$D$15:$D$26,MATCH(E46,SIMM_Curvature!$A$15:$A$26,0)),0)</f>
        <v>0</v>
      </c>
      <c r="M46" s="0" t="n">
        <f aca="false">K46*L46</f>
        <v>0</v>
      </c>
    </row>
    <row r="47" customFormat="false" ht="15" hidden="false" customHeight="false" outlineLevel="0" collapsed="false">
      <c r="A47" s="0" t="s">
        <v>341</v>
      </c>
      <c r="B47" s="0" t="s">
        <v>375</v>
      </c>
      <c r="C47" s="0" t="s">
        <v>22</v>
      </c>
      <c r="D47" s="0" t="s">
        <v>405</v>
      </c>
      <c r="E47" s="0" t="s">
        <v>28</v>
      </c>
      <c r="F47" s="0" t="s">
        <v>376</v>
      </c>
      <c r="G47" s="0" t="n">
        <v>-835.847479169445</v>
      </c>
      <c r="H47" s="0" t="s">
        <v>22</v>
      </c>
      <c r="I47" s="0" t="n">
        <v>-50.7131071872972</v>
      </c>
      <c r="K47" s="0" t="n">
        <f aca="false">IF(AND(B47="Risk_FXVol",ISNUMBER(J47)),I47/J47,0)</f>
        <v>0</v>
      </c>
      <c r="L47" s="0" t="n">
        <f aca="false">IF(OR(B47="Risk_FXVol",B47="Risk_IRVol"),INDEX(SIMM_Curvature!$D$15:$D$26,MATCH(E47,SIMM_Curvature!$A$15:$A$26,0)),0)</f>
        <v>0</v>
      </c>
      <c r="M47" s="0" t="n">
        <f aca="false">K47*L47</f>
        <v>0</v>
      </c>
    </row>
    <row r="48" customFormat="false" ht="15" hidden="false" customHeight="false" outlineLevel="0" collapsed="false">
      <c r="A48" s="0" t="s">
        <v>341</v>
      </c>
      <c r="B48" s="0" t="s">
        <v>375</v>
      </c>
      <c r="C48" s="0" t="s">
        <v>22</v>
      </c>
      <c r="D48" s="0" t="s">
        <v>405</v>
      </c>
      <c r="E48" s="0" t="s">
        <v>29</v>
      </c>
      <c r="F48" s="0" t="s">
        <v>376</v>
      </c>
      <c r="G48" s="0" t="n">
        <v>-1765.07852523457</v>
      </c>
      <c r="H48" s="0" t="s">
        <v>22</v>
      </c>
      <c r="I48" s="0" t="n">
        <v>-107.092045708103</v>
      </c>
      <c r="K48" s="0" t="n">
        <f aca="false">IF(AND(B48="Risk_FXVol",ISNUMBER(J48)),I48/J48,0)</f>
        <v>0</v>
      </c>
      <c r="L48" s="0" t="n">
        <f aca="false">IF(OR(B48="Risk_FXVol",B48="Risk_IRVol"),INDEX(SIMM_Curvature!$D$15:$D$26,MATCH(E48,SIMM_Curvature!$A$15:$A$26,0)),0)</f>
        <v>0</v>
      </c>
      <c r="M48" s="0" t="n">
        <f aca="false">K48*L48</f>
        <v>0</v>
      </c>
    </row>
    <row r="49" customFormat="false" ht="15" hidden="false" customHeight="false" outlineLevel="0" collapsed="false">
      <c r="A49" s="0" t="s">
        <v>341</v>
      </c>
      <c r="B49" s="0" t="s">
        <v>375</v>
      </c>
      <c r="C49" s="0" t="s">
        <v>22</v>
      </c>
      <c r="D49" s="0" t="s">
        <v>405</v>
      </c>
      <c r="E49" s="0" t="s">
        <v>30</v>
      </c>
      <c r="F49" s="0" t="s">
        <v>376</v>
      </c>
      <c r="G49" s="0" t="n">
        <v>118641.174853169</v>
      </c>
      <c r="H49" s="0" t="s">
        <v>22</v>
      </c>
      <c r="I49" s="0" t="n">
        <v>7198.27811544539</v>
      </c>
      <c r="K49" s="0" t="n">
        <f aca="false">IF(AND(B49="Risk_FXVol",ISNUMBER(J49)),I49/J49,0)</f>
        <v>0</v>
      </c>
      <c r="L49" s="0" t="n">
        <f aca="false">IF(OR(B49="Risk_FXVol",B49="Risk_IRVol"),INDEX(SIMM_Curvature!$D$15:$D$26,MATCH(E49,SIMM_Curvature!$A$15:$A$26,0)),0)</f>
        <v>0</v>
      </c>
      <c r="M49" s="0" t="n">
        <f aca="false">K49*L49</f>
        <v>0</v>
      </c>
    </row>
    <row r="50" customFormat="false" ht="15" hidden="false" customHeight="false" outlineLevel="0" collapsed="false">
      <c r="A50" s="0" t="s">
        <v>341</v>
      </c>
      <c r="B50" s="0" t="s">
        <v>392</v>
      </c>
      <c r="C50" s="0" t="s">
        <v>22</v>
      </c>
      <c r="G50" s="0" t="n">
        <v>18913.1123531438</v>
      </c>
      <c r="H50" s="0" t="s">
        <v>11</v>
      </c>
      <c r="I50" s="0" t="n">
        <v>18913.1123531438</v>
      </c>
      <c r="K50" s="0" t="n">
        <f aca="false">IF(AND(B50="Risk_FXVol",ISNUMBER(J50)),I50/J50,0)</f>
        <v>0</v>
      </c>
      <c r="L50" s="0" t="n">
        <f aca="false">IF(OR(B50="Risk_FXVol",B50="Risk_IRVol"),INDEX(SIMM_Curvature!$D$15:$D$26,MATCH(E50,SIMM_Curvature!$A$15:$A$26,0)),0)</f>
        <v>0</v>
      </c>
      <c r="M50" s="0" t="n">
        <f aca="false">K50*L50</f>
        <v>0</v>
      </c>
    </row>
    <row r="51" customFormat="false" ht="15" hidden="false" customHeight="false" outlineLevel="0" collapsed="false">
      <c r="A51" s="0" t="s">
        <v>342</v>
      </c>
      <c r="B51" s="0" t="s">
        <v>375</v>
      </c>
      <c r="C51" s="0" t="s">
        <v>11</v>
      </c>
      <c r="D51" s="0" t="s">
        <v>153</v>
      </c>
      <c r="E51" s="0" t="s">
        <v>28</v>
      </c>
      <c r="F51" s="0" t="s">
        <v>376</v>
      </c>
      <c r="G51" s="0" t="n">
        <v>-3280.73256458025</v>
      </c>
      <c r="H51" s="0" t="s">
        <v>11</v>
      </c>
      <c r="I51" s="0" t="n">
        <v>-3280.73256458025</v>
      </c>
      <c r="K51" s="0" t="n">
        <f aca="false">IF(AND(B51="Risk_FXVol",ISNUMBER(J51)),I51/J51,0)</f>
        <v>0</v>
      </c>
      <c r="L51" s="0" t="n">
        <f aca="false">IF(OR(B51="Risk_FXVol",B51="Risk_IRVol"),INDEX(SIMM_Curvature!$D$15:$D$26,MATCH(E51,SIMM_Curvature!$A$15:$A$26,0)),0)</f>
        <v>0</v>
      </c>
      <c r="M51" s="0" t="n">
        <f aca="false">K51*L51</f>
        <v>0</v>
      </c>
    </row>
    <row r="52" customFormat="false" ht="15" hidden="false" customHeight="false" outlineLevel="0" collapsed="false">
      <c r="A52" s="0" t="s">
        <v>342</v>
      </c>
      <c r="B52" s="0" t="s">
        <v>375</v>
      </c>
      <c r="C52" s="0" t="s">
        <v>11</v>
      </c>
      <c r="D52" s="0" t="s">
        <v>153</v>
      </c>
      <c r="E52" s="0" t="s">
        <v>29</v>
      </c>
      <c r="F52" s="0" t="s">
        <v>376</v>
      </c>
      <c r="G52" s="0" t="n">
        <v>-57.6961425802403</v>
      </c>
      <c r="H52" s="0" t="s">
        <v>11</v>
      </c>
      <c r="I52" s="0" t="n">
        <v>-57.6961425802403</v>
      </c>
      <c r="K52" s="0" t="n">
        <f aca="false">IF(AND(B52="Risk_FXVol",ISNUMBER(J52)),I52/J52,0)</f>
        <v>0</v>
      </c>
      <c r="L52" s="0" t="n">
        <f aca="false">IF(OR(B52="Risk_FXVol",B52="Risk_IRVol"),INDEX(SIMM_Curvature!$D$15:$D$26,MATCH(E52,SIMM_Curvature!$A$15:$A$26,0)),0)</f>
        <v>0</v>
      </c>
      <c r="M52" s="0" t="n">
        <f aca="false">K52*L52</f>
        <v>0</v>
      </c>
    </row>
    <row r="53" customFormat="false" ht="15" hidden="false" customHeight="false" outlineLevel="0" collapsed="false">
      <c r="A53" s="0" t="s">
        <v>342</v>
      </c>
      <c r="B53" s="0" t="s">
        <v>375</v>
      </c>
      <c r="C53" s="0" t="s">
        <v>11</v>
      </c>
      <c r="D53" s="0" t="s">
        <v>153</v>
      </c>
      <c r="E53" s="0" t="s">
        <v>30</v>
      </c>
      <c r="F53" s="0" t="s">
        <v>376</v>
      </c>
      <c r="G53" s="0" t="n">
        <v>-148.869401217885</v>
      </c>
      <c r="H53" s="0" t="s">
        <v>11</v>
      </c>
      <c r="I53" s="0" t="n">
        <v>-148.869401217885</v>
      </c>
      <c r="K53" s="0" t="n">
        <f aca="false">IF(AND(B53="Risk_FXVol",ISNUMBER(J53)),I53/J53,0)</f>
        <v>0</v>
      </c>
      <c r="L53" s="0" t="n">
        <f aca="false">IF(OR(B53="Risk_FXVol",B53="Risk_IRVol"),INDEX(SIMM_Curvature!$D$15:$D$26,MATCH(E53,SIMM_Curvature!$A$15:$A$26,0)),0)</f>
        <v>0</v>
      </c>
      <c r="M53" s="0" t="n">
        <f aca="false">K53*L53</f>
        <v>0</v>
      </c>
    </row>
    <row r="54" customFormat="false" ht="15" hidden="false" customHeight="false" outlineLevel="0" collapsed="false">
      <c r="A54" s="0" t="s">
        <v>342</v>
      </c>
      <c r="B54" s="0" t="s">
        <v>375</v>
      </c>
      <c r="C54" s="0" t="s">
        <v>11</v>
      </c>
      <c r="D54" s="0" t="s">
        <v>153</v>
      </c>
      <c r="E54" s="0" t="s">
        <v>31</v>
      </c>
      <c r="F54" s="0" t="s">
        <v>376</v>
      </c>
      <c r="G54" s="0" t="n">
        <v>13768.3792637936</v>
      </c>
      <c r="H54" s="0" t="s">
        <v>11</v>
      </c>
      <c r="I54" s="0" t="n">
        <v>13768.3792637936</v>
      </c>
      <c r="K54" s="0" t="n">
        <f aca="false">IF(AND(B54="Risk_FXVol",ISNUMBER(J54)),I54/J54,0)</f>
        <v>0</v>
      </c>
      <c r="L54" s="0" t="n">
        <f aca="false">IF(OR(B54="Risk_FXVol",B54="Risk_IRVol"),INDEX(SIMM_Curvature!$D$15:$D$26,MATCH(E54,SIMM_Curvature!$A$15:$A$26,0)),0)</f>
        <v>0</v>
      </c>
      <c r="M54" s="0" t="n">
        <f aca="false">K54*L54</f>
        <v>0</v>
      </c>
    </row>
    <row r="55" customFormat="false" ht="15" hidden="false" customHeight="false" outlineLevel="0" collapsed="false">
      <c r="A55" s="0" t="s">
        <v>342</v>
      </c>
      <c r="B55" s="0" t="s">
        <v>375</v>
      </c>
      <c r="C55" s="0" t="s">
        <v>11</v>
      </c>
      <c r="D55" s="0" t="s">
        <v>153</v>
      </c>
      <c r="E55" s="0" t="s">
        <v>32</v>
      </c>
      <c r="F55" s="0" t="s">
        <v>376</v>
      </c>
      <c r="G55" s="0" t="n">
        <v>3586.58368526348</v>
      </c>
      <c r="H55" s="0" t="s">
        <v>11</v>
      </c>
      <c r="I55" s="0" t="n">
        <v>3586.58368526348</v>
      </c>
      <c r="K55" s="0" t="n">
        <f aca="false">IF(AND(B55="Risk_FXVol",ISNUMBER(J55)),I55/J55,0)</f>
        <v>0</v>
      </c>
      <c r="L55" s="0" t="n">
        <f aca="false">IF(OR(B55="Risk_FXVol",B55="Risk_IRVol"),INDEX(SIMM_Curvature!$D$15:$D$26,MATCH(E55,SIMM_Curvature!$A$15:$A$26,0)),0)</f>
        <v>0</v>
      </c>
      <c r="M55" s="0" t="n">
        <f aca="false">K55*L55</f>
        <v>0</v>
      </c>
    </row>
    <row r="56" customFormat="false" ht="15" hidden="false" customHeight="false" outlineLevel="0" collapsed="false">
      <c r="A56" s="0" t="s">
        <v>342</v>
      </c>
      <c r="B56" s="0" t="s">
        <v>406</v>
      </c>
      <c r="C56" s="0" t="s">
        <v>11</v>
      </c>
      <c r="D56" s="0" t="s">
        <v>153</v>
      </c>
      <c r="E56" s="0" t="s">
        <v>28</v>
      </c>
      <c r="G56" s="0" t="n">
        <v>638647.77101936</v>
      </c>
      <c r="H56" s="0" t="s">
        <v>11</v>
      </c>
      <c r="I56" s="0" t="n">
        <v>638647.77101936</v>
      </c>
      <c r="K56" s="0" t="n">
        <f aca="false">IF(AND(B56="Risk_FXVol",ISNUMBER(J56)),I56/J56,0)</f>
        <v>0</v>
      </c>
      <c r="L56" s="0" t="n">
        <f aca="false">IF(OR(B56="Risk_FXVol",B56="Risk_IRVol"),INDEX(SIMM_Curvature!$D$15:$D$26,MATCH(E56,SIMM_Curvature!$A$15:$A$26,0)),0)</f>
        <v>0.0191780821917808</v>
      </c>
      <c r="M56" s="0" t="n">
        <f aca="false">K56*L56</f>
        <v>0</v>
      </c>
    </row>
    <row r="57" customFormat="false" ht="15" hidden="false" customHeight="false" outlineLevel="0" collapsed="false">
      <c r="A57" s="0" t="s">
        <v>345</v>
      </c>
      <c r="B57" s="0" t="s">
        <v>375</v>
      </c>
      <c r="C57" s="0" t="s">
        <v>19</v>
      </c>
      <c r="D57" s="0" t="s">
        <v>153</v>
      </c>
      <c r="E57" s="0" t="s">
        <v>28</v>
      </c>
      <c r="F57" s="0" t="s">
        <v>376</v>
      </c>
      <c r="G57" s="0" t="n">
        <v>4.36963747327773</v>
      </c>
      <c r="H57" s="0" t="s">
        <v>19</v>
      </c>
      <c r="I57" s="0" t="n">
        <v>5.32905871782829</v>
      </c>
      <c r="K57" s="0" t="n">
        <f aca="false">IF(AND(B57="Risk_FXVol",ISNUMBER(J57)),I57/J57,0)</f>
        <v>0</v>
      </c>
      <c r="L57" s="0" t="n">
        <f aca="false">IF(OR(B57="Risk_FXVol",B57="Risk_IRVol"),INDEX(SIMM_Curvature!$D$15:$D$26,MATCH(E57,SIMM_Curvature!$A$15:$A$26,0)),0)</f>
        <v>0</v>
      </c>
      <c r="M57" s="0" t="n">
        <f aca="false">K57*L57</f>
        <v>0</v>
      </c>
    </row>
    <row r="58" customFormat="false" ht="15" hidden="false" customHeight="false" outlineLevel="0" collapsed="false">
      <c r="A58" s="0" t="s">
        <v>345</v>
      </c>
      <c r="B58" s="0" t="s">
        <v>375</v>
      </c>
      <c r="C58" s="0" t="s">
        <v>19</v>
      </c>
      <c r="D58" s="0" t="s">
        <v>153</v>
      </c>
      <c r="E58" s="0" t="s">
        <v>29</v>
      </c>
      <c r="F58" s="0" t="s">
        <v>376</v>
      </c>
      <c r="G58" s="0" t="n">
        <v>8.84435518842556</v>
      </c>
      <c r="H58" s="0" t="s">
        <v>19</v>
      </c>
      <c r="I58" s="0" t="n">
        <v>10.7862696639441</v>
      </c>
      <c r="K58" s="0" t="n">
        <f aca="false">IF(AND(B58="Risk_FXVol",ISNUMBER(J58)),I58/J58,0)</f>
        <v>0</v>
      </c>
      <c r="L58" s="0" t="n">
        <f aca="false">IF(OR(B58="Risk_FXVol",B58="Risk_IRVol"),INDEX(SIMM_Curvature!$D$15:$D$26,MATCH(E58,SIMM_Curvature!$A$15:$A$26,0)),0)</f>
        <v>0</v>
      </c>
      <c r="M58" s="0" t="n">
        <f aca="false">K58*L58</f>
        <v>0</v>
      </c>
    </row>
    <row r="59" customFormat="false" ht="15" hidden="false" customHeight="false" outlineLevel="0" collapsed="false">
      <c r="A59" s="0" t="s">
        <v>345</v>
      </c>
      <c r="B59" s="0" t="s">
        <v>375</v>
      </c>
      <c r="C59" s="0" t="s">
        <v>19</v>
      </c>
      <c r="D59" s="0" t="s">
        <v>153</v>
      </c>
      <c r="E59" s="0" t="s">
        <v>30</v>
      </c>
      <c r="F59" s="0" t="s">
        <v>376</v>
      </c>
      <c r="G59" s="0" t="n">
        <v>2802.63381527762</v>
      </c>
      <c r="H59" s="0" t="s">
        <v>19</v>
      </c>
      <c r="I59" s="0" t="n">
        <v>3417.9952587651</v>
      </c>
      <c r="K59" s="0" t="n">
        <f aca="false">IF(AND(B59="Risk_FXVol",ISNUMBER(J59)),I59/J59,0)</f>
        <v>0</v>
      </c>
      <c r="L59" s="0" t="n">
        <f aca="false">IF(OR(B59="Risk_FXVol",B59="Risk_IRVol"),INDEX(SIMM_Curvature!$D$15:$D$26,MATCH(E59,SIMM_Curvature!$A$15:$A$26,0)),0)</f>
        <v>0</v>
      </c>
      <c r="M59" s="0" t="n">
        <f aca="false">K59*L59</f>
        <v>0</v>
      </c>
    </row>
    <row r="60" customFormat="false" ht="15" hidden="false" customHeight="false" outlineLevel="0" collapsed="false">
      <c r="A60" s="0" t="s">
        <v>345</v>
      </c>
      <c r="B60" s="0" t="s">
        <v>375</v>
      </c>
      <c r="C60" s="0" t="s">
        <v>19</v>
      </c>
      <c r="D60" s="0" t="s">
        <v>153</v>
      </c>
      <c r="E60" s="0" t="s">
        <v>31</v>
      </c>
      <c r="F60" s="0" t="s">
        <v>376</v>
      </c>
      <c r="G60" s="0" t="n">
        <v>2499.91459148797</v>
      </c>
      <c r="H60" s="0" t="s">
        <v>19</v>
      </c>
      <c r="I60" s="0" t="n">
        <v>3048.80936440751</v>
      </c>
      <c r="K60" s="0" t="n">
        <f aca="false">IF(AND(B60="Risk_FXVol",ISNUMBER(J60)),I60/J60,0)</f>
        <v>0</v>
      </c>
      <c r="L60" s="0" t="n">
        <f aca="false">IF(OR(B60="Risk_FXVol",B60="Risk_IRVol"),INDEX(SIMM_Curvature!$D$15:$D$26,MATCH(E60,SIMM_Curvature!$A$15:$A$26,0)),0)</f>
        <v>0</v>
      </c>
      <c r="M60" s="0" t="n">
        <f aca="false">K60*L60</f>
        <v>0</v>
      </c>
    </row>
    <row r="61" customFormat="false" ht="15" hidden="false" customHeight="false" outlineLevel="0" collapsed="false">
      <c r="A61" s="0" t="s">
        <v>345</v>
      </c>
      <c r="B61" s="0" t="s">
        <v>375</v>
      </c>
      <c r="C61" s="0" t="s">
        <v>19</v>
      </c>
      <c r="D61" s="0" t="s">
        <v>153</v>
      </c>
      <c r="E61" s="0" t="s">
        <v>32</v>
      </c>
      <c r="F61" s="0" t="s">
        <v>376</v>
      </c>
      <c r="G61" s="0" t="n">
        <v>-4239.06507628522</v>
      </c>
      <c r="H61" s="0" t="s">
        <v>19</v>
      </c>
      <c r="I61" s="0" t="n">
        <v>-5169.81713892021</v>
      </c>
      <c r="K61" s="0" t="n">
        <f aca="false">IF(AND(B61="Risk_FXVol",ISNUMBER(J61)),I61/J61,0)</f>
        <v>0</v>
      </c>
      <c r="L61" s="0" t="n">
        <f aca="false">IF(OR(B61="Risk_FXVol",B61="Risk_IRVol"),INDEX(SIMM_Curvature!$D$15:$D$26,MATCH(E61,SIMM_Curvature!$A$15:$A$26,0)),0)</f>
        <v>0</v>
      </c>
      <c r="M61" s="0" t="n">
        <f aca="false">K61*L61</f>
        <v>0</v>
      </c>
    </row>
    <row r="62" customFormat="false" ht="15" hidden="false" customHeight="false" outlineLevel="0" collapsed="false">
      <c r="A62" s="0" t="s">
        <v>345</v>
      </c>
      <c r="B62" s="0" t="s">
        <v>375</v>
      </c>
      <c r="C62" s="0" t="s">
        <v>19</v>
      </c>
      <c r="D62" s="0" t="s">
        <v>153</v>
      </c>
      <c r="E62" s="0" t="s">
        <v>33</v>
      </c>
      <c r="F62" s="0" t="s">
        <v>376</v>
      </c>
      <c r="G62" s="0" t="n">
        <v>-14164.156583851</v>
      </c>
      <c r="H62" s="0" t="s">
        <v>19</v>
      </c>
      <c r="I62" s="0" t="n">
        <v>-17274.1154353101</v>
      </c>
      <c r="K62" s="0" t="n">
        <f aca="false">IF(AND(B62="Risk_FXVol",ISNUMBER(J62)),I62/J62,0)</f>
        <v>0</v>
      </c>
      <c r="L62" s="0" t="n">
        <f aca="false">IF(OR(B62="Risk_FXVol",B62="Risk_IRVol"),INDEX(SIMM_Curvature!$D$15:$D$26,MATCH(E62,SIMM_Curvature!$A$15:$A$26,0)),0)</f>
        <v>0</v>
      </c>
      <c r="M62" s="0" t="n">
        <f aca="false">K62*L62</f>
        <v>0</v>
      </c>
    </row>
    <row r="63" customFormat="false" ht="15" hidden="false" customHeight="false" outlineLevel="0" collapsed="false">
      <c r="A63" s="0" t="s">
        <v>345</v>
      </c>
      <c r="B63" s="0" t="s">
        <v>392</v>
      </c>
      <c r="C63" s="0" t="s">
        <v>19</v>
      </c>
      <c r="G63" s="0" t="n">
        <v>20625.5983888719</v>
      </c>
      <c r="H63" s="0" t="s">
        <v>11</v>
      </c>
      <c r="I63" s="0" t="n">
        <v>20625.5983888719</v>
      </c>
      <c r="K63" s="0" t="n">
        <f aca="false">IF(AND(B63="Risk_FXVol",ISNUMBER(J63)),I63/J63,0)</f>
        <v>0</v>
      </c>
      <c r="L63" s="0" t="n">
        <f aca="false">IF(OR(B63="Risk_FXVol",B63="Risk_IRVol"),INDEX(SIMM_Curvature!$D$15:$D$26,MATCH(E63,SIMM_Curvature!$A$15:$A$26,0)),0)</f>
        <v>0</v>
      </c>
      <c r="M63" s="0" t="n">
        <f aca="false">K63*L63</f>
        <v>0</v>
      </c>
    </row>
    <row r="64" customFormat="false" ht="15" hidden="false" customHeight="false" outlineLevel="0" collapsed="false">
      <c r="A64" s="0" t="s">
        <v>345</v>
      </c>
      <c r="B64" s="0" t="s">
        <v>406</v>
      </c>
      <c r="C64" s="0" t="s">
        <v>19</v>
      </c>
      <c r="D64" s="0" t="s">
        <v>153</v>
      </c>
      <c r="E64" s="0" t="s">
        <v>30</v>
      </c>
      <c r="G64" s="0" t="n">
        <v>867486.07311164</v>
      </c>
      <c r="H64" s="0" t="s">
        <v>19</v>
      </c>
      <c r="I64" s="0" t="n">
        <v>1057956.00865774</v>
      </c>
      <c r="K64" s="0" t="n">
        <f aca="false">IF(AND(B64="Risk_FXVol",ISNUMBER(J64)),I64/J64,0)</f>
        <v>0</v>
      </c>
      <c r="L64" s="0" t="n">
        <f aca="false">IF(OR(B64="Risk_FXVol",B64="Risk_IRVol"),INDEX(SIMM_Curvature!$D$15:$D$26,MATCH(E64,SIMM_Curvature!$A$15:$A$26,0)),0)</f>
        <v>0.00639269406392694</v>
      </c>
      <c r="M64" s="0" t="n">
        <f aca="false">K64*L64</f>
        <v>0</v>
      </c>
    </row>
    <row r="65" customFormat="false" ht="15" hidden="false" customHeight="false" outlineLevel="0" collapsed="false">
      <c r="A65" s="0" t="s">
        <v>345</v>
      </c>
      <c r="B65" s="0" t="s">
        <v>406</v>
      </c>
      <c r="C65" s="0" t="s">
        <v>19</v>
      </c>
      <c r="D65" s="0" t="s">
        <v>153</v>
      </c>
      <c r="E65" s="0" t="s">
        <v>31</v>
      </c>
      <c r="G65" s="0" t="n">
        <v>867486.07311164</v>
      </c>
      <c r="H65" s="0" t="s">
        <v>19</v>
      </c>
      <c r="I65" s="0" t="n">
        <v>1057956.00865774</v>
      </c>
      <c r="K65" s="0" t="n">
        <f aca="false">IF(AND(B65="Risk_FXVol",ISNUMBER(J65)),I65/J65,0)</f>
        <v>0</v>
      </c>
      <c r="L65" s="0" t="n">
        <f aca="false">IF(OR(B65="Risk_FXVol",B65="Risk_IRVol"),INDEX(SIMM_Curvature!$D$15:$D$26,MATCH(E65,SIMM_Curvature!$A$15:$A$26,0)),0)</f>
        <v>0.00383561643835616</v>
      </c>
      <c r="M65" s="0" t="n">
        <f aca="false">K65*L65</f>
        <v>0</v>
      </c>
    </row>
    <row r="66" customFormat="false" ht="15" hidden="false" customHeight="false" outlineLevel="0" collapsed="false">
      <c r="A66" s="0" t="s">
        <v>347</v>
      </c>
      <c r="B66" s="0" t="s">
        <v>375</v>
      </c>
      <c r="C66" s="0" t="s">
        <v>20</v>
      </c>
      <c r="D66" s="0" t="s">
        <v>153</v>
      </c>
      <c r="E66" s="0" t="s">
        <v>28</v>
      </c>
      <c r="F66" s="0" t="s">
        <v>376</v>
      </c>
      <c r="G66" s="0" t="n">
        <v>-3.14272182175415</v>
      </c>
      <c r="H66" s="0" t="s">
        <v>20</v>
      </c>
      <c r="I66" s="0" t="n">
        <v>-4.02141906182148</v>
      </c>
      <c r="K66" s="0" t="n">
        <f aca="false">IF(AND(B66="Risk_FXVol",ISNUMBER(J66)),I66/J66,0)</f>
        <v>0</v>
      </c>
      <c r="L66" s="0" t="n">
        <f aca="false">IF(OR(B66="Risk_FXVol",B66="Risk_IRVol"),INDEX(SIMM_Curvature!$D$15:$D$26,MATCH(E66,SIMM_Curvature!$A$15:$A$26,0)),0)</f>
        <v>0</v>
      </c>
      <c r="M66" s="0" t="n">
        <f aca="false">K66*L66</f>
        <v>0</v>
      </c>
    </row>
    <row r="67" customFormat="false" ht="15" hidden="false" customHeight="false" outlineLevel="0" collapsed="false">
      <c r="A67" s="0" t="s">
        <v>347</v>
      </c>
      <c r="B67" s="0" t="s">
        <v>375</v>
      </c>
      <c r="C67" s="0" t="s">
        <v>20</v>
      </c>
      <c r="D67" s="0" t="s">
        <v>153</v>
      </c>
      <c r="E67" s="0" t="s">
        <v>29</v>
      </c>
      <c r="F67" s="0" t="s">
        <v>376</v>
      </c>
      <c r="G67" s="0" t="n">
        <v>-6.40233613927109</v>
      </c>
      <c r="H67" s="0" t="s">
        <v>20</v>
      </c>
      <c r="I67" s="0" t="n">
        <v>-8.19241347179835</v>
      </c>
      <c r="K67" s="0" t="n">
        <f aca="false">IF(AND(B67="Risk_FXVol",ISNUMBER(J67)),I67/J67,0)</f>
        <v>0</v>
      </c>
      <c r="L67" s="0" t="n">
        <f aca="false">IF(OR(B67="Risk_FXVol",B67="Risk_IRVol"),INDEX(SIMM_Curvature!$D$15:$D$26,MATCH(E67,SIMM_Curvature!$A$15:$A$26,0)),0)</f>
        <v>0</v>
      </c>
      <c r="M67" s="0" t="n">
        <f aca="false">K67*L67</f>
        <v>0</v>
      </c>
    </row>
    <row r="68" customFormat="false" ht="15" hidden="false" customHeight="false" outlineLevel="0" collapsed="false">
      <c r="A68" s="0" t="s">
        <v>347</v>
      </c>
      <c r="B68" s="0" t="s">
        <v>375</v>
      </c>
      <c r="C68" s="0" t="s">
        <v>20</v>
      </c>
      <c r="D68" s="0" t="s">
        <v>153</v>
      </c>
      <c r="E68" s="0" t="s">
        <v>30</v>
      </c>
      <c r="F68" s="0" t="s">
        <v>376</v>
      </c>
      <c r="G68" s="0" t="n">
        <v>-16.4872615065145</v>
      </c>
      <c r="H68" s="0" t="s">
        <v>20</v>
      </c>
      <c r="I68" s="0" t="n">
        <v>-21.0970590017177</v>
      </c>
      <c r="K68" s="0" t="n">
        <f aca="false">IF(AND(B68="Risk_FXVol",ISNUMBER(J68)),I68/J68,0)</f>
        <v>0</v>
      </c>
      <c r="L68" s="0" t="n">
        <f aca="false">IF(OR(B68="Risk_FXVol",B68="Risk_IRVol"),INDEX(SIMM_Curvature!$D$15:$D$26,MATCH(E68,SIMM_Curvature!$A$15:$A$26,0)),0)</f>
        <v>0</v>
      </c>
      <c r="M68" s="0" t="n">
        <f aca="false">K68*L68</f>
        <v>0</v>
      </c>
    </row>
    <row r="69" customFormat="false" ht="15" hidden="false" customHeight="false" outlineLevel="0" collapsed="false">
      <c r="A69" s="0" t="s">
        <v>347</v>
      </c>
      <c r="B69" s="0" t="s">
        <v>375</v>
      </c>
      <c r="C69" s="0" t="s">
        <v>20</v>
      </c>
      <c r="D69" s="0" t="s">
        <v>153</v>
      </c>
      <c r="E69" s="0" t="s">
        <v>31</v>
      </c>
      <c r="F69" s="0" t="s">
        <v>376</v>
      </c>
      <c r="G69" s="0" t="n">
        <v>5763.36709762783</v>
      </c>
      <c r="H69" s="0" t="s">
        <v>20</v>
      </c>
      <c r="I69" s="0" t="n">
        <v>7374.79026818188</v>
      </c>
      <c r="K69" s="0" t="n">
        <f aca="false">IF(AND(B69="Risk_FXVol",ISNUMBER(J69)),I69/J69,0)</f>
        <v>0</v>
      </c>
      <c r="L69" s="0" t="n">
        <f aca="false">IF(OR(B69="Risk_FXVol",B69="Risk_IRVol"),INDEX(SIMM_Curvature!$D$15:$D$26,MATCH(E69,SIMM_Curvature!$A$15:$A$26,0)),0)</f>
        <v>0</v>
      </c>
      <c r="M69" s="0" t="n">
        <f aca="false">K69*L69</f>
        <v>0</v>
      </c>
    </row>
    <row r="70" customFormat="false" ht="15" hidden="false" customHeight="false" outlineLevel="0" collapsed="false">
      <c r="A70" s="0" t="s">
        <v>347</v>
      </c>
      <c r="B70" s="0" t="s">
        <v>375</v>
      </c>
      <c r="C70" s="0" t="s">
        <v>20</v>
      </c>
      <c r="D70" s="0" t="s">
        <v>153</v>
      </c>
      <c r="E70" s="0" t="s">
        <v>32</v>
      </c>
      <c r="F70" s="0" t="s">
        <v>376</v>
      </c>
      <c r="G70" s="0" t="n">
        <v>-9637.75448620635</v>
      </c>
      <c r="H70" s="0" t="s">
        <v>20</v>
      </c>
      <c r="I70" s="0" t="n">
        <v>-12332.4467777275</v>
      </c>
      <c r="K70" s="0" t="n">
        <f aca="false">IF(AND(B70="Risk_FXVol",ISNUMBER(J70)),I70/J70,0)</f>
        <v>0</v>
      </c>
      <c r="L70" s="0" t="n">
        <f aca="false">IF(OR(B70="Risk_FXVol",B70="Risk_IRVol"),INDEX(SIMM_Curvature!$D$15:$D$26,MATCH(E70,SIMM_Curvature!$A$15:$A$26,0)),0)</f>
        <v>0</v>
      </c>
      <c r="M70" s="0" t="n">
        <f aca="false">K70*L70</f>
        <v>0</v>
      </c>
    </row>
    <row r="71" customFormat="false" ht="15" hidden="false" customHeight="false" outlineLevel="0" collapsed="false">
      <c r="A71" s="0" t="s">
        <v>347</v>
      </c>
      <c r="B71" s="0" t="s">
        <v>392</v>
      </c>
      <c r="C71" s="0" t="s">
        <v>20</v>
      </c>
      <c r="G71" s="0" t="n">
        <v>-10378.4031239473</v>
      </c>
      <c r="H71" s="0" t="s">
        <v>11</v>
      </c>
      <c r="I71" s="0" t="n">
        <v>-10378.4031239473</v>
      </c>
      <c r="K71" s="0" t="n">
        <f aca="false">IF(AND(B71="Risk_FXVol",ISNUMBER(J71)),I71/J71,0)</f>
        <v>0</v>
      </c>
      <c r="L71" s="0" t="n">
        <f aca="false">IF(OR(B71="Risk_FXVol",B71="Risk_IRVol"),INDEX(SIMM_Curvature!$D$15:$D$26,MATCH(E71,SIMM_Curvature!$A$15:$A$26,0)),0)</f>
        <v>0</v>
      </c>
      <c r="M71" s="0" t="n">
        <f aca="false">K71*L71</f>
        <v>0</v>
      </c>
    </row>
    <row r="72" customFormat="false" ht="15" hidden="false" customHeight="false" outlineLevel="0" collapsed="false">
      <c r="A72" s="0" t="s">
        <v>347</v>
      </c>
      <c r="B72" s="0" t="s">
        <v>406</v>
      </c>
      <c r="C72" s="0" t="s">
        <v>20</v>
      </c>
      <c r="D72" s="0" t="s">
        <v>153</v>
      </c>
      <c r="E72" s="0" t="s">
        <v>31</v>
      </c>
      <c r="G72" s="0" t="n">
        <v>-806056.679047442</v>
      </c>
      <c r="H72" s="0" t="s">
        <v>20</v>
      </c>
      <c r="I72" s="0" t="n">
        <v>-1031428.13073434</v>
      </c>
      <c r="K72" s="0" t="n">
        <f aca="false">IF(AND(B72="Risk_FXVol",ISNUMBER(J72)),I72/J72,0)</f>
        <v>0</v>
      </c>
      <c r="L72" s="0" t="n">
        <f aca="false">IF(OR(B72="Risk_FXVol",B72="Risk_IRVol"),INDEX(SIMM_Curvature!$D$15:$D$26,MATCH(E72,SIMM_Curvature!$A$15:$A$26,0)),0)</f>
        <v>0.00383561643835616</v>
      </c>
      <c r="M72" s="0" t="n">
        <f aca="false">K72*L72</f>
        <v>0</v>
      </c>
    </row>
    <row r="73" customFormat="false" ht="15" hidden="false" customHeight="false" outlineLevel="0" collapsed="false">
      <c r="A73" s="0" t="s">
        <v>348</v>
      </c>
      <c r="B73" s="0" t="s">
        <v>375</v>
      </c>
      <c r="C73" s="0" t="s">
        <v>19</v>
      </c>
      <c r="D73" s="0" t="s">
        <v>153</v>
      </c>
      <c r="E73" s="0" t="s">
        <v>27</v>
      </c>
      <c r="F73" s="0" t="s">
        <v>376</v>
      </c>
      <c r="G73" s="0" t="n">
        <v>-1219.86606482708</v>
      </c>
      <c r="H73" s="0" t="s">
        <v>19</v>
      </c>
      <c r="I73" s="0" t="n">
        <v>-1487.70645782506</v>
      </c>
      <c r="K73" s="0" t="n">
        <f aca="false">IF(AND(B73="Risk_FXVol",ISNUMBER(J73)),I73/J73,0)</f>
        <v>0</v>
      </c>
      <c r="L73" s="0" t="n">
        <f aca="false">IF(OR(B73="Risk_FXVol",B73="Risk_IRVol"),INDEX(SIMM_Curvature!$D$15:$D$26,MATCH(E73,SIMM_Curvature!$A$15:$A$26,0)),0)</f>
        <v>0</v>
      </c>
      <c r="M73" s="0" t="n">
        <f aca="false">K73*L73</f>
        <v>0</v>
      </c>
    </row>
    <row r="74" customFormat="false" ht="15" hidden="false" customHeight="false" outlineLevel="0" collapsed="false">
      <c r="A74" s="0" t="s">
        <v>348</v>
      </c>
      <c r="B74" s="0" t="s">
        <v>375</v>
      </c>
      <c r="C74" s="0" t="s">
        <v>11</v>
      </c>
      <c r="D74" s="0" t="s">
        <v>153</v>
      </c>
      <c r="E74" s="0" t="s">
        <v>27</v>
      </c>
      <c r="F74" s="0" t="s">
        <v>376</v>
      </c>
      <c r="G74" s="0" t="n">
        <v>1309.81966785601</v>
      </c>
      <c r="H74" s="0" t="s">
        <v>11</v>
      </c>
      <c r="I74" s="0" t="n">
        <v>1309.81966785601</v>
      </c>
      <c r="K74" s="0" t="n">
        <f aca="false">IF(AND(B74="Risk_FXVol",ISNUMBER(J74)),I74/J74,0)</f>
        <v>0</v>
      </c>
      <c r="L74" s="0" t="n">
        <f aca="false">IF(OR(B74="Risk_FXVol",B74="Risk_IRVol"),INDEX(SIMM_Curvature!$D$15:$D$26,MATCH(E74,SIMM_Curvature!$A$15:$A$26,0)),0)</f>
        <v>0</v>
      </c>
      <c r="M74" s="0" t="n">
        <f aca="false">K74*L74</f>
        <v>0</v>
      </c>
    </row>
    <row r="75" customFormat="false" ht="15" hidden="false" customHeight="false" outlineLevel="0" collapsed="false">
      <c r="A75" s="0" t="s">
        <v>348</v>
      </c>
      <c r="B75" s="0" t="s">
        <v>392</v>
      </c>
      <c r="C75" s="0" t="s">
        <v>19</v>
      </c>
      <c r="G75" s="0" t="n">
        <v>301193.902332181</v>
      </c>
      <c r="H75" s="0" t="s">
        <v>11</v>
      </c>
      <c r="I75" s="0" t="n">
        <v>301193.902332181</v>
      </c>
      <c r="K75" s="0" t="n">
        <f aca="false">IF(AND(B75="Risk_FXVol",ISNUMBER(J75)),I75/J75,0)</f>
        <v>0</v>
      </c>
      <c r="L75" s="0" t="n">
        <f aca="false">IF(OR(B75="Risk_FXVol",B75="Risk_IRVol"),INDEX(SIMM_Curvature!$D$15:$D$26,MATCH(E75,SIMM_Curvature!$A$15:$A$26,0)),0)</f>
        <v>0</v>
      </c>
      <c r="M75" s="0" t="n">
        <f aca="false">K75*L75</f>
        <v>0</v>
      </c>
    </row>
    <row r="76" customFormat="false" ht="15" hidden="false" customHeight="false" outlineLevel="0" collapsed="false">
      <c r="A76" s="0" t="s">
        <v>350</v>
      </c>
      <c r="B76" s="0" t="s">
        <v>375</v>
      </c>
      <c r="C76" s="0" t="s">
        <v>20</v>
      </c>
      <c r="D76" s="0" t="s">
        <v>153</v>
      </c>
      <c r="E76" s="0" t="s">
        <v>28</v>
      </c>
      <c r="F76" s="0" t="s">
        <v>376</v>
      </c>
      <c r="G76" s="0" t="n">
        <v>1388.12395217653</v>
      </c>
      <c r="H76" s="0" t="s">
        <v>20</v>
      </c>
      <c r="I76" s="0" t="n">
        <v>1776.23997224733</v>
      </c>
      <c r="K76" s="0" t="n">
        <f aca="false">IF(AND(B76="Risk_FXVol",ISNUMBER(J76)),I76/J76,0)</f>
        <v>0</v>
      </c>
      <c r="L76" s="0" t="n">
        <f aca="false">IF(OR(B76="Risk_FXVol",B76="Risk_IRVol"),INDEX(SIMM_Curvature!$D$15:$D$26,MATCH(E76,SIMM_Curvature!$A$15:$A$26,0)),0)</f>
        <v>0</v>
      </c>
      <c r="M76" s="0" t="n">
        <f aca="false">K76*L76</f>
        <v>0</v>
      </c>
    </row>
    <row r="77" customFormat="false" ht="15" hidden="false" customHeight="false" outlineLevel="0" collapsed="false">
      <c r="A77" s="0" t="s">
        <v>350</v>
      </c>
      <c r="B77" s="0" t="s">
        <v>375</v>
      </c>
      <c r="C77" s="0" t="s">
        <v>11</v>
      </c>
      <c r="D77" s="0" t="s">
        <v>153</v>
      </c>
      <c r="E77" s="0" t="s">
        <v>28</v>
      </c>
      <c r="F77" s="0" t="s">
        <v>376</v>
      </c>
      <c r="G77" s="0" t="n">
        <v>-1741.61801199481</v>
      </c>
      <c r="H77" s="0" t="s">
        <v>11</v>
      </c>
      <c r="I77" s="0" t="n">
        <v>-1741.61801199481</v>
      </c>
      <c r="K77" s="0" t="n">
        <f aca="false">IF(AND(B77="Risk_FXVol",ISNUMBER(J77)),I77/J77,0)</f>
        <v>0</v>
      </c>
      <c r="L77" s="0" t="n">
        <f aca="false">IF(OR(B77="Risk_FXVol",B77="Risk_IRVol"),INDEX(SIMM_Curvature!$D$15:$D$26,MATCH(E77,SIMM_Curvature!$A$15:$A$26,0)),0)</f>
        <v>0</v>
      </c>
      <c r="M77" s="0" t="n">
        <f aca="false">K77*L77</f>
        <v>0</v>
      </c>
    </row>
    <row r="78" customFormat="false" ht="15" hidden="false" customHeight="false" outlineLevel="0" collapsed="false">
      <c r="A78" s="0" t="s">
        <v>350</v>
      </c>
      <c r="B78" s="0" t="s">
        <v>392</v>
      </c>
      <c r="C78" s="0" t="s">
        <v>20</v>
      </c>
      <c r="G78" s="0" t="n">
        <v>-184643.126105367</v>
      </c>
      <c r="H78" s="0" t="s">
        <v>11</v>
      </c>
      <c r="I78" s="0" t="n">
        <v>-184643.126105367</v>
      </c>
      <c r="K78" s="0" t="n">
        <f aca="false">IF(AND(B78="Risk_FXVol",ISNUMBER(J78)),I78/J78,0)</f>
        <v>0</v>
      </c>
      <c r="L78" s="0" t="n">
        <f aca="false">IF(OR(B78="Risk_FXVol",B78="Risk_IRVol"),INDEX(SIMM_Curvature!$D$15:$D$26,MATCH(E78,SIMM_Curvature!$A$15:$A$26,0)),0)</f>
        <v>0</v>
      </c>
      <c r="M78" s="0" t="n">
        <f aca="false">K78*L78</f>
        <v>0</v>
      </c>
    </row>
    <row r="79" customFormat="false" ht="15" hidden="false" customHeight="false" outlineLevel="0" collapsed="false">
      <c r="A79" s="0" t="s">
        <v>351</v>
      </c>
      <c r="B79" s="0" t="s">
        <v>375</v>
      </c>
      <c r="C79" s="0" t="s">
        <v>11</v>
      </c>
      <c r="D79" s="0" t="s">
        <v>153</v>
      </c>
      <c r="E79" s="0" t="s">
        <v>26</v>
      </c>
      <c r="F79" s="0" t="s">
        <v>376</v>
      </c>
      <c r="G79" s="0" t="n">
        <v>-489.745084100501</v>
      </c>
      <c r="H79" s="0" t="s">
        <v>11</v>
      </c>
      <c r="I79" s="0" t="n">
        <v>-489.745084100501</v>
      </c>
      <c r="K79" s="0" t="n">
        <f aca="false">IF(AND(B79="Risk_FXVol",ISNUMBER(J79)),I79/J79,0)</f>
        <v>0</v>
      </c>
      <c r="L79" s="0" t="n">
        <f aca="false">IF(OR(B79="Risk_FXVol",B79="Risk_IRVol"),INDEX(SIMM_Curvature!$D$15:$D$26,MATCH(E79,SIMM_Curvature!$A$15:$A$26,0)),0)</f>
        <v>0</v>
      </c>
      <c r="M79" s="0" t="n">
        <f aca="false">K79*L79</f>
        <v>0</v>
      </c>
    </row>
    <row r="80" customFormat="false" ht="15" hidden="false" customHeight="false" outlineLevel="0" collapsed="false">
      <c r="A80" s="0" t="s">
        <v>351</v>
      </c>
      <c r="B80" s="0" t="s">
        <v>375</v>
      </c>
      <c r="C80" s="0" t="s">
        <v>21</v>
      </c>
      <c r="D80" s="0" t="s">
        <v>402</v>
      </c>
      <c r="E80" s="0" t="s">
        <v>26</v>
      </c>
      <c r="F80" s="0" t="s">
        <v>376</v>
      </c>
      <c r="G80" s="0" t="n">
        <v>73858.6307350338</v>
      </c>
      <c r="H80" s="0" t="s">
        <v>21</v>
      </c>
      <c r="I80" s="0" t="n">
        <v>500.030325345236</v>
      </c>
      <c r="K80" s="0" t="n">
        <f aca="false">IF(AND(B80="Risk_FXVol",ISNUMBER(J80)),I80/J80,0)</f>
        <v>0</v>
      </c>
      <c r="L80" s="0" t="n">
        <f aca="false">IF(OR(B80="Risk_FXVol",B80="Risk_IRVol"),INDEX(SIMM_Curvature!$D$15:$D$26,MATCH(E80,SIMM_Curvature!$A$15:$A$26,0)),0)</f>
        <v>0</v>
      </c>
      <c r="M80" s="0" t="n">
        <f aca="false">K80*L80</f>
        <v>0</v>
      </c>
    </row>
    <row r="81" customFormat="false" ht="15" hidden="false" customHeight="false" outlineLevel="0" collapsed="false">
      <c r="A81" s="0" t="s">
        <v>351</v>
      </c>
      <c r="B81" s="0" t="s">
        <v>392</v>
      </c>
      <c r="C81" s="0" t="s">
        <v>21</v>
      </c>
      <c r="G81" s="0" t="n">
        <v>-200440.641493644</v>
      </c>
      <c r="H81" s="0" t="s">
        <v>11</v>
      </c>
      <c r="I81" s="0" t="n">
        <v>-200440.641493644</v>
      </c>
      <c r="K81" s="0" t="n">
        <f aca="false">IF(AND(B81="Risk_FXVol",ISNUMBER(J81)),I81/J81,0)</f>
        <v>0</v>
      </c>
      <c r="L81" s="0" t="n">
        <f aca="false">IF(OR(B81="Risk_FXVol",B81="Risk_IRVol"),INDEX(SIMM_Curvature!$D$15:$D$26,MATCH(E81,SIMM_Curvature!$A$15:$A$26,0)),0)</f>
        <v>0</v>
      </c>
      <c r="M81" s="0" t="n">
        <f aca="false">K81*L81</f>
        <v>0</v>
      </c>
    </row>
    <row r="82" customFormat="false" ht="15" hidden="false" customHeight="false" outlineLevel="0" collapsed="false">
      <c r="A82" s="0" t="s">
        <v>352</v>
      </c>
      <c r="B82" s="0" t="s">
        <v>375</v>
      </c>
      <c r="C82" s="0" t="s">
        <v>11</v>
      </c>
      <c r="D82" s="0" t="s">
        <v>153</v>
      </c>
      <c r="E82" s="0" t="s">
        <v>27</v>
      </c>
      <c r="F82" s="0" t="s">
        <v>376</v>
      </c>
      <c r="G82" s="0" t="n">
        <v>479.597334917744</v>
      </c>
      <c r="H82" s="0" t="s">
        <v>11</v>
      </c>
      <c r="I82" s="0" t="n">
        <v>479.597334917744</v>
      </c>
      <c r="K82" s="0" t="n">
        <f aca="false">IF(AND(B82="Risk_FXVol",ISNUMBER(J82)),I82/J82,0)</f>
        <v>0</v>
      </c>
      <c r="L82" s="0" t="n">
        <f aca="false">IF(OR(B82="Risk_FXVol",B82="Risk_IRVol"),INDEX(SIMM_Curvature!$D$15:$D$26,MATCH(E82,SIMM_Curvature!$A$15:$A$26,0)),0)</f>
        <v>0</v>
      </c>
      <c r="M82" s="0" t="n">
        <f aca="false">K82*L82</f>
        <v>0</v>
      </c>
    </row>
    <row r="83" customFormat="false" ht="15" hidden="false" customHeight="false" outlineLevel="0" collapsed="false">
      <c r="A83" s="0" t="s">
        <v>352</v>
      </c>
      <c r="B83" s="0" t="s">
        <v>375</v>
      </c>
      <c r="C83" s="0" t="s">
        <v>22</v>
      </c>
      <c r="D83" s="0" t="s">
        <v>405</v>
      </c>
      <c r="E83" s="0" t="s">
        <v>27</v>
      </c>
      <c r="F83" s="0" t="s">
        <v>376</v>
      </c>
      <c r="G83" s="0" t="n">
        <v>-8363.823424472</v>
      </c>
      <c r="H83" s="0" t="s">
        <v>22</v>
      </c>
      <c r="I83" s="0" t="n">
        <v>-507.455587761473</v>
      </c>
      <c r="K83" s="0" t="n">
        <f aca="false">IF(AND(B83="Risk_FXVol",ISNUMBER(J83)),I83/J83,0)</f>
        <v>0</v>
      </c>
      <c r="L83" s="0" t="n">
        <f aca="false">IF(OR(B83="Risk_FXVol",B83="Risk_IRVol"),INDEX(SIMM_Curvature!$D$15:$D$26,MATCH(E83,SIMM_Curvature!$A$15:$A$26,0)),0)</f>
        <v>0</v>
      </c>
      <c r="M83" s="0" t="n">
        <f aca="false">K83*L83</f>
        <v>0</v>
      </c>
    </row>
    <row r="84" customFormat="false" ht="15" hidden="false" customHeight="false" outlineLevel="0" collapsed="false">
      <c r="A84" s="0" t="s">
        <v>352</v>
      </c>
      <c r="B84" s="0" t="s">
        <v>392</v>
      </c>
      <c r="C84" s="0" t="s">
        <v>22</v>
      </c>
      <c r="G84" s="0" t="n">
        <v>107122.697092692</v>
      </c>
      <c r="H84" s="0" t="s">
        <v>11</v>
      </c>
      <c r="I84" s="0" t="n">
        <v>107122.697092692</v>
      </c>
      <c r="K84" s="0" t="n">
        <f aca="false">IF(AND(B84="Risk_FXVol",ISNUMBER(J84)),I84/J84,0)</f>
        <v>0</v>
      </c>
      <c r="L84" s="0" t="n">
        <f aca="false">IF(OR(B84="Risk_FXVol",B84="Risk_IRVol"),INDEX(SIMM_Curvature!$D$15:$D$26,MATCH(E84,SIMM_Curvature!$A$15:$A$26,0)),0)</f>
        <v>0</v>
      </c>
      <c r="M84" s="0" t="n">
        <f aca="false">K84*L84</f>
        <v>0</v>
      </c>
    </row>
    <row r="85" customFormat="false" ht="15" hidden="false" customHeight="false" outlineLevel="0" collapsed="false">
      <c r="A85" s="0" t="s">
        <v>353</v>
      </c>
      <c r="B85" s="0" t="s">
        <v>375</v>
      </c>
      <c r="C85" s="0" t="s">
        <v>19</v>
      </c>
      <c r="D85" s="0" t="s">
        <v>153</v>
      </c>
      <c r="E85" s="0" t="s">
        <v>26</v>
      </c>
      <c r="F85" s="0" t="s">
        <v>376</v>
      </c>
      <c r="G85" s="0" t="n">
        <v>-493.272418371035</v>
      </c>
      <c r="H85" s="0" t="s">
        <v>19</v>
      </c>
      <c r="I85" s="0" t="n">
        <v>-601.577979285453</v>
      </c>
      <c r="K85" s="0" t="n">
        <f aca="false">IF(AND(B85="Risk_FXVol",ISNUMBER(J85)),I85/J85,0)</f>
        <v>0</v>
      </c>
      <c r="L85" s="0" t="n">
        <f aca="false">IF(OR(B85="Risk_FXVol",B85="Risk_IRVol"),INDEX(SIMM_Curvature!$D$15:$D$26,MATCH(E85,SIMM_Curvature!$A$15:$A$26,0)),0)</f>
        <v>0</v>
      </c>
      <c r="M85" s="0" t="n">
        <f aca="false">K85*L85</f>
        <v>0</v>
      </c>
    </row>
    <row r="86" customFormat="false" ht="15" hidden="false" customHeight="false" outlineLevel="0" collapsed="false">
      <c r="A86" s="0" t="s">
        <v>353</v>
      </c>
      <c r="B86" s="0" t="s">
        <v>375</v>
      </c>
      <c r="C86" s="0" t="s">
        <v>11</v>
      </c>
      <c r="D86" s="0" t="s">
        <v>153</v>
      </c>
      <c r="E86" s="0" t="s">
        <v>26</v>
      </c>
      <c r="F86" s="0" t="s">
        <v>376</v>
      </c>
      <c r="G86" s="0" t="n">
        <v>535.338848619456</v>
      </c>
      <c r="H86" s="0" t="s">
        <v>11</v>
      </c>
      <c r="I86" s="0" t="n">
        <v>535.338848619456</v>
      </c>
      <c r="K86" s="0" t="n">
        <f aca="false">IF(AND(B86="Risk_FXVol",ISNUMBER(J86)),I86/J86,0)</f>
        <v>0</v>
      </c>
      <c r="L86" s="0" t="n">
        <f aca="false">IF(OR(B86="Risk_FXVol",B86="Risk_IRVol"),INDEX(SIMM_Curvature!$D$15:$D$26,MATCH(E86,SIMM_Curvature!$A$15:$A$26,0)),0)</f>
        <v>0</v>
      </c>
      <c r="M86" s="0" t="n">
        <f aca="false">K86*L86</f>
        <v>0</v>
      </c>
    </row>
    <row r="87" customFormat="false" ht="15" hidden="false" customHeight="false" outlineLevel="0" collapsed="false">
      <c r="A87" s="0" t="s">
        <v>353</v>
      </c>
      <c r="B87" s="0" t="s">
        <v>392</v>
      </c>
      <c r="C87" s="0" t="s">
        <v>19</v>
      </c>
      <c r="G87" s="0" t="n">
        <v>242081.622021718</v>
      </c>
      <c r="H87" s="0" t="s">
        <v>11</v>
      </c>
      <c r="I87" s="0" t="n">
        <v>242081.622021718</v>
      </c>
      <c r="K87" s="0" t="n">
        <f aca="false">IF(AND(B87="Risk_FXVol",ISNUMBER(J87)),I87/J87,0)</f>
        <v>0</v>
      </c>
      <c r="L87" s="0" t="n">
        <f aca="false">IF(OR(B87="Risk_FXVol",B87="Risk_IRVol"),INDEX(SIMM_Curvature!$D$15:$D$26,MATCH(E87,SIMM_Curvature!$A$15:$A$26,0)),0)</f>
        <v>0</v>
      </c>
      <c r="M87" s="0" t="n">
        <f aca="false">K87*L87</f>
        <v>0</v>
      </c>
    </row>
    <row r="88" customFormat="false" ht="15" hidden="false" customHeight="false" outlineLevel="0" collapsed="false">
      <c r="A88" s="0" t="s">
        <v>353</v>
      </c>
      <c r="B88" s="0" t="s">
        <v>407</v>
      </c>
      <c r="C88" s="0" t="s">
        <v>39</v>
      </c>
      <c r="E88" s="0" t="s">
        <v>26</v>
      </c>
      <c r="G88" s="0" t="n">
        <v>4484.87295657041</v>
      </c>
      <c r="H88" s="0" t="s">
        <v>11</v>
      </c>
      <c r="I88" s="0" t="n">
        <v>4484.87295657041</v>
      </c>
      <c r="J88" s="0" t="n">
        <v>0.0757656211405683</v>
      </c>
      <c r="K88" s="0" t="n">
        <f aca="false">IF(AND(B88="Risk_FXVol",ISNUMBER(J88)),I88/J88,0)</f>
        <v>59194.0366759431</v>
      </c>
      <c r="L88" s="0" t="n">
        <f aca="false">IF(OR(B88="Risk_FXVol",B88="Risk_IRVol"),INDEX(SIMM_Curvature!$D$15:$D$26,MATCH(E88,SIMM_Curvature!$A$15:$A$26,0)),0)</f>
        <v>0.0767123287671233</v>
      </c>
      <c r="M88" s="0" t="n">
        <f aca="false">K88*L88</f>
        <v>4540.9124025381</v>
      </c>
    </row>
    <row r="89" customFormat="false" ht="15" hidden="false" customHeight="false" outlineLevel="0" collapsed="false">
      <c r="A89" s="0" t="s">
        <v>356</v>
      </c>
      <c r="B89" s="0" t="s">
        <v>375</v>
      </c>
      <c r="C89" s="0" t="s">
        <v>11</v>
      </c>
      <c r="D89" s="0" t="s">
        <v>153</v>
      </c>
      <c r="E89" s="0" t="s">
        <v>28</v>
      </c>
      <c r="F89" s="0" t="s">
        <v>376</v>
      </c>
      <c r="G89" s="0" t="n">
        <v>-222.787995157069</v>
      </c>
      <c r="H89" s="0" t="s">
        <v>11</v>
      </c>
      <c r="I89" s="0" t="n">
        <v>-222.787995157069</v>
      </c>
      <c r="K89" s="0" t="n">
        <f aca="false">IF(AND(B89="Risk_FXVol",ISNUMBER(J89)),I89/J89,0)</f>
        <v>0</v>
      </c>
      <c r="L89" s="0" t="n">
        <f aca="false">IF(OR(B89="Risk_FXVol",B89="Risk_IRVol"),INDEX(SIMM_Curvature!$D$15:$D$26,MATCH(E89,SIMM_Curvature!$A$15:$A$26,0)),0)</f>
        <v>0</v>
      </c>
      <c r="M89" s="0" t="n">
        <f aca="false">K89*L89</f>
        <v>0</v>
      </c>
    </row>
    <row r="90" customFormat="false" ht="15" hidden="false" customHeight="false" outlineLevel="0" collapsed="false">
      <c r="A90" s="0" t="s">
        <v>356</v>
      </c>
      <c r="B90" s="0" t="s">
        <v>375</v>
      </c>
      <c r="C90" s="0" t="s">
        <v>22</v>
      </c>
      <c r="D90" s="0" t="s">
        <v>405</v>
      </c>
      <c r="E90" s="0" t="s">
        <v>28</v>
      </c>
      <c r="F90" s="0" t="s">
        <v>376</v>
      </c>
      <c r="G90" s="0" t="n">
        <v>3164.27022488329</v>
      </c>
      <c r="H90" s="0" t="s">
        <v>22</v>
      </c>
      <c r="I90" s="0" t="n">
        <v>191.984756888342</v>
      </c>
      <c r="K90" s="0" t="n">
        <f aca="false">IF(AND(B90="Risk_FXVol",ISNUMBER(J90)),I90/J90,0)</f>
        <v>0</v>
      </c>
      <c r="L90" s="0" t="n">
        <f aca="false">IF(OR(B90="Risk_FXVol",B90="Risk_IRVol"),INDEX(SIMM_Curvature!$D$15:$D$26,MATCH(E90,SIMM_Curvature!$A$15:$A$26,0)),0)</f>
        <v>0</v>
      </c>
      <c r="M90" s="0" t="n">
        <f aca="false">K90*L90</f>
        <v>0</v>
      </c>
    </row>
    <row r="91" customFormat="false" ht="15" hidden="false" customHeight="false" outlineLevel="0" collapsed="false">
      <c r="A91" s="0" t="s">
        <v>356</v>
      </c>
      <c r="B91" s="0" t="s">
        <v>392</v>
      </c>
      <c r="C91" s="0" t="s">
        <v>22</v>
      </c>
      <c r="G91" s="0" t="n">
        <v>-21368.8243213847</v>
      </c>
      <c r="H91" s="0" t="s">
        <v>11</v>
      </c>
      <c r="I91" s="0" t="n">
        <v>-21368.8243213847</v>
      </c>
      <c r="K91" s="0" t="n">
        <f aca="false">IF(AND(B91="Risk_FXVol",ISNUMBER(J91)),I91/J91,0)</f>
        <v>0</v>
      </c>
      <c r="L91" s="0" t="n">
        <f aca="false">IF(OR(B91="Risk_FXVol",B91="Risk_IRVol"),INDEX(SIMM_Curvature!$D$15:$D$26,MATCH(E91,SIMM_Curvature!$A$15:$A$26,0)),0)</f>
        <v>0</v>
      </c>
      <c r="M91" s="0" t="n">
        <f aca="false">K91*L91</f>
        <v>0</v>
      </c>
    </row>
    <row r="92" customFormat="false" ht="15" hidden="false" customHeight="false" outlineLevel="0" collapsed="false">
      <c r="A92" s="0" t="s">
        <v>356</v>
      </c>
      <c r="B92" s="0" t="s">
        <v>407</v>
      </c>
      <c r="C92" s="0" t="s">
        <v>42</v>
      </c>
      <c r="E92" s="0" t="s">
        <v>28</v>
      </c>
      <c r="G92" s="0" t="n">
        <v>438670.236611905</v>
      </c>
      <c r="H92" s="0" t="s">
        <v>11</v>
      </c>
      <c r="I92" s="0" t="n">
        <v>438670.236611905</v>
      </c>
      <c r="J92" s="0" t="n">
        <v>0.146437719099576</v>
      </c>
      <c r="K92" s="0" t="n">
        <f aca="false">IF(AND(B92="Risk_FXVol",ISNUMBER(J92)),I92/J92,0)</f>
        <v>2995609.59641561</v>
      </c>
      <c r="L92" s="0" t="n">
        <f aca="false">IF(OR(B92="Risk_FXVol",B92="Risk_IRVol"),INDEX(SIMM_Curvature!$D$15:$D$26,MATCH(E92,SIMM_Curvature!$A$15:$A$26,0)),0)</f>
        <v>0.0191780821917808</v>
      </c>
      <c r="M92" s="0" t="n">
        <f aca="false">K92*L92</f>
        <v>57450.047054546</v>
      </c>
    </row>
    <row r="93" customFormat="false" ht="15" hidden="false" customHeight="false" outlineLevel="0" collapsed="false">
      <c r="A93" s="0" t="s">
        <v>357</v>
      </c>
      <c r="B93" s="0" t="s">
        <v>375</v>
      </c>
      <c r="C93" s="0" t="s">
        <v>20</v>
      </c>
      <c r="D93" s="0" t="s">
        <v>153</v>
      </c>
      <c r="E93" s="0" t="s">
        <v>27</v>
      </c>
      <c r="F93" s="0" t="s">
        <v>376</v>
      </c>
      <c r="G93" s="0" t="n">
        <v>-401.995478929961</v>
      </c>
      <c r="H93" s="0" t="s">
        <v>20</v>
      </c>
      <c r="I93" s="0" t="n">
        <v>-514.392419508731</v>
      </c>
      <c r="K93" s="0" t="n">
        <f aca="false">IF(AND(B93="Risk_FXVol",ISNUMBER(J93)),I93/J93,0)</f>
        <v>0</v>
      </c>
      <c r="L93" s="0" t="n">
        <f aca="false">IF(OR(B93="Risk_FXVol",B93="Risk_IRVol"),INDEX(SIMM_Curvature!$D$15:$D$26,MATCH(E93,SIMM_Curvature!$A$15:$A$26,0)),0)</f>
        <v>0</v>
      </c>
      <c r="M93" s="0" t="n">
        <f aca="false">K93*L93</f>
        <v>0</v>
      </c>
    </row>
    <row r="94" customFormat="false" ht="15" hidden="false" customHeight="false" outlineLevel="0" collapsed="false">
      <c r="A94" s="0" t="s">
        <v>357</v>
      </c>
      <c r="B94" s="0" t="s">
        <v>375</v>
      </c>
      <c r="C94" s="0" t="s">
        <v>11</v>
      </c>
      <c r="D94" s="0" t="s">
        <v>153</v>
      </c>
      <c r="E94" s="0" t="s">
        <v>27</v>
      </c>
      <c r="F94" s="0" t="s">
        <v>376</v>
      </c>
      <c r="G94" s="0" t="n">
        <v>474.43113816779</v>
      </c>
      <c r="H94" s="0" t="s">
        <v>11</v>
      </c>
      <c r="I94" s="0" t="n">
        <v>474.43113816779</v>
      </c>
      <c r="K94" s="0" t="n">
        <f aca="false">IF(AND(B94="Risk_FXVol",ISNUMBER(J94)),I94/J94,0)</f>
        <v>0</v>
      </c>
      <c r="L94" s="0" t="n">
        <f aca="false">IF(OR(B94="Risk_FXVol",B94="Risk_IRVol"),INDEX(SIMM_Curvature!$D$15:$D$26,MATCH(E94,SIMM_Curvature!$A$15:$A$26,0)),0)</f>
        <v>0</v>
      </c>
      <c r="M94" s="0" t="n">
        <f aca="false">K94*L94</f>
        <v>0</v>
      </c>
    </row>
    <row r="95" customFormat="false" ht="15" hidden="false" customHeight="false" outlineLevel="0" collapsed="false">
      <c r="A95" s="0" t="s">
        <v>357</v>
      </c>
      <c r="B95" s="0" t="s">
        <v>392</v>
      </c>
      <c r="C95" s="0" t="s">
        <v>20</v>
      </c>
      <c r="G95" s="0" t="n">
        <v>104841.752239271</v>
      </c>
      <c r="H95" s="0" t="s">
        <v>11</v>
      </c>
      <c r="I95" s="0" t="n">
        <v>104841.752239271</v>
      </c>
      <c r="K95" s="0" t="n">
        <f aca="false">IF(AND(B95="Risk_FXVol",ISNUMBER(J95)),I95/J95,0)</f>
        <v>0</v>
      </c>
      <c r="L95" s="0" t="n">
        <f aca="false">IF(OR(B95="Risk_FXVol",B95="Risk_IRVol"),INDEX(SIMM_Curvature!$D$15:$D$26,MATCH(E95,SIMM_Curvature!$A$15:$A$26,0)),0)</f>
        <v>0</v>
      </c>
      <c r="M95" s="0" t="n">
        <f aca="false">K95*L95</f>
        <v>0</v>
      </c>
    </row>
    <row r="96" customFormat="false" ht="15" hidden="false" customHeight="false" outlineLevel="0" collapsed="false">
      <c r="A96" s="0" t="s">
        <v>357</v>
      </c>
      <c r="B96" s="0" t="s">
        <v>407</v>
      </c>
      <c r="C96" s="0" t="s">
        <v>40</v>
      </c>
      <c r="E96" s="0" t="s">
        <v>27</v>
      </c>
      <c r="G96" s="0" t="n">
        <v>704999.647520219</v>
      </c>
      <c r="H96" s="0" t="s">
        <v>11</v>
      </c>
      <c r="I96" s="0" t="n">
        <v>704999.647520219</v>
      </c>
      <c r="J96" s="0" t="n">
        <v>0.134059346807753</v>
      </c>
      <c r="K96" s="0" t="n">
        <f aca="false">IF(AND(B96="Risk_FXVol",ISNUMBER(J96)),I96/J96,0)</f>
        <v>5258862.31962041</v>
      </c>
      <c r="L96" s="0" t="n">
        <f aca="false">IF(OR(B96="Risk_FXVol",B96="Risk_IRVol"),INDEX(SIMM_Curvature!$D$15:$D$26,MATCH(E96,SIMM_Curvature!$A$15:$A$26,0)),0)</f>
        <v>0.0383561643835616</v>
      </c>
      <c r="M96" s="0" t="n">
        <f aca="false">K96*L96</f>
        <v>201709.787601879</v>
      </c>
    </row>
    <row r="97" customFormat="false" ht="15" hidden="false" customHeight="false" outlineLevel="0" collapsed="false">
      <c r="A97" s="0" t="s">
        <v>358</v>
      </c>
      <c r="B97" s="0" t="s">
        <v>375</v>
      </c>
      <c r="C97" s="0" t="s">
        <v>20</v>
      </c>
      <c r="D97" s="0" t="s">
        <v>153</v>
      </c>
      <c r="E97" s="0" t="s">
        <v>27</v>
      </c>
      <c r="F97" s="0" t="s">
        <v>376</v>
      </c>
      <c r="G97" s="0" t="n">
        <v>320.065744522026</v>
      </c>
      <c r="H97" s="0" t="s">
        <v>20</v>
      </c>
      <c r="I97" s="0" t="n">
        <v>409.555334216167</v>
      </c>
      <c r="K97" s="0" t="n">
        <f aca="false">IF(AND(B97="Risk_FXVol",ISNUMBER(J97)),I97/J97,0)</f>
        <v>0</v>
      </c>
      <c r="L97" s="0" t="n">
        <f aca="false">IF(OR(B97="Risk_FXVol",B97="Risk_IRVol"),INDEX(SIMM_Curvature!$D$15:$D$26,MATCH(E97,SIMM_Curvature!$A$15:$A$26,0)),0)</f>
        <v>0</v>
      </c>
      <c r="M97" s="0" t="n">
        <f aca="false">K97*L97</f>
        <v>0</v>
      </c>
    </row>
    <row r="98" customFormat="false" ht="15" hidden="false" customHeight="false" outlineLevel="0" collapsed="false">
      <c r="A98" s="0" t="s">
        <v>358</v>
      </c>
      <c r="B98" s="0" t="s">
        <v>375</v>
      </c>
      <c r="C98" s="0" t="s">
        <v>11</v>
      </c>
      <c r="D98" s="0" t="s">
        <v>153</v>
      </c>
      <c r="E98" s="0" t="s">
        <v>27</v>
      </c>
      <c r="F98" s="0" t="s">
        <v>376</v>
      </c>
      <c r="G98" s="0" t="n">
        <v>-439.516382153958</v>
      </c>
      <c r="H98" s="0" t="s">
        <v>11</v>
      </c>
      <c r="I98" s="0" t="n">
        <v>-439.516382153958</v>
      </c>
      <c r="K98" s="0" t="n">
        <f aca="false">IF(AND(B98="Risk_FXVol",ISNUMBER(J98)),I98/J98,0)</f>
        <v>0</v>
      </c>
      <c r="L98" s="0" t="n">
        <f aca="false">IF(OR(B98="Risk_FXVol",B98="Risk_IRVol"),INDEX(SIMM_Curvature!$D$15:$D$26,MATCH(E98,SIMM_Curvature!$A$15:$A$26,0)),0)</f>
        <v>0</v>
      </c>
      <c r="M98" s="0" t="n">
        <f aca="false">K98*L98</f>
        <v>0</v>
      </c>
    </row>
    <row r="99" customFormat="false" ht="15" hidden="false" customHeight="false" outlineLevel="0" collapsed="false">
      <c r="A99" s="0" t="s">
        <v>358</v>
      </c>
      <c r="B99" s="0" t="s">
        <v>392</v>
      </c>
      <c r="C99" s="0" t="s">
        <v>20</v>
      </c>
      <c r="G99" s="0" t="n">
        <v>-83488.9083792609</v>
      </c>
      <c r="H99" s="0" t="s">
        <v>11</v>
      </c>
      <c r="I99" s="0" t="n">
        <v>-83488.9083792609</v>
      </c>
      <c r="K99" s="0" t="n">
        <f aca="false">IF(AND(B99="Risk_FXVol",ISNUMBER(J99)),I99/J99,0)</f>
        <v>0</v>
      </c>
      <c r="L99" s="0" t="n">
        <f aca="false">IF(OR(B99="Risk_FXVol",B99="Risk_IRVol"),INDEX(SIMM_Curvature!$D$15:$D$26,MATCH(E99,SIMM_Curvature!$A$15:$A$26,0)),0)</f>
        <v>0</v>
      </c>
      <c r="M99" s="0" t="n">
        <f aca="false">K99*L99</f>
        <v>0</v>
      </c>
    </row>
    <row r="100" customFormat="false" ht="15" hidden="false" customHeight="false" outlineLevel="0" collapsed="false">
      <c r="A100" s="0" t="s">
        <v>358</v>
      </c>
      <c r="B100" s="0" t="s">
        <v>407</v>
      </c>
      <c r="C100" s="0" t="s">
        <v>40</v>
      </c>
      <c r="E100" s="0" t="s">
        <v>27</v>
      </c>
      <c r="G100" s="0" t="n">
        <v>704999.647520219</v>
      </c>
      <c r="H100" s="0" t="s">
        <v>11</v>
      </c>
      <c r="I100" s="0" t="n">
        <v>704999.647520219</v>
      </c>
      <c r="J100" s="0" t="n">
        <v>0.134059346807753</v>
      </c>
      <c r="K100" s="0" t="n">
        <f aca="false">IF(AND(B100="Risk_FXVol",ISNUMBER(J100)),I100/J100,0)</f>
        <v>5258862.31962041</v>
      </c>
      <c r="L100" s="0" t="n">
        <f aca="false">IF(OR(B100="Risk_FXVol",B100="Risk_IRVol"),INDEX(SIMM_Curvature!$D$15:$D$26,MATCH(E100,SIMM_Curvature!$A$15:$A$26,0)),0)</f>
        <v>0.0383561643835616</v>
      </c>
      <c r="M100" s="0" t="n">
        <f aca="false">K100*L100</f>
        <v>201709.787601879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17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2734375" defaultRowHeight="15" customHeight="false" zeroHeight="false" outlineLevelRow="0" outlineLevelCol="0"/>
  <cols>
    <col collapsed="false" customWidth="true" hidden="false" outlineLevel="0" max="1" min="1" style="0" width="46"/>
  </cols>
  <sheetData>
    <row r="1" customFormat="false" ht="15" hidden="false" customHeight="false" outlineLevel="0" collapsed="false">
      <c r="A1" s="1" t="s">
        <v>408</v>
      </c>
    </row>
    <row r="4" customFormat="false" ht="15" hidden="false" customHeight="false" outlineLevel="0" collapsed="false">
      <c r="A4" s="1" t="s">
        <v>409</v>
      </c>
      <c r="B4" s="0" t="str">
        <f aca="false">Inputs!$B$4</f>
        <v>2.8+2512</v>
      </c>
    </row>
    <row r="6" customFormat="false" ht="15" hidden="false" customHeight="false" outlineLevel="0" collapsed="false">
      <c r="A6" s="1" t="s">
        <v>410</v>
      </c>
    </row>
    <row r="7" customFormat="false" ht="15" hidden="false" customHeight="false" outlineLevel="0" collapsed="false">
      <c r="B7" s="1" t="str">
        <f aca="false">Inputs!$B$14</f>
        <v>2w</v>
      </c>
      <c r="C7" s="1" t="str">
        <f aca="false">Inputs!$C$14</f>
        <v>1m</v>
      </c>
      <c r="D7" s="1" t="str">
        <f aca="false">Inputs!$D$14</f>
        <v>3m</v>
      </c>
      <c r="E7" s="1" t="str">
        <f aca="false">Inputs!$E$14</f>
        <v>6m</v>
      </c>
      <c r="F7" s="1" t="str">
        <f aca="false">Inputs!$F$14</f>
        <v>1y</v>
      </c>
      <c r="G7" s="1" t="str">
        <f aca="false">Inputs!$G$14</f>
        <v>2y</v>
      </c>
      <c r="H7" s="1" t="str">
        <f aca="false">Inputs!$H$14</f>
        <v>3y</v>
      </c>
      <c r="I7" s="1" t="str">
        <f aca="false">Inputs!$I$14</f>
        <v>5y</v>
      </c>
      <c r="J7" s="1" t="str">
        <f aca="false">Inputs!$J$14</f>
        <v>10y</v>
      </c>
      <c r="K7" s="1" t="str">
        <f aca="false">Inputs!$K$14</f>
        <v>15y</v>
      </c>
      <c r="L7" s="1" t="str">
        <f aca="false">Inputs!$L$14</f>
        <v>20y</v>
      </c>
      <c r="M7" s="1" t="str">
        <f aca="false">Inputs!$M$14</f>
        <v>30y</v>
      </c>
    </row>
    <row r="8" customFormat="false" ht="15" hidden="false" customHeight="false" outlineLevel="0" collapsed="false">
      <c r="A8" s="0" t="str">
        <f aca="false">Inputs!$B$14</f>
        <v>2w</v>
      </c>
      <c r="B8" s="0" t="n">
        <f aca="false">INDEX(Parameters!$G$5:$G$689,MATCH(Inputs!$B$4&amp;"|IR|"&amp;"delta_tenor_corr"&amp;"|"&amp;$A8&amp;"|"&amp;B$7,Parameters!$A$5:$A$689,0))</f>
        <v>1</v>
      </c>
      <c r="C8" s="0" t="n">
        <f aca="false">INDEX(Parameters!$G$5:$G$689,MATCH(Inputs!$B$4&amp;"|IR|"&amp;"delta_tenor_corr"&amp;"|"&amp;$A8&amp;"|"&amp;C$7,Parameters!$A$5:$A$689,0))</f>
        <v>0.74</v>
      </c>
      <c r="D8" s="0" t="n">
        <f aca="false">INDEX(Parameters!$G$5:$G$689,MATCH(Inputs!$B$4&amp;"|IR|"&amp;"delta_tenor_corr"&amp;"|"&amp;$A8&amp;"|"&amp;D$7,Parameters!$A$5:$A$689,0))</f>
        <v>0.65</v>
      </c>
      <c r="E8" s="0" t="n">
        <f aca="false">INDEX(Parameters!$G$5:$G$689,MATCH(Inputs!$B$4&amp;"|IR|"&amp;"delta_tenor_corr"&amp;"|"&amp;$A8&amp;"|"&amp;E$7,Parameters!$A$5:$A$689,0))</f>
        <v>0.54</v>
      </c>
      <c r="F8" s="0" t="n">
        <f aca="false">INDEX(Parameters!$G$5:$G$689,MATCH(Inputs!$B$4&amp;"|IR|"&amp;"delta_tenor_corr"&amp;"|"&amp;$A8&amp;"|"&amp;F$7,Parameters!$A$5:$A$689,0))</f>
        <v>0.4</v>
      </c>
      <c r="G8" s="0" t="n">
        <f aca="false">INDEX(Parameters!$G$5:$G$689,MATCH(Inputs!$B$4&amp;"|IR|"&amp;"delta_tenor_corr"&amp;"|"&amp;$A8&amp;"|"&amp;G$7,Parameters!$A$5:$A$689,0))</f>
        <v>0.29</v>
      </c>
      <c r="H8" s="0" t="n">
        <f aca="false">INDEX(Parameters!$G$5:$G$689,MATCH(Inputs!$B$4&amp;"|IR|"&amp;"delta_tenor_corr"&amp;"|"&amp;$A8&amp;"|"&amp;H$7,Parameters!$A$5:$A$689,0))</f>
        <v>0.25</v>
      </c>
      <c r="I8" s="0" t="n">
        <f aca="false">INDEX(Parameters!$G$5:$G$689,MATCH(Inputs!$B$4&amp;"|IR|"&amp;"delta_tenor_corr"&amp;"|"&amp;$A8&amp;"|"&amp;I$7,Parameters!$A$5:$A$689,0))</f>
        <v>0.22</v>
      </c>
      <c r="J8" s="0" t="n">
        <f aca="false">INDEX(Parameters!$G$5:$G$689,MATCH(Inputs!$B$4&amp;"|IR|"&amp;"delta_tenor_corr"&amp;"|"&amp;$A8&amp;"|"&amp;J$7,Parameters!$A$5:$A$689,0))</f>
        <v>0.17</v>
      </c>
      <c r="K8" s="0" t="n">
        <f aca="false">INDEX(Parameters!$G$5:$G$689,MATCH(Inputs!$B$4&amp;"|IR|"&amp;"delta_tenor_corr"&amp;"|"&amp;$A8&amp;"|"&amp;K$7,Parameters!$A$5:$A$689,0))</f>
        <v>0.16</v>
      </c>
      <c r="L8" s="0" t="n">
        <f aca="false">INDEX(Parameters!$G$5:$G$689,MATCH(Inputs!$B$4&amp;"|IR|"&amp;"delta_tenor_corr"&amp;"|"&amp;$A8&amp;"|"&amp;L$7,Parameters!$A$5:$A$689,0))</f>
        <v>0.14</v>
      </c>
      <c r="M8" s="0" t="n">
        <f aca="false">INDEX(Parameters!$G$5:$G$689,MATCH(Inputs!$B$4&amp;"|IR|"&amp;"delta_tenor_corr"&amp;"|"&amp;$A8&amp;"|"&amp;M$7,Parameters!$A$5:$A$689,0))</f>
        <v>0.14</v>
      </c>
    </row>
    <row r="9" customFormat="false" ht="15" hidden="false" customHeight="false" outlineLevel="0" collapsed="false">
      <c r="A9" s="0" t="str">
        <f aca="false">Inputs!$C$14</f>
        <v>1m</v>
      </c>
      <c r="B9" s="0" t="n">
        <f aca="false">INDEX(Parameters!$G$5:$G$689,MATCH(Inputs!$B$4&amp;"|IR|"&amp;"delta_tenor_corr"&amp;"|"&amp;$A9&amp;"|"&amp;B$7,Parameters!$A$5:$A$689,0))</f>
        <v>0.74</v>
      </c>
      <c r="C9" s="0" t="n">
        <f aca="false">INDEX(Parameters!$G$5:$G$689,MATCH(Inputs!$B$4&amp;"|IR|"&amp;"delta_tenor_corr"&amp;"|"&amp;$A9&amp;"|"&amp;C$7,Parameters!$A$5:$A$689,0))</f>
        <v>1</v>
      </c>
      <c r="D9" s="0" t="n">
        <f aca="false">INDEX(Parameters!$G$5:$G$689,MATCH(Inputs!$B$4&amp;"|IR|"&amp;"delta_tenor_corr"&amp;"|"&amp;$A9&amp;"|"&amp;D$7,Parameters!$A$5:$A$689,0))</f>
        <v>0.85</v>
      </c>
      <c r="E9" s="0" t="n">
        <f aca="false">INDEX(Parameters!$G$5:$G$689,MATCH(Inputs!$B$4&amp;"|IR|"&amp;"delta_tenor_corr"&amp;"|"&amp;$A9&amp;"|"&amp;E$7,Parameters!$A$5:$A$689,0))</f>
        <v>0.72</v>
      </c>
      <c r="F9" s="0" t="n">
        <f aca="false">INDEX(Parameters!$G$5:$G$689,MATCH(Inputs!$B$4&amp;"|IR|"&amp;"delta_tenor_corr"&amp;"|"&amp;$A9&amp;"|"&amp;F$7,Parameters!$A$5:$A$689,0))</f>
        <v>0.5</v>
      </c>
      <c r="G9" s="0" t="n">
        <f aca="false">INDEX(Parameters!$G$5:$G$689,MATCH(Inputs!$B$4&amp;"|IR|"&amp;"delta_tenor_corr"&amp;"|"&amp;$A9&amp;"|"&amp;G$7,Parameters!$A$5:$A$689,0))</f>
        <v>0.36</v>
      </c>
      <c r="H9" s="0" t="n">
        <f aca="false">INDEX(Parameters!$G$5:$G$689,MATCH(Inputs!$B$4&amp;"|IR|"&amp;"delta_tenor_corr"&amp;"|"&amp;$A9&amp;"|"&amp;H$7,Parameters!$A$5:$A$689,0))</f>
        <v>0.3</v>
      </c>
      <c r="I9" s="0" t="n">
        <f aca="false">INDEX(Parameters!$G$5:$G$689,MATCH(Inputs!$B$4&amp;"|IR|"&amp;"delta_tenor_corr"&amp;"|"&amp;$A9&amp;"|"&amp;I$7,Parameters!$A$5:$A$689,0))</f>
        <v>0.25</v>
      </c>
      <c r="J9" s="0" t="n">
        <f aca="false">INDEX(Parameters!$G$5:$G$689,MATCH(Inputs!$B$4&amp;"|IR|"&amp;"delta_tenor_corr"&amp;"|"&amp;$A9&amp;"|"&amp;J$7,Parameters!$A$5:$A$689,0))</f>
        <v>0.2</v>
      </c>
      <c r="K9" s="0" t="n">
        <f aca="false">INDEX(Parameters!$G$5:$G$689,MATCH(Inputs!$B$4&amp;"|IR|"&amp;"delta_tenor_corr"&amp;"|"&amp;$A9&amp;"|"&amp;K$7,Parameters!$A$5:$A$689,0))</f>
        <v>0.16</v>
      </c>
      <c r="L9" s="0" t="n">
        <f aca="false">INDEX(Parameters!$G$5:$G$689,MATCH(Inputs!$B$4&amp;"|IR|"&amp;"delta_tenor_corr"&amp;"|"&amp;$A9&amp;"|"&amp;L$7,Parameters!$A$5:$A$689,0))</f>
        <v>0.14</v>
      </c>
      <c r="M9" s="0" t="n">
        <f aca="false">INDEX(Parameters!$G$5:$G$689,MATCH(Inputs!$B$4&amp;"|IR|"&amp;"delta_tenor_corr"&amp;"|"&amp;$A9&amp;"|"&amp;M$7,Parameters!$A$5:$A$689,0))</f>
        <v>0.14</v>
      </c>
    </row>
    <row r="10" customFormat="false" ht="15" hidden="false" customHeight="false" outlineLevel="0" collapsed="false">
      <c r="A10" s="0" t="str">
        <f aca="false">Inputs!$D$14</f>
        <v>3m</v>
      </c>
      <c r="B10" s="0" t="n">
        <f aca="false">INDEX(Parameters!$G$5:$G$689,MATCH(Inputs!$B$4&amp;"|IR|"&amp;"delta_tenor_corr"&amp;"|"&amp;$A10&amp;"|"&amp;B$7,Parameters!$A$5:$A$689,0))</f>
        <v>0.65</v>
      </c>
      <c r="C10" s="0" t="n">
        <f aca="false">INDEX(Parameters!$G$5:$G$689,MATCH(Inputs!$B$4&amp;"|IR|"&amp;"delta_tenor_corr"&amp;"|"&amp;$A10&amp;"|"&amp;C$7,Parameters!$A$5:$A$689,0))</f>
        <v>0.85</v>
      </c>
      <c r="D10" s="0" t="n">
        <f aca="false">INDEX(Parameters!$G$5:$G$689,MATCH(Inputs!$B$4&amp;"|IR|"&amp;"delta_tenor_corr"&amp;"|"&amp;$A10&amp;"|"&amp;D$7,Parameters!$A$5:$A$689,0))</f>
        <v>1</v>
      </c>
      <c r="E10" s="0" t="n">
        <f aca="false">INDEX(Parameters!$G$5:$G$689,MATCH(Inputs!$B$4&amp;"|IR|"&amp;"delta_tenor_corr"&amp;"|"&amp;$A10&amp;"|"&amp;E$7,Parameters!$A$5:$A$689,0))</f>
        <v>0.9</v>
      </c>
      <c r="F10" s="0" t="n">
        <f aca="false">INDEX(Parameters!$G$5:$G$689,MATCH(Inputs!$B$4&amp;"|IR|"&amp;"delta_tenor_corr"&amp;"|"&amp;$A10&amp;"|"&amp;F$7,Parameters!$A$5:$A$689,0))</f>
        <v>0.69</v>
      </c>
      <c r="G10" s="0" t="n">
        <f aca="false">INDEX(Parameters!$G$5:$G$689,MATCH(Inputs!$B$4&amp;"|IR|"&amp;"delta_tenor_corr"&amp;"|"&amp;$A10&amp;"|"&amp;G$7,Parameters!$A$5:$A$689,0))</f>
        <v>0.53</v>
      </c>
      <c r="H10" s="0" t="n">
        <f aca="false">INDEX(Parameters!$G$5:$G$689,MATCH(Inputs!$B$4&amp;"|IR|"&amp;"delta_tenor_corr"&amp;"|"&amp;$A10&amp;"|"&amp;H$7,Parameters!$A$5:$A$689,0))</f>
        <v>0.46</v>
      </c>
      <c r="I10" s="0" t="n">
        <f aca="false">INDEX(Parameters!$G$5:$G$689,MATCH(Inputs!$B$4&amp;"|IR|"&amp;"delta_tenor_corr"&amp;"|"&amp;$A10&amp;"|"&amp;I$7,Parameters!$A$5:$A$689,0))</f>
        <v>0.4</v>
      </c>
      <c r="J10" s="0" t="n">
        <f aca="false">INDEX(Parameters!$G$5:$G$689,MATCH(Inputs!$B$4&amp;"|IR|"&amp;"delta_tenor_corr"&amp;"|"&amp;$A10&amp;"|"&amp;J$7,Parameters!$A$5:$A$689,0))</f>
        <v>0.34</v>
      </c>
      <c r="K10" s="0" t="n">
        <f aca="false">INDEX(Parameters!$G$5:$G$689,MATCH(Inputs!$B$4&amp;"|IR|"&amp;"delta_tenor_corr"&amp;"|"&amp;$A10&amp;"|"&amp;K$7,Parameters!$A$5:$A$689,0))</f>
        <v>0.27</v>
      </c>
      <c r="L10" s="0" t="n">
        <f aca="false">INDEX(Parameters!$G$5:$G$689,MATCH(Inputs!$B$4&amp;"|IR|"&amp;"delta_tenor_corr"&amp;"|"&amp;$A10&amp;"|"&amp;L$7,Parameters!$A$5:$A$689,0))</f>
        <v>0.25</v>
      </c>
      <c r="M10" s="0" t="n">
        <f aca="false">INDEX(Parameters!$G$5:$G$689,MATCH(Inputs!$B$4&amp;"|IR|"&amp;"delta_tenor_corr"&amp;"|"&amp;$A10&amp;"|"&amp;M$7,Parameters!$A$5:$A$689,0))</f>
        <v>0.25</v>
      </c>
    </row>
    <row r="11" customFormat="false" ht="15" hidden="false" customHeight="false" outlineLevel="0" collapsed="false">
      <c r="A11" s="0" t="str">
        <f aca="false">Inputs!$E$14</f>
        <v>6m</v>
      </c>
      <c r="B11" s="0" t="n">
        <f aca="false">INDEX(Parameters!$G$5:$G$689,MATCH(Inputs!$B$4&amp;"|IR|"&amp;"delta_tenor_corr"&amp;"|"&amp;$A11&amp;"|"&amp;B$7,Parameters!$A$5:$A$689,0))</f>
        <v>0.54</v>
      </c>
      <c r="C11" s="0" t="n">
        <f aca="false">INDEX(Parameters!$G$5:$G$689,MATCH(Inputs!$B$4&amp;"|IR|"&amp;"delta_tenor_corr"&amp;"|"&amp;$A11&amp;"|"&amp;C$7,Parameters!$A$5:$A$689,0))</f>
        <v>0.72</v>
      </c>
      <c r="D11" s="0" t="n">
        <f aca="false">INDEX(Parameters!$G$5:$G$689,MATCH(Inputs!$B$4&amp;"|IR|"&amp;"delta_tenor_corr"&amp;"|"&amp;$A11&amp;"|"&amp;D$7,Parameters!$A$5:$A$689,0))</f>
        <v>0.9</v>
      </c>
      <c r="E11" s="0" t="n">
        <f aca="false">INDEX(Parameters!$G$5:$G$689,MATCH(Inputs!$B$4&amp;"|IR|"&amp;"delta_tenor_corr"&amp;"|"&amp;$A11&amp;"|"&amp;E$7,Parameters!$A$5:$A$689,0))</f>
        <v>1</v>
      </c>
      <c r="F11" s="0" t="n">
        <f aca="false">INDEX(Parameters!$G$5:$G$689,MATCH(Inputs!$B$4&amp;"|IR|"&amp;"delta_tenor_corr"&amp;"|"&amp;$A11&amp;"|"&amp;F$7,Parameters!$A$5:$A$689,0))</f>
        <v>0.86</v>
      </c>
      <c r="G11" s="0" t="n">
        <f aca="false">INDEX(Parameters!$G$5:$G$689,MATCH(Inputs!$B$4&amp;"|IR|"&amp;"delta_tenor_corr"&amp;"|"&amp;$A11&amp;"|"&amp;G$7,Parameters!$A$5:$A$689,0))</f>
        <v>0.73</v>
      </c>
      <c r="H11" s="0" t="n">
        <f aca="false">INDEX(Parameters!$G$5:$G$689,MATCH(Inputs!$B$4&amp;"|IR|"&amp;"delta_tenor_corr"&amp;"|"&amp;$A11&amp;"|"&amp;H$7,Parameters!$A$5:$A$689,0))</f>
        <v>0.65</v>
      </c>
      <c r="I11" s="0" t="n">
        <f aca="false">INDEX(Parameters!$G$5:$G$689,MATCH(Inputs!$B$4&amp;"|IR|"&amp;"delta_tenor_corr"&amp;"|"&amp;$A11&amp;"|"&amp;I$7,Parameters!$A$5:$A$689,0))</f>
        <v>0.58</v>
      </c>
      <c r="J11" s="0" t="n">
        <f aca="false">INDEX(Parameters!$G$5:$G$689,MATCH(Inputs!$B$4&amp;"|IR|"&amp;"delta_tenor_corr"&amp;"|"&amp;$A11&amp;"|"&amp;J$7,Parameters!$A$5:$A$689,0))</f>
        <v>0.52</v>
      </c>
      <c r="K11" s="0" t="n">
        <f aca="false">INDEX(Parameters!$G$5:$G$689,MATCH(Inputs!$B$4&amp;"|IR|"&amp;"delta_tenor_corr"&amp;"|"&amp;$A11&amp;"|"&amp;K$7,Parameters!$A$5:$A$689,0))</f>
        <v>0.47</v>
      </c>
      <c r="L11" s="0" t="n">
        <f aca="false">INDEX(Parameters!$G$5:$G$689,MATCH(Inputs!$B$4&amp;"|IR|"&amp;"delta_tenor_corr"&amp;"|"&amp;$A11&amp;"|"&amp;L$7,Parameters!$A$5:$A$689,0))</f>
        <v>0.44</v>
      </c>
      <c r="M11" s="0" t="n">
        <f aca="false">INDEX(Parameters!$G$5:$G$689,MATCH(Inputs!$B$4&amp;"|IR|"&amp;"delta_tenor_corr"&amp;"|"&amp;$A11&amp;"|"&amp;M$7,Parameters!$A$5:$A$689,0))</f>
        <v>0.42</v>
      </c>
    </row>
    <row r="12" customFormat="false" ht="15" hidden="false" customHeight="false" outlineLevel="0" collapsed="false">
      <c r="A12" s="0" t="str">
        <f aca="false">Inputs!$F$14</f>
        <v>1y</v>
      </c>
      <c r="B12" s="0" t="n">
        <f aca="false">INDEX(Parameters!$G$5:$G$689,MATCH(Inputs!$B$4&amp;"|IR|"&amp;"delta_tenor_corr"&amp;"|"&amp;$A12&amp;"|"&amp;B$7,Parameters!$A$5:$A$689,0))</f>
        <v>0.4</v>
      </c>
      <c r="C12" s="0" t="n">
        <f aca="false">INDEX(Parameters!$G$5:$G$689,MATCH(Inputs!$B$4&amp;"|IR|"&amp;"delta_tenor_corr"&amp;"|"&amp;$A12&amp;"|"&amp;C$7,Parameters!$A$5:$A$689,0))</f>
        <v>0.5</v>
      </c>
      <c r="D12" s="0" t="n">
        <f aca="false">INDEX(Parameters!$G$5:$G$689,MATCH(Inputs!$B$4&amp;"|IR|"&amp;"delta_tenor_corr"&amp;"|"&amp;$A12&amp;"|"&amp;D$7,Parameters!$A$5:$A$689,0))</f>
        <v>0.69</v>
      </c>
      <c r="E12" s="0" t="n">
        <f aca="false">INDEX(Parameters!$G$5:$G$689,MATCH(Inputs!$B$4&amp;"|IR|"&amp;"delta_tenor_corr"&amp;"|"&amp;$A12&amp;"|"&amp;E$7,Parameters!$A$5:$A$689,0))</f>
        <v>0.86</v>
      </c>
      <c r="F12" s="0" t="n">
        <f aca="false">INDEX(Parameters!$G$5:$G$689,MATCH(Inputs!$B$4&amp;"|IR|"&amp;"delta_tenor_corr"&amp;"|"&amp;$A12&amp;"|"&amp;F$7,Parameters!$A$5:$A$689,0))</f>
        <v>1</v>
      </c>
      <c r="G12" s="0" t="n">
        <f aca="false">INDEX(Parameters!$G$5:$G$689,MATCH(Inputs!$B$4&amp;"|IR|"&amp;"delta_tenor_corr"&amp;"|"&amp;$A12&amp;"|"&amp;G$7,Parameters!$A$5:$A$689,0))</f>
        <v>0.94</v>
      </c>
      <c r="H12" s="0" t="n">
        <f aca="false">INDEX(Parameters!$G$5:$G$689,MATCH(Inputs!$B$4&amp;"|IR|"&amp;"delta_tenor_corr"&amp;"|"&amp;$A12&amp;"|"&amp;H$7,Parameters!$A$5:$A$689,0))</f>
        <v>0.87</v>
      </c>
      <c r="I12" s="0" t="n">
        <f aca="false">INDEX(Parameters!$G$5:$G$689,MATCH(Inputs!$B$4&amp;"|IR|"&amp;"delta_tenor_corr"&amp;"|"&amp;$A12&amp;"|"&amp;I$7,Parameters!$A$5:$A$689,0))</f>
        <v>0.81</v>
      </c>
      <c r="J12" s="0" t="n">
        <f aca="false">INDEX(Parameters!$G$5:$G$689,MATCH(Inputs!$B$4&amp;"|IR|"&amp;"delta_tenor_corr"&amp;"|"&amp;$A12&amp;"|"&amp;J$7,Parameters!$A$5:$A$689,0))</f>
        <v>0.73</v>
      </c>
      <c r="K12" s="0" t="n">
        <f aca="false">INDEX(Parameters!$G$5:$G$689,MATCH(Inputs!$B$4&amp;"|IR|"&amp;"delta_tenor_corr"&amp;"|"&amp;$A12&amp;"|"&amp;K$7,Parameters!$A$5:$A$689,0))</f>
        <v>0.69</v>
      </c>
      <c r="L12" s="0" t="n">
        <f aca="false">INDEX(Parameters!$G$5:$G$689,MATCH(Inputs!$B$4&amp;"|IR|"&amp;"delta_tenor_corr"&amp;"|"&amp;$A12&amp;"|"&amp;L$7,Parameters!$A$5:$A$689,0))</f>
        <v>0.64</v>
      </c>
      <c r="M12" s="0" t="n">
        <f aca="false">INDEX(Parameters!$G$5:$G$689,MATCH(Inputs!$B$4&amp;"|IR|"&amp;"delta_tenor_corr"&amp;"|"&amp;$A12&amp;"|"&amp;M$7,Parameters!$A$5:$A$689,0))</f>
        <v>0.63</v>
      </c>
    </row>
    <row r="13" customFormat="false" ht="15" hidden="false" customHeight="false" outlineLevel="0" collapsed="false">
      <c r="A13" s="0" t="str">
        <f aca="false">Inputs!$G$14</f>
        <v>2y</v>
      </c>
      <c r="B13" s="0" t="n">
        <f aca="false">INDEX(Parameters!$G$5:$G$689,MATCH(Inputs!$B$4&amp;"|IR|"&amp;"delta_tenor_corr"&amp;"|"&amp;$A13&amp;"|"&amp;B$7,Parameters!$A$5:$A$689,0))</f>
        <v>0.29</v>
      </c>
      <c r="C13" s="0" t="n">
        <f aca="false">INDEX(Parameters!$G$5:$G$689,MATCH(Inputs!$B$4&amp;"|IR|"&amp;"delta_tenor_corr"&amp;"|"&amp;$A13&amp;"|"&amp;C$7,Parameters!$A$5:$A$689,0))</f>
        <v>0.36</v>
      </c>
      <c r="D13" s="0" t="n">
        <f aca="false">INDEX(Parameters!$G$5:$G$689,MATCH(Inputs!$B$4&amp;"|IR|"&amp;"delta_tenor_corr"&amp;"|"&amp;$A13&amp;"|"&amp;D$7,Parameters!$A$5:$A$689,0))</f>
        <v>0.53</v>
      </c>
      <c r="E13" s="0" t="n">
        <f aca="false">INDEX(Parameters!$G$5:$G$689,MATCH(Inputs!$B$4&amp;"|IR|"&amp;"delta_tenor_corr"&amp;"|"&amp;$A13&amp;"|"&amp;E$7,Parameters!$A$5:$A$689,0))</f>
        <v>0.73</v>
      </c>
      <c r="F13" s="0" t="n">
        <f aca="false">INDEX(Parameters!$G$5:$G$689,MATCH(Inputs!$B$4&amp;"|IR|"&amp;"delta_tenor_corr"&amp;"|"&amp;$A13&amp;"|"&amp;F$7,Parameters!$A$5:$A$689,0))</f>
        <v>0.94</v>
      </c>
      <c r="G13" s="0" t="n">
        <f aca="false">INDEX(Parameters!$G$5:$G$689,MATCH(Inputs!$B$4&amp;"|IR|"&amp;"delta_tenor_corr"&amp;"|"&amp;$A13&amp;"|"&amp;G$7,Parameters!$A$5:$A$689,0))</f>
        <v>1</v>
      </c>
      <c r="H13" s="0" t="n">
        <f aca="false">INDEX(Parameters!$G$5:$G$689,MATCH(Inputs!$B$4&amp;"|IR|"&amp;"delta_tenor_corr"&amp;"|"&amp;$A13&amp;"|"&amp;H$7,Parameters!$A$5:$A$689,0))</f>
        <v>0.97</v>
      </c>
      <c r="I13" s="0" t="n">
        <f aca="false">INDEX(Parameters!$G$5:$G$689,MATCH(Inputs!$B$4&amp;"|IR|"&amp;"delta_tenor_corr"&amp;"|"&amp;$A13&amp;"|"&amp;I$7,Parameters!$A$5:$A$689,0))</f>
        <v>0.92</v>
      </c>
      <c r="J13" s="0" t="n">
        <f aca="false">INDEX(Parameters!$G$5:$G$689,MATCH(Inputs!$B$4&amp;"|IR|"&amp;"delta_tenor_corr"&amp;"|"&amp;$A13&amp;"|"&amp;J$7,Parameters!$A$5:$A$689,0))</f>
        <v>0.86</v>
      </c>
      <c r="K13" s="0" t="n">
        <f aca="false">INDEX(Parameters!$G$5:$G$689,MATCH(Inputs!$B$4&amp;"|IR|"&amp;"delta_tenor_corr"&amp;"|"&amp;$A13&amp;"|"&amp;K$7,Parameters!$A$5:$A$689,0))</f>
        <v>0.82</v>
      </c>
      <c r="L13" s="0" t="n">
        <f aca="false">INDEX(Parameters!$G$5:$G$689,MATCH(Inputs!$B$4&amp;"|IR|"&amp;"delta_tenor_corr"&amp;"|"&amp;$A13&amp;"|"&amp;L$7,Parameters!$A$5:$A$689,0))</f>
        <v>0.77</v>
      </c>
      <c r="M13" s="0" t="n">
        <f aca="false">INDEX(Parameters!$G$5:$G$689,MATCH(Inputs!$B$4&amp;"|IR|"&amp;"delta_tenor_corr"&amp;"|"&amp;$A13&amp;"|"&amp;M$7,Parameters!$A$5:$A$689,0))</f>
        <v>0.76</v>
      </c>
    </row>
    <row r="14" customFormat="false" ht="15" hidden="false" customHeight="false" outlineLevel="0" collapsed="false">
      <c r="A14" s="0" t="str">
        <f aca="false">Inputs!$H$14</f>
        <v>3y</v>
      </c>
      <c r="B14" s="0" t="n">
        <f aca="false">INDEX(Parameters!$G$5:$G$689,MATCH(Inputs!$B$4&amp;"|IR|"&amp;"delta_tenor_corr"&amp;"|"&amp;$A14&amp;"|"&amp;B$7,Parameters!$A$5:$A$689,0))</f>
        <v>0.25</v>
      </c>
      <c r="C14" s="0" t="n">
        <f aca="false">INDEX(Parameters!$G$5:$G$689,MATCH(Inputs!$B$4&amp;"|IR|"&amp;"delta_tenor_corr"&amp;"|"&amp;$A14&amp;"|"&amp;C$7,Parameters!$A$5:$A$689,0))</f>
        <v>0.3</v>
      </c>
      <c r="D14" s="0" t="n">
        <f aca="false">INDEX(Parameters!$G$5:$G$689,MATCH(Inputs!$B$4&amp;"|IR|"&amp;"delta_tenor_corr"&amp;"|"&amp;$A14&amp;"|"&amp;D$7,Parameters!$A$5:$A$689,0))</f>
        <v>0.46</v>
      </c>
      <c r="E14" s="0" t="n">
        <f aca="false">INDEX(Parameters!$G$5:$G$689,MATCH(Inputs!$B$4&amp;"|IR|"&amp;"delta_tenor_corr"&amp;"|"&amp;$A14&amp;"|"&amp;E$7,Parameters!$A$5:$A$689,0))</f>
        <v>0.65</v>
      </c>
      <c r="F14" s="0" t="n">
        <f aca="false">INDEX(Parameters!$G$5:$G$689,MATCH(Inputs!$B$4&amp;"|IR|"&amp;"delta_tenor_corr"&amp;"|"&amp;$A14&amp;"|"&amp;F$7,Parameters!$A$5:$A$689,0))</f>
        <v>0.87</v>
      </c>
      <c r="G14" s="0" t="n">
        <f aca="false">INDEX(Parameters!$G$5:$G$689,MATCH(Inputs!$B$4&amp;"|IR|"&amp;"delta_tenor_corr"&amp;"|"&amp;$A14&amp;"|"&amp;G$7,Parameters!$A$5:$A$689,0))</f>
        <v>0.97</v>
      </c>
      <c r="H14" s="0" t="n">
        <f aca="false">INDEX(Parameters!$G$5:$G$689,MATCH(Inputs!$B$4&amp;"|IR|"&amp;"delta_tenor_corr"&amp;"|"&amp;$A14&amp;"|"&amp;H$7,Parameters!$A$5:$A$689,0))</f>
        <v>1</v>
      </c>
      <c r="I14" s="0" t="n">
        <f aca="false">INDEX(Parameters!$G$5:$G$689,MATCH(Inputs!$B$4&amp;"|IR|"&amp;"delta_tenor_corr"&amp;"|"&amp;$A14&amp;"|"&amp;I$7,Parameters!$A$5:$A$689,0))</f>
        <v>0.97</v>
      </c>
      <c r="J14" s="0" t="n">
        <f aca="false">INDEX(Parameters!$G$5:$G$689,MATCH(Inputs!$B$4&amp;"|IR|"&amp;"delta_tenor_corr"&amp;"|"&amp;$A14&amp;"|"&amp;J$7,Parameters!$A$5:$A$689,0))</f>
        <v>0.91</v>
      </c>
      <c r="K14" s="0" t="n">
        <f aca="false">INDEX(Parameters!$G$5:$G$689,MATCH(Inputs!$B$4&amp;"|IR|"&amp;"delta_tenor_corr"&amp;"|"&amp;$A14&amp;"|"&amp;K$7,Parameters!$A$5:$A$689,0))</f>
        <v>0.87</v>
      </c>
      <c r="L14" s="0" t="n">
        <f aca="false">INDEX(Parameters!$G$5:$G$689,MATCH(Inputs!$B$4&amp;"|IR|"&amp;"delta_tenor_corr"&amp;"|"&amp;$A14&amp;"|"&amp;L$7,Parameters!$A$5:$A$689,0))</f>
        <v>0.82</v>
      </c>
      <c r="M14" s="0" t="n">
        <f aca="false">INDEX(Parameters!$G$5:$G$689,MATCH(Inputs!$B$4&amp;"|IR|"&amp;"delta_tenor_corr"&amp;"|"&amp;$A14&amp;"|"&amp;M$7,Parameters!$A$5:$A$689,0))</f>
        <v>0.81</v>
      </c>
    </row>
    <row r="15" customFormat="false" ht="15" hidden="false" customHeight="false" outlineLevel="0" collapsed="false">
      <c r="A15" s="0" t="str">
        <f aca="false">Inputs!$I$14</f>
        <v>5y</v>
      </c>
      <c r="B15" s="0" t="n">
        <f aca="false">INDEX(Parameters!$G$5:$G$689,MATCH(Inputs!$B$4&amp;"|IR|"&amp;"delta_tenor_corr"&amp;"|"&amp;$A15&amp;"|"&amp;B$7,Parameters!$A$5:$A$689,0))</f>
        <v>0.22</v>
      </c>
      <c r="C15" s="0" t="n">
        <f aca="false">INDEX(Parameters!$G$5:$G$689,MATCH(Inputs!$B$4&amp;"|IR|"&amp;"delta_tenor_corr"&amp;"|"&amp;$A15&amp;"|"&amp;C$7,Parameters!$A$5:$A$689,0))</f>
        <v>0.25</v>
      </c>
      <c r="D15" s="0" t="n">
        <f aca="false">INDEX(Parameters!$G$5:$G$689,MATCH(Inputs!$B$4&amp;"|IR|"&amp;"delta_tenor_corr"&amp;"|"&amp;$A15&amp;"|"&amp;D$7,Parameters!$A$5:$A$689,0))</f>
        <v>0.4</v>
      </c>
      <c r="E15" s="0" t="n">
        <f aca="false">INDEX(Parameters!$G$5:$G$689,MATCH(Inputs!$B$4&amp;"|IR|"&amp;"delta_tenor_corr"&amp;"|"&amp;$A15&amp;"|"&amp;E$7,Parameters!$A$5:$A$689,0))</f>
        <v>0.58</v>
      </c>
      <c r="F15" s="0" t="n">
        <f aca="false">INDEX(Parameters!$G$5:$G$689,MATCH(Inputs!$B$4&amp;"|IR|"&amp;"delta_tenor_corr"&amp;"|"&amp;$A15&amp;"|"&amp;F$7,Parameters!$A$5:$A$689,0))</f>
        <v>0.81</v>
      </c>
      <c r="G15" s="0" t="n">
        <f aca="false">INDEX(Parameters!$G$5:$G$689,MATCH(Inputs!$B$4&amp;"|IR|"&amp;"delta_tenor_corr"&amp;"|"&amp;$A15&amp;"|"&amp;G$7,Parameters!$A$5:$A$689,0))</f>
        <v>0.92</v>
      </c>
      <c r="H15" s="0" t="n">
        <f aca="false">INDEX(Parameters!$G$5:$G$689,MATCH(Inputs!$B$4&amp;"|IR|"&amp;"delta_tenor_corr"&amp;"|"&amp;$A15&amp;"|"&amp;H$7,Parameters!$A$5:$A$689,0))</f>
        <v>0.97</v>
      </c>
      <c r="I15" s="0" t="n">
        <f aca="false">INDEX(Parameters!$G$5:$G$689,MATCH(Inputs!$B$4&amp;"|IR|"&amp;"delta_tenor_corr"&amp;"|"&amp;$A15&amp;"|"&amp;I$7,Parameters!$A$5:$A$689,0))</f>
        <v>1</v>
      </c>
      <c r="J15" s="0" t="n">
        <f aca="false">INDEX(Parameters!$G$5:$G$689,MATCH(Inputs!$B$4&amp;"|IR|"&amp;"delta_tenor_corr"&amp;"|"&amp;$A15&amp;"|"&amp;J$7,Parameters!$A$5:$A$689,0))</f>
        <v>0.96</v>
      </c>
      <c r="K15" s="0" t="n">
        <f aca="false">INDEX(Parameters!$G$5:$G$689,MATCH(Inputs!$B$4&amp;"|IR|"&amp;"delta_tenor_corr"&amp;"|"&amp;$A15&amp;"|"&amp;K$7,Parameters!$A$5:$A$689,0))</f>
        <v>0.93</v>
      </c>
      <c r="L15" s="0" t="n">
        <f aca="false">INDEX(Parameters!$G$5:$G$689,MATCH(Inputs!$B$4&amp;"|IR|"&amp;"delta_tenor_corr"&amp;"|"&amp;$A15&amp;"|"&amp;L$7,Parameters!$A$5:$A$689,0))</f>
        <v>0.89</v>
      </c>
      <c r="M15" s="0" t="n">
        <f aca="false">INDEX(Parameters!$G$5:$G$689,MATCH(Inputs!$B$4&amp;"|IR|"&amp;"delta_tenor_corr"&amp;"|"&amp;$A15&amp;"|"&amp;M$7,Parameters!$A$5:$A$689,0))</f>
        <v>0.88</v>
      </c>
    </row>
    <row r="16" customFormat="false" ht="15" hidden="false" customHeight="false" outlineLevel="0" collapsed="false">
      <c r="A16" s="0" t="str">
        <f aca="false">Inputs!$J$14</f>
        <v>10y</v>
      </c>
      <c r="B16" s="0" t="n">
        <f aca="false">INDEX(Parameters!$G$5:$G$689,MATCH(Inputs!$B$4&amp;"|IR|"&amp;"delta_tenor_corr"&amp;"|"&amp;$A16&amp;"|"&amp;B$7,Parameters!$A$5:$A$689,0))</f>
        <v>0.17</v>
      </c>
      <c r="C16" s="0" t="n">
        <f aca="false">INDEX(Parameters!$G$5:$G$689,MATCH(Inputs!$B$4&amp;"|IR|"&amp;"delta_tenor_corr"&amp;"|"&amp;$A16&amp;"|"&amp;C$7,Parameters!$A$5:$A$689,0))</f>
        <v>0.2</v>
      </c>
      <c r="D16" s="0" t="n">
        <f aca="false">INDEX(Parameters!$G$5:$G$689,MATCH(Inputs!$B$4&amp;"|IR|"&amp;"delta_tenor_corr"&amp;"|"&amp;$A16&amp;"|"&amp;D$7,Parameters!$A$5:$A$689,0))</f>
        <v>0.34</v>
      </c>
      <c r="E16" s="0" t="n">
        <f aca="false">INDEX(Parameters!$G$5:$G$689,MATCH(Inputs!$B$4&amp;"|IR|"&amp;"delta_tenor_corr"&amp;"|"&amp;$A16&amp;"|"&amp;E$7,Parameters!$A$5:$A$689,0))</f>
        <v>0.52</v>
      </c>
      <c r="F16" s="0" t="n">
        <f aca="false">INDEX(Parameters!$G$5:$G$689,MATCH(Inputs!$B$4&amp;"|IR|"&amp;"delta_tenor_corr"&amp;"|"&amp;$A16&amp;"|"&amp;F$7,Parameters!$A$5:$A$689,0))</f>
        <v>0.73</v>
      </c>
      <c r="G16" s="0" t="n">
        <f aca="false">INDEX(Parameters!$G$5:$G$689,MATCH(Inputs!$B$4&amp;"|IR|"&amp;"delta_tenor_corr"&amp;"|"&amp;$A16&amp;"|"&amp;G$7,Parameters!$A$5:$A$689,0))</f>
        <v>0.86</v>
      </c>
      <c r="H16" s="0" t="n">
        <f aca="false">INDEX(Parameters!$G$5:$G$689,MATCH(Inputs!$B$4&amp;"|IR|"&amp;"delta_tenor_corr"&amp;"|"&amp;$A16&amp;"|"&amp;H$7,Parameters!$A$5:$A$689,0))</f>
        <v>0.91</v>
      </c>
      <c r="I16" s="0" t="n">
        <f aca="false">INDEX(Parameters!$G$5:$G$689,MATCH(Inputs!$B$4&amp;"|IR|"&amp;"delta_tenor_corr"&amp;"|"&amp;$A16&amp;"|"&amp;I$7,Parameters!$A$5:$A$689,0))</f>
        <v>0.96</v>
      </c>
      <c r="J16" s="0" t="n">
        <f aca="false">INDEX(Parameters!$G$5:$G$689,MATCH(Inputs!$B$4&amp;"|IR|"&amp;"delta_tenor_corr"&amp;"|"&amp;$A16&amp;"|"&amp;J$7,Parameters!$A$5:$A$689,0))</f>
        <v>1</v>
      </c>
      <c r="K16" s="0" t="n">
        <f aca="false">INDEX(Parameters!$G$5:$G$689,MATCH(Inputs!$B$4&amp;"|IR|"&amp;"delta_tenor_corr"&amp;"|"&amp;$A16&amp;"|"&amp;K$7,Parameters!$A$5:$A$689,0))</f>
        <v>0.98</v>
      </c>
      <c r="L16" s="0" t="n">
        <f aca="false">INDEX(Parameters!$G$5:$G$689,MATCH(Inputs!$B$4&amp;"|IR|"&amp;"delta_tenor_corr"&amp;"|"&amp;$A16&amp;"|"&amp;L$7,Parameters!$A$5:$A$689,0))</f>
        <v>0.95</v>
      </c>
      <c r="M16" s="0" t="n">
        <f aca="false">INDEX(Parameters!$G$5:$G$689,MATCH(Inputs!$B$4&amp;"|IR|"&amp;"delta_tenor_corr"&amp;"|"&amp;$A16&amp;"|"&amp;M$7,Parameters!$A$5:$A$689,0))</f>
        <v>0.95</v>
      </c>
    </row>
    <row r="17" customFormat="false" ht="15" hidden="false" customHeight="false" outlineLevel="0" collapsed="false">
      <c r="A17" s="0" t="str">
        <f aca="false">Inputs!$K$14</f>
        <v>15y</v>
      </c>
      <c r="B17" s="0" t="n">
        <f aca="false">INDEX(Parameters!$G$5:$G$689,MATCH(Inputs!$B$4&amp;"|IR|"&amp;"delta_tenor_corr"&amp;"|"&amp;$A17&amp;"|"&amp;B$7,Parameters!$A$5:$A$689,0))</f>
        <v>0.16</v>
      </c>
      <c r="C17" s="0" t="n">
        <f aca="false">INDEX(Parameters!$G$5:$G$689,MATCH(Inputs!$B$4&amp;"|IR|"&amp;"delta_tenor_corr"&amp;"|"&amp;$A17&amp;"|"&amp;C$7,Parameters!$A$5:$A$689,0))</f>
        <v>0.16</v>
      </c>
      <c r="D17" s="0" t="n">
        <f aca="false">INDEX(Parameters!$G$5:$G$689,MATCH(Inputs!$B$4&amp;"|IR|"&amp;"delta_tenor_corr"&amp;"|"&amp;$A17&amp;"|"&amp;D$7,Parameters!$A$5:$A$689,0))</f>
        <v>0.27</v>
      </c>
      <c r="E17" s="0" t="n">
        <f aca="false">INDEX(Parameters!$G$5:$G$689,MATCH(Inputs!$B$4&amp;"|IR|"&amp;"delta_tenor_corr"&amp;"|"&amp;$A17&amp;"|"&amp;E$7,Parameters!$A$5:$A$689,0))</f>
        <v>0.47</v>
      </c>
      <c r="F17" s="0" t="n">
        <f aca="false">INDEX(Parameters!$G$5:$G$689,MATCH(Inputs!$B$4&amp;"|IR|"&amp;"delta_tenor_corr"&amp;"|"&amp;$A17&amp;"|"&amp;F$7,Parameters!$A$5:$A$689,0))</f>
        <v>0.69</v>
      </c>
      <c r="G17" s="0" t="n">
        <f aca="false">INDEX(Parameters!$G$5:$G$689,MATCH(Inputs!$B$4&amp;"|IR|"&amp;"delta_tenor_corr"&amp;"|"&amp;$A17&amp;"|"&amp;G$7,Parameters!$A$5:$A$689,0))</f>
        <v>0.82</v>
      </c>
      <c r="H17" s="0" t="n">
        <f aca="false">INDEX(Parameters!$G$5:$G$689,MATCH(Inputs!$B$4&amp;"|IR|"&amp;"delta_tenor_corr"&amp;"|"&amp;$A17&amp;"|"&amp;H$7,Parameters!$A$5:$A$689,0))</f>
        <v>0.87</v>
      </c>
      <c r="I17" s="0" t="n">
        <f aca="false">INDEX(Parameters!$G$5:$G$689,MATCH(Inputs!$B$4&amp;"|IR|"&amp;"delta_tenor_corr"&amp;"|"&amp;$A17&amp;"|"&amp;I$7,Parameters!$A$5:$A$689,0))</f>
        <v>0.93</v>
      </c>
      <c r="J17" s="0" t="n">
        <f aca="false">INDEX(Parameters!$G$5:$G$689,MATCH(Inputs!$B$4&amp;"|IR|"&amp;"delta_tenor_corr"&amp;"|"&amp;$A17&amp;"|"&amp;J$7,Parameters!$A$5:$A$689,0))</f>
        <v>0.98</v>
      </c>
      <c r="K17" s="0" t="n">
        <f aca="false">INDEX(Parameters!$G$5:$G$689,MATCH(Inputs!$B$4&amp;"|IR|"&amp;"delta_tenor_corr"&amp;"|"&amp;$A17&amp;"|"&amp;K$7,Parameters!$A$5:$A$689,0))</f>
        <v>1</v>
      </c>
      <c r="L17" s="0" t="n">
        <f aca="false">INDEX(Parameters!$G$5:$G$689,MATCH(Inputs!$B$4&amp;"|IR|"&amp;"delta_tenor_corr"&amp;"|"&amp;$A17&amp;"|"&amp;L$7,Parameters!$A$5:$A$689,0))</f>
        <v>0.98</v>
      </c>
      <c r="M17" s="0" t="n">
        <f aca="false">INDEX(Parameters!$G$5:$G$689,MATCH(Inputs!$B$4&amp;"|IR|"&amp;"delta_tenor_corr"&amp;"|"&amp;$A17&amp;"|"&amp;M$7,Parameters!$A$5:$A$689,0))</f>
        <v>0.97</v>
      </c>
    </row>
    <row r="18" customFormat="false" ht="15" hidden="false" customHeight="false" outlineLevel="0" collapsed="false">
      <c r="A18" s="0" t="str">
        <f aca="false">Inputs!$L$14</f>
        <v>20y</v>
      </c>
      <c r="B18" s="0" t="n">
        <f aca="false">INDEX(Parameters!$G$5:$G$689,MATCH(Inputs!$B$4&amp;"|IR|"&amp;"delta_tenor_corr"&amp;"|"&amp;$A18&amp;"|"&amp;B$7,Parameters!$A$5:$A$689,0))</f>
        <v>0.14</v>
      </c>
      <c r="C18" s="0" t="n">
        <f aca="false">INDEX(Parameters!$G$5:$G$689,MATCH(Inputs!$B$4&amp;"|IR|"&amp;"delta_tenor_corr"&amp;"|"&amp;$A18&amp;"|"&amp;C$7,Parameters!$A$5:$A$689,0))</f>
        <v>0.14</v>
      </c>
      <c r="D18" s="0" t="n">
        <f aca="false">INDEX(Parameters!$G$5:$G$689,MATCH(Inputs!$B$4&amp;"|IR|"&amp;"delta_tenor_corr"&amp;"|"&amp;$A18&amp;"|"&amp;D$7,Parameters!$A$5:$A$689,0))</f>
        <v>0.25</v>
      </c>
      <c r="E18" s="0" t="n">
        <f aca="false">INDEX(Parameters!$G$5:$G$689,MATCH(Inputs!$B$4&amp;"|IR|"&amp;"delta_tenor_corr"&amp;"|"&amp;$A18&amp;"|"&amp;E$7,Parameters!$A$5:$A$689,0))</f>
        <v>0.44</v>
      </c>
      <c r="F18" s="0" t="n">
        <f aca="false">INDEX(Parameters!$G$5:$G$689,MATCH(Inputs!$B$4&amp;"|IR|"&amp;"delta_tenor_corr"&amp;"|"&amp;$A18&amp;"|"&amp;F$7,Parameters!$A$5:$A$689,0))</f>
        <v>0.64</v>
      </c>
      <c r="G18" s="0" t="n">
        <f aca="false">INDEX(Parameters!$G$5:$G$689,MATCH(Inputs!$B$4&amp;"|IR|"&amp;"delta_tenor_corr"&amp;"|"&amp;$A18&amp;"|"&amp;G$7,Parameters!$A$5:$A$689,0))</f>
        <v>0.77</v>
      </c>
      <c r="H18" s="0" t="n">
        <f aca="false">INDEX(Parameters!$G$5:$G$689,MATCH(Inputs!$B$4&amp;"|IR|"&amp;"delta_tenor_corr"&amp;"|"&amp;$A18&amp;"|"&amp;H$7,Parameters!$A$5:$A$689,0))</f>
        <v>0.82</v>
      </c>
      <c r="I18" s="0" t="n">
        <f aca="false">INDEX(Parameters!$G$5:$G$689,MATCH(Inputs!$B$4&amp;"|IR|"&amp;"delta_tenor_corr"&amp;"|"&amp;$A18&amp;"|"&amp;I$7,Parameters!$A$5:$A$689,0))</f>
        <v>0.89</v>
      </c>
      <c r="J18" s="0" t="n">
        <f aca="false">INDEX(Parameters!$G$5:$G$689,MATCH(Inputs!$B$4&amp;"|IR|"&amp;"delta_tenor_corr"&amp;"|"&amp;$A18&amp;"|"&amp;J$7,Parameters!$A$5:$A$689,0))</f>
        <v>0.95</v>
      </c>
      <c r="K18" s="0" t="n">
        <f aca="false">INDEX(Parameters!$G$5:$G$689,MATCH(Inputs!$B$4&amp;"|IR|"&amp;"delta_tenor_corr"&amp;"|"&amp;$A18&amp;"|"&amp;K$7,Parameters!$A$5:$A$689,0))</f>
        <v>0.98</v>
      </c>
      <c r="L18" s="0" t="n">
        <f aca="false">INDEX(Parameters!$G$5:$G$689,MATCH(Inputs!$B$4&amp;"|IR|"&amp;"delta_tenor_corr"&amp;"|"&amp;$A18&amp;"|"&amp;L$7,Parameters!$A$5:$A$689,0))</f>
        <v>1</v>
      </c>
      <c r="M18" s="0" t="n">
        <f aca="false">INDEX(Parameters!$G$5:$G$689,MATCH(Inputs!$B$4&amp;"|IR|"&amp;"delta_tenor_corr"&amp;"|"&amp;$A18&amp;"|"&amp;M$7,Parameters!$A$5:$A$689,0))</f>
        <v>0.98</v>
      </c>
    </row>
    <row r="19" customFormat="false" ht="15" hidden="false" customHeight="false" outlineLevel="0" collapsed="false">
      <c r="A19" s="0" t="str">
        <f aca="false">Inputs!$M$14</f>
        <v>30y</v>
      </c>
      <c r="B19" s="0" t="n">
        <f aca="false">INDEX(Parameters!$G$5:$G$689,MATCH(Inputs!$B$4&amp;"|IR|"&amp;"delta_tenor_corr"&amp;"|"&amp;$A19&amp;"|"&amp;B$7,Parameters!$A$5:$A$689,0))</f>
        <v>0.14</v>
      </c>
      <c r="C19" s="0" t="n">
        <f aca="false">INDEX(Parameters!$G$5:$G$689,MATCH(Inputs!$B$4&amp;"|IR|"&amp;"delta_tenor_corr"&amp;"|"&amp;$A19&amp;"|"&amp;C$7,Parameters!$A$5:$A$689,0))</f>
        <v>0.14</v>
      </c>
      <c r="D19" s="0" t="n">
        <f aca="false">INDEX(Parameters!$G$5:$G$689,MATCH(Inputs!$B$4&amp;"|IR|"&amp;"delta_tenor_corr"&amp;"|"&amp;$A19&amp;"|"&amp;D$7,Parameters!$A$5:$A$689,0))</f>
        <v>0.25</v>
      </c>
      <c r="E19" s="0" t="n">
        <f aca="false">INDEX(Parameters!$G$5:$G$689,MATCH(Inputs!$B$4&amp;"|IR|"&amp;"delta_tenor_corr"&amp;"|"&amp;$A19&amp;"|"&amp;E$7,Parameters!$A$5:$A$689,0))</f>
        <v>0.42</v>
      </c>
      <c r="F19" s="0" t="n">
        <f aca="false">INDEX(Parameters!$G$5:$G$689,MATCH(Inputs!$B$4&amp;"|IR|"&amp;"delta_tenor_corr"&amp;"|"&amp;$A19&amp;"|"&amp;F$7,Parameters!$A$5:$A$689,0))</f>
        <v>0.63</v>
      </c>
      <c r="G19" s="0" t="n">
        <f aca="false">INDEX(Parameters!$G$5:$G$689,MATCH(Inputs!$B$4&amp;"|IR|"&amp;"delta_tenor_corr"&amp;"|"&amp;$A19&amp;"|"&amp;G$7,Parameters!$A$5:$A$689,0))</f>
        <v>0.76</v>
      </c>
      <c r="H19" s="0" t="n">
        <f aca="false">INDEX(Parameters!$G$5:$G$689,MATCH(Inputs!$B$4&amp;"|IR|"&amp;"delta_tenor_corr"&amp;"|"&amp;$A19&amp;"|"&amp;H$7,Parameters!$A$5:$A$689,0))</f>
        <v>0.81</v>
      </c>
      <c r="I19" s="0" t="n">
        <f aca="false">INDEX(Parameters!$G$5:$G$689,MATCH(Inputs!$B$4&amp;"|IR|"&amp;"delta_tenor_corr"&amp;"|"&amp;$A19&amp;"|"&amp;I$7,Parameters!$A$5:$A$689,0))</f>
        <v>0.88</v>
      </c>
      <c r="J19" s="0" t="n">
        <f aca="false">INDEX(Parameters!$G$5:$G$689,MATCH(Inputs!$B$4&amp;"|IR|"&amp;"delta_tenor_corr"&amp;"|"&amp;$A19&amp;"|"&amp;J$7,Parameters!$A$5:$A$689,0))</f>
        <v>0.95</v>
      </c>
      <c r="K19" s="0" t="n">
        <f aca="false">INDEX(Parameters!$G$5:$G$689,MATCH(Inputs!$B$4&amp;"|IR|"&amp;"delta_tenor_corr"&amp;"|"&amp;$A19&amp;"|"&amp;K$7,Parameters!$A$5:$A$689,0))</f>
        <v>0.97</v>
      </c>
      <c r="L19" s="0" t="n">
        <f aca="false">INDEX(Parameters!$G$5:$G$689,MATCH(Inputs!$B$4&amp;"|IR|"&amp;"delta_tenor_corr"&amp;"|"&amp;$A19&amp;"|"&amp;L$7,Parameters!$A$5:$A$689,0))</f>
        <v>0.98</v>
      </c>
      <c r="M19" s="0" t="n">
        <f aca="false">INDEX(Parameters!$G$5:$G$689,MATCH(Inputs!$B$4&amp;"|IR|"&amp;"delta_tenor_corr"&amp;"|"&amp;$A19&amp;"|"&amp;M$7,Parameters!$A$5:$A$689,0))</f>
        <v>1</v>
      </c>
    </row>
    <row r="23" customFormat="false" ht="15" hidden="false" customHeight="false" outlineLevel="0" collapsed="false">
      <c r="A23" s="1" t="s">
        <v>43</v>
      </c>
      <c r="B23" s="0" t="str">
        <f aca="false">Inputs!$B$13</f>
        <v>USD</v>
      </c>
    </row>
    <row r="24" customFormat="false" ht="15" hidden="false" customHeight="false" outlineLevel="0" collapsed="false">
      <c r="A24" s="1" t="s">
        <v>411</v>
      </c>
      <c r="B24" s="0" t="str">
        <f aca="false">IF(ISNUMBER(MATCH(Inputs!$B$4&amp;"|IR|rw_group_member|regular|"&amp;$B$23,Parameters!$A$5:$A$689,0)),"regular",IF(ISNUMBER(MATCH(Inputs!$B$4&amp;"|IR|rw_group_member|low|"&amp;$B$23,Parameters!$A$5:$A$689,0)),"low","high"))</f>
        <v>regular</v>
      </c>
    </row>
    <row r="25" customFormat="false" ht="15" hidden="false" customHeight="false" outlineLevel="0" collapsed="false">
      <c r="A25" s="1" t="s">
        <v>412</v>
      </c>
      <c r="B25" s="0" t="str">
        <f aca="false">IF(ISNUMBER(MATCH(Inputs!$B$4&amp;"|IR|ct_group_member|regular_well_traded|"&amp;$B$23,Parameters!$A$5:$A$689,0)),"regular_well_traded",IF(ISNUMBER(MATCH(Inputs!$B$4&amp;"|IR|ct_group_member|regular_less_well_traded|"&amp;$B$23,Parameters!$A$5:$A$689,0)),"regular_less_well_traded",IF(ISNUMBER(MATCH(Inputs!$B$4&amp;"|IR|ct_group_member|low|"&amp;$B$23,Parameters!$A$5:$A$689,0)),"low","high")))</f>
        <v>regular_well_traded</v>
      </c>
    </row>
    <row r="26" customFormat="false" ht="15" hidden="false" customHeight="false" outlineLevel="0" collapsed="false">
      <c r="A26" s="1" t="s">
        <v>413</v>
      </c>
      <c r="B26" s="0" t="n">
        <f aca="false">INDEX(Parameters!$G$5:$G$689,MATCH(Inputs!$B$4&amp;"|IR|"&amp;"delta_ct"&amp;"|"&amp;$B$25&amp;"|"&amp;"",Parameters!$A$5:$A$689,0))</f>
        <v>220</v>
      </c>
    </row>
    <row r="27" customFormat="false" ht="15" hidden="false" customHeight="false" outlineLevel="0" collapsed="false">
      <c r="A27" s="1" t="s">
        <v>414</v>
      </c>
      <c r="B27" s="0" t="n">
        <f aca="false">SUM(B33:B44)</f>
        <v>11903.2659648066</v>
      </c>
    </row>
    <row r="28" customFormat="false" ht="15" hidden="false" customHeight="false" outlineLevel="0" collapsed="false">
      <c r="A28" s="1" t="s">
        <v>415</v>
      </c>
      <c r="B28" s="0" t="n">
        <f aca="false">MAX(1,SQRT(ABS($B$27)/Inputs!$B$9/$B$26))</f>
        <v>1</v>
      </c>
    </row>
    <row r="29" customFormat="false" ht="15" hidden="false" customHeight="false" outlineLevel="0" collapsed="false">
      <c r="A29" s="1" t="s">
        <v>257</v>
      </c>
      <c r="B29" s="0" t="n">
        <f aca="false">SQRT(MAX(0,SUM(E33:P44)))</f>
        <v>808937.048870217</v>
      </c>
    </row>
    <row r="30" customFormat="false" ht="15" hidden="false" customHeight="false" outlineLevel="0" collapsed="false">
      <c r="A30" s="1" t="s">
        <v>416</v>
      </c>
      <c r="B30" s="0" t="n">
        <f aca="false">SUM(D33:D44)</f>
        <v>693429.60308686</v>
      </c>
    </row>
    <row r="31" customFormat="false" ht="15" hidden="false" customHeight="false" outlineLevel="0" collapsed="false">
      <c r="A31" s="1" t="s">
        <v>417</v>
      </c>
      <c r="B31" s="0" t="n">
        <f aca="false">MAX(-$B$29,MIN($B$29,$B$30))</f>
        <v>693429.60308686</v>
      </c>
    </row>
    <row r="32" customFormat="false" ht="15" hidden="false" customHeight="false" outlineLevel="0" collapsed="false">
      <c r="A32" s="1" t="s">
        <v>418</v>
      </c>
      <c r="B32" s="1" t="s">
        <v>419</v>
      </c>
      <c r="C32" s="1" t="s">
        <v>420</v>
      </c>
      <c r="D32" s="1" t="s">
        <v>421</v>
      </c>
      <c r="E32" s="1" t="str">
        <f aca="false">Inputs!$B$14</f>
        <v>2w</v>
      </c>
      <c r="F32" s="1" t="str">
        <f aca="false">Inputs!$C$14</f>
        <v>1m</v>
      </c>
      <c r="G32" s="1" t="str">
        <f aca="false">Inputs!$D$14</f>
        <v>3m</v>
      </c>
      <c r="H32" s="1" t="str">
        <f aca="false">Inputs!$E$14</f>
        <v>6m</v>
      </c>
      <c r="I32" s="1" t="str">
        <f aca="false">Inputs!$F$14</f>
        <v>1y</v>
      </c>
      <c r="J32" s="1" t="str">
        <f aca="false">Inputs!$G$14</f>
        <v>2y</v>
      </c>
      <c r="K32" s="1" t="str">
        <f aca="false">Inputs!$H$14</f>
        <v>3y</v>
      </c>
      <c r="L32" s="1" t="str">
        <f aca="false">Inputs!$I$14</f>
        <v>5y</v>
      </c>
      <c r="M32" s="1" t="str">
        <f aca="false">Inputs!$J$14</f>
        <v>10y</v>
      </c>
      <c r="N32" s="1" t="str">
        <f aca="false">Inputs!$K$14</f>
        <v>15y</v>
      </c>
      <c r="O32" s="1" t="str">
        <f aca="false">Inputs!$L$14</f>
        <v>20y</v>
      </c>
      <c r="P32" s="1" t="str">
        <f aca="false">Inputs!$M$14</f>
        <v>30y</v>
      </c>
    </row>
    <row r="33" customFormat="false" ht="15" hidden="false" customHeight="false" outlineLevel="0" collapsed="false">
      <c r="A33" s="0" t="str">
        <f aca="false">Inputs!$B$14</f>
        <v>2w</v>
      </c>
      <c r="B33" s="0" t="n">
        <f aca="false">SUMIFS(Sensitivities!$I$5:$I$100,Sensitivities!$B$5:$B$100,"Risk_IRCurve",Sensitivities!$C$5:$C$100,$B$23,Sensitivities!$E$5:$E$100,$A33)</f>
        <v>0</v>
      </c>
      <c r="C33" s="0" t="n">
        <f aca="false">INDEX(Parameters!$G$5:$G$689,MATCH(Inputs!$B$4&amp;"|IR|"&amp;"delta_rw"&amp;"|"&amp;$B$24&amp;"|"&amp;$A33,Parameters!$A$5:$A$689,0))</f>
        <v>107</v>
      </c>
      <c r="D33" s="0" t="n">
        <f aca="false">C33*B33*$B$28</f>
        <v>0</v>
      </c>
      <c r="E33" s="0" t="n">
        <f aca="false">SIMM_Delta!$B$8*$D$33*$D$33</f>
        <v>0</v>
      </c>
      <c r="F33" s="0" t="n">
        <f aca="false">SIMM_Delta!$C$8*$D$33*$D$34</f>
        <v>0</v>
      </c>
      <c r="G33" s="0" t="n">
        <f aca="false">SIMM_Delta!$D$8*$D$33*$D$35</f>
        <v>0</v>
      </c>
      <c r="H33" s="0" t="n">
        <f aca="false">SIMM_Delta!$E$8*$D$33*$D$36</f>
        <v>0</v>
      </c>
      <c r="I33" s="0" t="n">
        <f aca="false">SIMM_Delta!$F$8*$D$33*$D$37</f>
        <v>-0</v>
      </c>
      <c r="J33" s="0" t="n">
        <f aca="false">SIMM_Delta!$G$8*$D$33*$D$38</f>
        <v>0</v>
      </c>
      <c r="K33" s="0" t="n">
        <f aca="false">SIMM_Delta!$H$8*$D$33*$D$39</f>
        <v>-0</v>
      </c>
      <c r="L33" s="0" t="n">
        <f aca="false">SIMM_Delta!$I$8*$D$33*$D$40</f>
        <v>-0</v>
      </c>
      <c r="M33" s="0" t="n">
        <f aca="false">SIMM_Delta!$J$8*$D$33*$D$41</f>
        <v>0</v>
      </c>
      <c r="N33" s="0" t="n">
        <f aca="false">SIMM_Delta!$K$8*$D$33*$D$42</f>
        <v>0</v>
      </c>
      <c r="O33" s="0" t="n">
        <f aca="false">SIMM_Delta!$L$8*$D$33*$D$43</f>
        <v>0</v>
      </c>
      <c r="P33" s="0" t="n">
        <f aca="false">SIMM_Delta!$M$8*$D$33*$D$44</f>
        <v>-0</v>
      </c>
    </row>
    <row r="34" customFormat="false" ht="15" hidden="false" customHeight="false" outlineLevel="0" collapsed="false">
      <c r="A34" s="0" t="str">
        <f aca="false">Inputs!$C$14</f>
        <v>1m</v>
      </c>
      <c r="B34" s="0" t="n">
        <f aca="false">SUMIFS(Sensitivities!$I$5:$I$100,Sensitivities!$B$5:$B$100,"Risk_IRCurve",Sensitivities!$C$5:$C$100,$B$23,Sensitivities!$E$5:$E$100,$A34)</f>
        <v>0</v>
      </c>
      <c r="C34" s="0" t="n">
        <f aca="false">INDEX(Parameters!$G$5:$G$689,MATCH(Inputs!$B$4&amp;"|IR|"&amp;"delta_rw"&amp;"|"&amp;$B$24&amp;"|"&amp;$A34,Parameters!$A$5:$A$689,0))</f>
        <v>101</v>
      </c>
      <c r="D34" s="0" t="n">
        <f aca="false">C34*B34*$B$28</f>
        <v>0</v>
      </c>
      <c r="E34" s="0" t="n">
        <f aca="false">SIMM_Delta!$B$9*$D$34*$D$33</f>
        <v>0</v>
      </c>
      <c r="F34" s="0" t="n">
        <f aca="false">SIMM_Delta!$C$9*$D$34*$D$34</f>
        <v>0</v>
      </c>
      <c r="G34" s="0" t="n">
        <f aca="false">SIMM_Delta!$D$9*$D$34*$D$35</f>
        <v>0</v>
      </c>
      <c r="H34" s="0" t="n">
        <f aca="false">SIMM_Delta!$E$9*$D$34*$D$36</f>
        <v>0</v>
      </c>
      <c r="I34" s="0" t="n">
        <f aca="false">SIMM_Delta!$F$9*$D$34*$D$37</f>
        <v>-0</v>
      </c>
      <c r="J34" s="0" t="n">
        <f aca="false">SIMM_Delta!$G$9*$D$34*$D$38</f>
        <v>0</v>
      </c>
      <c r="K34" s="0" t="n">
        <f aca="false">SIMM_Delta!$H$9*$D$34*$D$39</f>
        <v>-0</v>
      </c>
      <c r="L34" s="0" t="n">
        <f aca="false">SIMM_Delta!$I$9*$D$34*$D$40</f>
        <v>-0</v>
      </c>
      <c r="M34" s="0" t="n">
        <f aca="false">SIMM_Delta!$J$9*$D$34*$D$41</f>
        <v>0</v>
      </c>
      <c r="N34" s="0" t="n">
        <f aca="false">SIMM_Delta!$K$9*$D$34*$D$42</f>
        <v>0</v>
      </c>
      <c r="O34" s="0" t="n">
        <f aca="false">SIMM_Delta!$L$9*$D$34*$D$43</f>
        <v>0</v>
      </c>
      <c r="P34" s="0" t="n">
        <f aca="false">SIMM_Delta!$M$9*$D$34*$D$44</f>
        <v>-0</v>
      </c>
    </row>
    <row r="35" customFormat="false" ht="15" hidden="false" customHeight="false" outlineLevel="0" collapsed="false">
      <c r="A35" s="0" t="str">
        <f aca="false">Inputs!$D$14</f>
        <v>3m</v>
      </c>
      <c r="B35" s="0" t="n">
        <f aca="false">SUMIFS(Sensitivities!$I$5:$I$100,Sensitivities!$B$5:$B$100,"Risk_IRCurve",Sensitivities!$C$5:$C$100,$B$23,Sensitivities!$E$5:$E$100,$A35)</f>
        <v>45.5937645189554</v>
      </c>
      <c r="C35" s="0" t="n">
        <f aca="false">INDEX(Parameters!$G$5:$G$689,MATCH(Inputs!$B$4&amp;"|IR|"&amp;"delta_rw"&amp;"|"&amp;$B$24&amp;"|"&amp;$A35,Parameters!$A$5:$A$689,0))</f>
        <v>90</v>
      </c>
      <c r="D35" s="0" t="n">
        <f aca="false">C35*B35*$B$28</f>
        <v>4103.43880670599</v>
      </c>
      <c r="E35" s="0" t="n">
        <f aca="false">SIMM_Delta!$B$10*$D$35*$D$33</f>
        <v>0</v>
      </c>
      <c r="F35" s="0" t="n">
        <f aca="false">SIMM_Delta!$C$10*$D$35*$D$34</f>
        <v>0</v>
      </c>
      <c r="G35" s="0" t="n">
        <f aca="false">SIMM_Delta!$D$10*$D$35*$D$35</f>
        <v>16838210.0403807</v>
      </c>
      <c r="H35" s="0" t="n">
        <f aca="false">SIMM_Delta!$E$10*$D$35*$D$36</f>
        <v>464882694.963072</v>
      </c>
      <c r="I35" s="0" t="n">
        <f aca="false">SIMM_Delta!$F$10*$D$35*$D$37</f>
        <v>-1011828560.76105</v>
      </c>
      <c r="J35" s="0" t="n">
        <f aca="false">SIMM_Delta!$G$10*$D$35*$D$38</f>
        <v>1677790910.95476</v>
      </c>
      <c r="K35" s="0" t="n">
        <f aca="false">SIMM_Delta!$H$10*$D$35*$D$39</f>
        <v>-10589974.7485343</v>
      </c>
      <c r="L35" s="0" t="n">
        <f aca="false">SIMM_Delta!$I$10*$D$35*$D$40</f>
        <v>-380497656.032424</v>
      </c>
      <c r="M35" s="0" t="n">
        <f aca="false">SIMM_Delta!$J$10*$D$35*$D$41</f>
        <v>1930065564.62818</v>
      </c>
      <c r="N35" s="0" t="n">
        <f aca="false">SIMM_Delta!$K$10*$D$35*$D$42</f>
        <v>5448765.05173521</v>
      </c>
      <c r="O35" s="0" t="n">
        <f aca="false">SIMM_Delta!$L$10*$D$35*$D$43</f>
        <v>13150355.5486072</v>
      </c>
      <c r="P35" s="0" t="n">
        <f aca="false">SIMM_Delta!$M$10*$D$35*$D$44</f>
        <v>-1040583313.38099</v>
      </c>
    </row>
    <row r="36" customFormat="false" ht="15" hidden="false" customHeight="false" outlineLevel="0" collapsed="false">
      <c r="A36" s="0" t="str">
        <f aca="false">Inputs!$E$14</f>
        <v>6m</v>
      </c>
      <c r="B36" s="0" t="n">
        <f aca="false">SUMIFS(Sensitivities!$I$5:$I$100,Sensitivities!$B$5:$B$100,"Risk_IRCurve",Sensitivities!$C$5:$C$100,$B$23,Sensitivities!$E$5:$E$100,$A36)</f>
        <v>1824.33175878759</v>
      </c>
      <c r="C36" s="0" t="n">
        <f aca="false">INDEX(Parameters!$G$5:$G$689,MATCH(Inputs!$B$4&amp;"|IR|"&amp;"delta_rw"&amp;"|"&amp;$B$24&amp;"|"&amp;$A36,Parameters!$A$5:$A$689,0))</f>
        <v>69</v>
      </c>
      <c r="D36" s="0" t="n">
        <f aca="false">C36*B36*$B$28</f>
        <v>125878.891356343</v>
      </c>
      <c r="E36" s="0" t="n">
        <f aca="false">SIMM_Delta!$B$11*$D$36*$D$33</f>
        <v>0</v>
      </c>
      <c r="F36" s="0" t="n">
        <f aca="false">SIMM_Delta!$C$11*$D$36*$D$34</f>
        <v>0</v>
      </c>
      <c r="G36" s="0" t="n">
        <f aca="false">SIMM_Delta!$D$11*$D$36*$D$35</f>
        <v>464882694.963072</v>
      </c>
      <c r="H36" s="0" t="n">
        <f aca="false">SIMM_Delta!$E$11*$D$36*$D$36</f>
        <v>15845495289.1021</v>
      </c>
      <c r="I36" s="0" t="n">
        <f aca="false">SIMM_Delta!$F$11*$D$36*$D$37</f>
        <v>-38686660523.6596</v>
      </c>
      <c r="J36" s="0" t="n">
        <f aca="false">SIMM_Delta!$G$11*$D$36*$D$38</f>
        <v>70890783438.2384</v>
      </c>
      <c r="K36" s="0" t="n">
        <f aca="false">SIMM_Delta!$H$11*$D$36*$D$39</f>
        <v>-459045143.947645</v>
      </c>
      <c r="L36" s="0" t="n">
        <f aca="false">SIMM_Delta!$I$11*$D$36*$D$40</f>
        <v>-16924854195.1748</v>
      </c>
      <c r="M36" s="0" t="n">
        <f aca="false">SIMM_Delta!$J$11*$D$36*$D$41</f>
        <v>90552706831.9688</v>
      </c>
      <c r="N36" s="0" t="n">
        <f aca="false">SIMM_Delta!$K$11*$D$36*$D$42</f>
        <v>290962569.627806</v>
      </c>
      <c r="O36" s="0" t="n">
        <f aca="false">SIMM_Delta!$L$11*$D$36*$D$43</f>
        <v>709994706.747792</v>
      </c>
      <c r="P36" s="0" t="n">
        <f aca="false">SIMM_Delta!$M$11*$D$36*$D$44</f>
        <v>-53627936576.5735</v>
      </c>
    </row>
    <row r="37" customFormat="false" ht="15" hidden="false" customHeight="false" outlineLevel="0" collapsed="false">
      <c r="A37" s="0" t="str">
        <f aca="false">Inputs!$F$14</f>
        <v>1y</v>
      </c>
      <c r="B37" s="0" t="n">
        <f aca="false">SUMIFS(Sensitivities!$I$5:$I$100,Sensitivities!$B$5:$B$100,"Risk_IRCurve",Sensitivities!$C$5:$C$100,$B$23,Sensitivities!$E$5:$E$100,$A37)</f>
        <v>-5255.34182525528</v>
      </c>
      <c r="C37" s="0" t="n">
        <f aca="false">INDEX(Parameters!$G$5:$G$689,MATCH(Inputs!$B$4&amp;"|IR|"&amp;"delta_rw"&amp;"|"&amp;$B$24&amp;"|"&amp;$A37,Parameters!$A$5:$A$689,0))</f>
        <v>68</v>
      </c>
      <c r="D37" s="0" t="n">
        <f aca="false">C37*B37*$B$28</f>
        <v>-357363.244117359</v>
      </c>
      <c r="E37" s="0" t="n">
        <f aca="false">SIMM_Delta!$B$12*$D$37*$D$33</f>
        <v>-0</v>
      </c>
      <c r="F37" s="0" t="n">
        <f aca="false">SIMM_Delta!$C$12*$D$37*$D$34</f>
        <v>-0</v>
      </c>
      <c r="G37" s="0" t="n">
        <f aca="false">SIMM_Delta!$D$12*$D$37*$D$35</f>
        <v>-1011828560.76105</v>
      </c>
      <c r="H37" s="0" t="n">
        <f aca="false">SIMM_Delta!$E$12*$D$37*$D$36</f>
        <v>-38686660523.6596</v>
      </c>
      <c r="I37" s="0" t="n">
        <f aca="false">SIMM_Delta!$F$12*$D$37*$D$37</f>
        <v>127708488246.083</v>
      </c>
      <c r="J37" s="0" t="n">
        <f aca="false">SIMM_Delta!$G$12*$D$37*$D$38</f>
        <v>-259150315581.783</v>
      </c>
      <c r="K37" s="0" t="n">
        <f aca="false">SIMM_Delta!$H$12*$D$37*$D$39</f>
        <v>1744288293.67139</v>
      </c>
      <c r="L37" s="0" t="n">
        <f aca="false">SIMM_Delta!$I$12*$D$37*$D$40</f>
        <v>67102536035.4046</v>
      </c>
      <c r="M37" s="0" t="n">
        <f aca="false">SIMM_Delta!$J$12*$D$37*$D$41</f>
        <v>-360892557608.529</v>
      </c>
      <c r="N37" s="0" t="n">
        <f aca="false">SIMM_Delta!$K$12*$D$37*$D$42</f>
        <v>-1212677525.74315</v>
      </c>
      <c r="O37" s="0" t="n">
        <f aca="false">SIMM_Delta!$L$12*$D$37*$D$43</f>
        <v>-2931834027.57595</v>
      </c>
      <c r="P37" s="0" t="n">
        <f aca="false">SIMM_Delta!$M$12*$D$37*$D$44</f>
        <v>228370140344.724</v>
      </c>
    </row>
    <row r="38" customFormat="false" ht="15" hidden="false" customHeight="false" outlineLevel="0" collapsed="false">
      <c r="A38" s="0" t="str">
        <f aca="false">Inputs!$G$14</f>
        <v>2y</v>
      </c>
      <c r="B38" s="0" t="n">
        <f aca="false">SUMIFS(Sensitivities!$I$5:$I$100,Sensitivities!$B$5:$B$100,"Risk_IRCurve",Sensitivities!$C$5:$C$100,$B$23,Sensitivities!$E$5:$E$100,$A38)</f>
        <v>11180.5949903481</v>
      </c>
      <c r="C38" s="0" t="n">
        <f aca="false">INDEX(Parameters!$G$5:$G$689,MATCH(Inputs!$B$4&amp;"|IR|"&amp;"delta_rw"&amp;"|"&amp;$B$24&amp;"|"&amp;$A38,Parameters!$A$5:$A$689,0))</f>
        <v>69</v>
      </c>
      <c r="D38" s="0" t="n">
        <f aca="false">C38*B38*$B$28</f>
        <v>771461.054334019</v>
      </c>
      <c r="E38" s="0" t="n">
        <f aca="false">SIMM_Delta!$B$13*$D$38*$D$33</f>
        <v>0</v>
      </c>
      <c r="F38" s="0" t="n">
        <f aca="false">SIMM_Delta!$C$13*$D$38*$D$34</f>
        <v>0</v>
      </c>
      <c r="G38" s="0" t="n">
        <f aca="false">SIMM_Delta!$D$13*$D$38*$D$35</f>
        <v>1677790910.95476</v>
      </c>
      <c r="H38" s="0" t="n">
        <f aca="false">SIMM_Delta!$E$13*$D$38*$D$36</f>
        <v>70890783438.2384</v>
      </c>
      <c r="I38" s="0" t="n">
        <f aca="false">SIMM_Delta!$F$13*$D$38*$D$37</f>
        <v>-259150315581.783</v>
      </c>
      <c r="J38" s="0" t="n">
        <f aca="false">SIMM_Delta!$G$13*$D$38*$D$38</f>
        <v>595152158354.157</v>
      </c>
      <c r="K38" s="0" t="n">
        <f aca="false">SIMM_Delta!$H$13*$D$38*$D$39</f>
        <v>-4198313565.99162</v>
      </c>
      <c r="L38" s="0" t="n">
        <f aca="false">SIMM_Delta!$I$13*$D$38*$D$40</f>
        <v>-164530291411.627</v>
      </c>
      <c r="M38" s="0" t="n">
        <f aca="false">SIMM_Delta!$J$13*$D$38*$D$41</f>
        <v>917820263314.788</v>
      </c>
      <c r="N38" s="0" t="n">
        <f aca="false">SIMM_Delta!$K$13*$D$38*$D$42</f>
        <v>3111101749.76998</v>
      </c>
      <c r="O38" s="0" t="n">
        <f aca="false">SIMM_Delta!$L$13*$D$38*$D$43</f>
        <v>7614725578.61338</v>
      </c>
      <c r="P38" s="0" t="n">
        <f aca="false">SIMM_Delta!$M$13*$D$38*$D$44</f>
        <v>-594725398659.329</v>
      </c>
    </row>
    <row r="39" customFormat="false" ht="15" hidden="false" customHeight="false" outlineLevel="0" collapsed="false">
      <c r="A39" s="0" t="str">
        <f aca="false">Inputs!$H$14</f>
        <v>3y</v>
      </c>
      <c r="B39" s="0" t="n">
        <f aca="false">SUMIFS(Sensitivities!$I$5:$I$100,Sensitivities!$B$5:$B$100,"Risk_IRCurve",Sensitivities!$C$5:$C$100,$B$23,Sensitivities!$E$5:$E$100,$A39)</f>
        <v>-85.0051417713999</v>
      </c>
      <c r="C39" s="0" t="n">
        <f aca="false">INDEX(Parameters!$G$5:$G$689,MATCH(Inputs!$B$4&amp;"|IR|"&amp;"delta_rw"&amp;"|"&amp;$B$24&amp;"|"&amp;$A39,Parameters!$A$5:$A$689,0))</f>
        <v>66</v>
      </c>
      <c r="D39" s="0" t="n">
        <f aca="false">C39*B39*$B$28</f>
        <v>-5610.33935691239</v>
      </c>
      <c r="E39" s="0" t="n">
        <f aca="false">SIMM_Delta!$B$14*$D$39*$D$33</f>
        <v>-0</v>
      </c>
      <c r="F39" s="0" t="n">
        <f aca="false">SIMM_Delta!$C$14*$D$39*$D$34</f>
        <v>-0</v>
      </c>
      <c r="G39" s="0" t="n">
        <f aca="false">SIMM_Delta!$D$14*$D$39*$D$35</f>
        <v>-10589974.7485343</v>
      </c>
      <c r="H39" s="0" t="n">
        <f aca="false">SIMM_Delta!$E$14*$D$39*$D$36</f>
        <v>-459045143.947645</v>
      </c>
      <c r="I39" s="0" t="n">
        <f aca="false">SIMM_Delta!$F$14*$D$39*$D$37</f>
        <v>1744288293.67139</v>
      </c>
      <c r="J39" s="0" t="n">
        <f aca="false">SIMM_Delta!$G$14*$D$39*$D$38</f>
        <v>-4198313565.99162</v>
      </c>
      <c r="K39" s="0" t="n">
        <f aca="false">SIMM_Delta!$H$14*$D$39*$D$39</f>
        <v>31475907.6997202</v>
      </c>
      <c r="L39" s="0" t="n">
        <f aca="false">SIMM_Delta!$I$14*$D$39*$D$40</f>
        <v>1261551251.97803</v>
      </c>
      <c r="M39" s="0" t="n">
        <f aca="false">SIMM_Delta!$J$14*$D$39*$D$41</f>
        <v>-7062780476.50044</v>
      </c>
      <c r="N39" s="0" t="n">
        <f aca="false">SIMM_Delta!$K$14*$D$39*$D$42</f>
        <v>-24004614.7534295</v>
      </c>
      <c r="O39" s="0" t="n">
        <f aca="false">SIMM_Delta!$L$14*$D$39*$D$43</f>
        <v>-58972903.2930729</v>
      </c>
      <c r="P39" s="0" t="n">
        <f aca="false">SIMM_Delta!$M$14*$D$39*$D$44</f>
        <v>4609597843.84767</v>
      </c>
    </row>
    <row r="40" customFormat="false" ht="15" hidden="false" customHeight="false" outlineLevel="0" collapsed="false">
      <c r="A40" s="0" t="str">
        <f aca="false">Inputs!$I$14</f>
        <v>5y</v>
      </c>
      <c r="B40" s="0" t="n">
        <f aca="false">SUMIFS(Sensitivities!$I$5:$I$100,Sensitivities!$B$5:$B$100,"Risk_IRCurve",Sensitivities!$C$5:$C$100,$B$23,Sensitivities!$E$5:$E$100,$A40)</f>
        <v>-3800.26776696475</v>
      </c>
      <c r="C40" s="0" t="n">
        <f aca="false">INDEX(Parameters!$G$5:$G$689,MATCH(Inputs!$B$4&amp;"|IR|"&amp;"delta_rw"&amp;"|"&amp;$B$24&amp;"|"&amp;$A40,Parameters!$A$5:$A$689,0))</f>
        <v>61</v>
      </c>
      <c r="D40" s="0" t="n">
        <f aca="false">C40*B40*$B$28</f>
        <v>-231816.33378485</v>
      </c>
      <c r="E40" s="0" t="n">
        <f aca="false">SIMM_Delta!$B$15*$D$40*$D$33</f>
        <v>-0</v>
      </c>
      <c r="F40" s="0" t="n">
        <f aca="false">SIMM_Delta!$C$15*$D$40*$D$34</f>
        <v>-0</v>
      </c>
      <c r="G40" s="0" t="n">
        <f aca="false">SIMM_Delta!$D$15*$D$40*$D$35</f>
        <v>-380497656.032424</v>
      </c>
      <c r="H40" s="0" t="n">
        <f aca="false">SIMM_Delta!$E$15*$D$40*$D$36</f>
        <v>-16924854195.1748</v>
      </c>
      <c r="I40" s="0" t="n">
        <f aca="false">SIMM_Delta!$F$15*$D$40*$D$37</f>
        <v>67102536035.4046</v>
      </c>
      <c r="J40" s="0" t="n">
        <f aca="false">SIMM_Delta!$G$15*$D$40*$D$38</f>
        <v>-164530291411.627</v>
      </c>
      <c r="K40" s="0" t="n">
        <f aca="false">SIMM_Delta!$H$15*$D$40*$D$39</f>
        <v>1261551251.97803</v>
      </c>
      <c r="L40" s="0" t="n">
        <f aca="false">SIMM_Delta!$I$15*$D$40*$D$40</f>
        <v>53738812609.4488</v>
      </c>
      <c r="M40" s="0" t="n">
        <f aca="false">SIMM_Delta!$J$15*$D$40*$D$41</f>
        <v>-307865093345.817</v>
      </c>
      <c r="N40" s="0" t="n">
        <f aca="false">SIMM_Delta!$K$15*$D$40*$D$42</f>
        <v>-1060262345.28533</v>
      </c>
      <c r="O40" s="0" t="n">
        <f aca="false">SIMM_Delta!$L$15*$D$40*$D$43</f>
        <v>-2644743539.07701</v>
      </c>
      <c r="P40" s="0" t="n">
        <f aca="false">SIMM_Delta!$M$15*$D$40*$D$44</f>
        <v>206926252502.247</v>
      </c>
    </row>
    <row r="41" customFormat="false" ht="15" hidden="false" customHeight="false" outlineLevel="0" collapsed="false">
      <c r="A41" s="0" t="str">
        <f aca="false">Inputs!$J$14</f>
        <v>10y</v>
      </c>
      <c r="B41" s="0" t="n">
        <f aca="false">SUMIFS(Sensitivities!$I$5:$I$100,Sensitivities!$B$5:$B$100,"Risk_IRCurve",Sensitivities!$C$5:$C$100,$B$23,Sensitivities!$E$5:$E$100,$A41)</f>
        <v>23056.5293029349</v>
      </c>
      <c r="C41" s="0" t="n">
        <f aca="false">INDEX(Parameters!$G$5:$G$689,MATCH(Inputs!$B$4&amp;"|IR|"&amp;"delta_rw"&amp;"|"&amp;$B$24&amp;"|"&amp;$A41,Parameters!$A$5:$A$689,0))</f>
        <v>60</v>
      </c>
      <c r="D41" s="0" t="n">
        <f aca="false">C41*B41*$B$28</f>
        <v>1383391.75817609</v>
      </c>
      <c r="E41" s="0" t="n">
        <f aca="false">SIMM_Delta!$B$16*$D$41*$D$33</f>
        <v>0</v>
      </c>
      <c r="F41" s="0" t="n">
        <f aca="false">SIMM_Delta!$C$16*$D$41*$D$34</f>
        <v>0</v>
      </c>
      <c r="G41" s="0" t="n">
        <f aca="false">SIMM_Delta!$D$16*$D$41*$D$35</f>
        <v>1930065564.62818</v>
      </c>
      <c r="H41" s="0" t="n">
        <f aca="false">SIMM_Delta!$E$16*$D$41*$D$36</f>
        <v>90552706831.9688</v>
      </c>
      <c r="I41" s="0" t="n">
        <f aca="false">SIMM_Delta!$F$16*$D$41*$D$37</f>
        <v>-360892557608.529</v>
      </c>
      <c r="J41" s="0" t="n">
        <f aca="false">SIMM_Delta!$G$16*$D$41*$D$38</f>
        <v>917820263314.788</v>
      </c>
      <c r="K41" s="0" t="n">
        <f aca="false">SIMM_Delta!$H$16*$D$41*$D$39</f>
        <v>-7062780476.50044</v>
      </c>
      <c r="L41" s="0" t="n">
        <f aca="false">SIMM_Delta!$I$16*$D$41*$D$40</f>
        <v>-307865093345.817</v>
      </c>
      <c r="M41" s="0" t="n">
        <f aca="false">SIMM_Delta!$J$16*$D$41*$D$41</f>
        <v>1913772756589.54</v>
      </c>
      <c r="N41" s="0" t="n">
        <f aca="false">SIMM_Delta!$K$16*$D$41*$D$42</f>
        <v>6667416967.30261</v>
      </c>
      <c r="O41" s="0" t="n">
        <f aca="false">SIMM_Delta!$L$16*$D$41*$D$43</f>
        <v>16846834689.6104</v>
      </c>
      <c r="P41" s="0" t="n">
        <f aca="false">SIMM_Delta!$M$16*$D$41*$D$44</f>
        <v>-1333084493152.98</v>
      </c>
    </row>
    <row r="42" customFormat="false" ht="15" hidden="false" customHeight="false" outlineLevel="0" collapsed="false">
      <c r="A42" s="0" t="str">
        <f aca="false">Inputs!$K$14</f>
        <v>15y</v>
      </c>
      <c r="B42" s="0" t="n">
        <f aca="false">SUMIFS(Sensitivities!$I$5:$I$100,Sensitivities!$B$5:$B$100,"Risk_IRCurve",Sensitivities!$C$5:$C$100,$B$23,Sensitivities!$E$5:$E$100,$A42)</f>
        <v>84.792680133614</v>
      </c>
      <c r="C42" s="0" t="n">
        <f aca="false">INDEX(Parameters!$G$5:$G$689,MATCH(Inputs!$B$4&amp;"|IR|"&amp;"delta_rw"&amp;"|"&amp;$B$24&amp;"|"&amp;$A42,Parameters!$A$5:$A$689,0))</f>
        <v>58</v>
      </c>
      <c r="D42" s="0" t="n">
        <f aca="false">C42*B42*$B$28</f>
        <v>4917.97544774961</v>
      </c>
      <c r="E42" s="0" t="n">
        <f aca="false">SIMM_Delta!$B$17*$D$42*$D$33</f>
        <v>0</v>
      </c>
      <c r="F42" s="0" t="n">
        <f aca="false">SIMM_Delta!$C$17*$D$42*$D$34</f>
        <v>0</v>
      </c>
      <c r="G42" s="0" t="n">
        <f aca="false">SIMM_Delta!$D$17*$D$42*$D$35</f>
        <v>5448765.05173522</v>
      </c>
      <c r="H42" s="0" t="n">
        <f aca="false">SIMM_Delta!$E$17*$D$42*$D$36</f>
        <v>290962569.627806</v>
      </c>
      <c r="I42" s="0" t="n">
        <f aca="false">SIMM_Delta!$F$17*$D$42*$D$37</f>
        <v>-1212677525.74315</v>
      </c>
      <c r="J42" s="0" t="n">
        <f aca="false">SIMM_Delta!$G$17*$D$42*$D$38</f>
        <v>3111101749.76998</v>
      </c>
      <c r="K42" s="0" t="n">
        <f aca="false">SIMM_Delta!$H$17*$D$42*$D$39</f>
        <v>-24004614.7534295</v>
      </c>
      <c r="L42" s="0" t="n">
        <f aca="false">SIMM_Delta!$I$17*$D$42*$D$40</f>
        <v>-1060262345.28533</v>
      </c>
      <c r="M42" s="0" t="n">
        <f aca="false">SIMM_Delta!$J$17*$D$42*$D$41</f>
        <v>6667416967.30261</v>
      </c>
      <c r="N42" s="0" t="n">
        <f aca="false">SIMM_Delta!$K$17*$D$42*$D$42</f>
        <v>24186482.504668</v>
      </c>
      <c r="O42" s="0" t="n">
        <f aca="false">SIMM_Delta!$L$17*$D$42*$D$43</f>
        <v>61781999.1362427</v>
      </c>
      <c r="P42" s="0" t="n">
        <f aca="false">SIMM_Delta!$M$17*$D$42*$D$44</f>
        <v>-4838903685.20847</v>
      </c>
    </row>
    <row r="43" customFormat="false" ht="15" hidden="false" customHeight="false" outlineLevel="0" collapsed="false">
      <c r="A43" s="0" t="str">
        <f aca="false">Inputs!$L$14</f>
        <v>20y</v>
      </c>
      <c r="B43" s="0" t="n">
        <f aca="false">SUMIFS(Sensitivities!$I$5:$I$100,Sensitivities!$B$5:$B$100,"Risk_IRCurve",Sensitivities!$C$5:$C$100,$B$23,Sensitivities!$E$5:$E$100,$A43)</f>
        <v>221.014888984238</v>
      </c>
      <c r="C43" s="0" t="n">
        <f aca="false">INDEX(Parameters!$G$5:$G$689,MATCH(Inputs!$B$4&amp;"|IR|"&amp;"delta_rw"&amp;"|"&amp;$B$24&amp;"|"&amp;$A43,Parameters!$A$5:$A$689,0))</f>
        <v>58</v>
      </c>
      <c r="D43" s="0" t="n">
        <f aca="false">C43*B43*$B$28</f>
        <v>12818.8635610858</v>
      </c>
      <c r="E43" s="0" t="n">
        <f aca="false">SIMM_Delta!$B$18*$D$43*$D$33</f>
        <v>0</v>
      </c>
      <c r="F43" s="0" t="n">
        <f aca="false">SIMM_Delta!$C$18*$D$43*$D$34</f>
        <v>0</v>
      </c>
      <c r="G43" s="0" t="n">
        <f aca="false">SIMM_Delta!$D$18*$D$43*$D$35</f>
        <v>13150355.5486072</v>
      </c>
      <c r="H43" s="0" t="n">
        <f aca="false">SIMM_Delta!$E$18*$D$43*$D$36</f>
        <v>709994706.747792</v>
      </c>
      <c r="I43" s="0" t="n">
        <f aca="false">SIMM_Delta!$F$18*$D$43*$D$37</f>
        <v>-2931834027.57595</v>
      </c>
      <c r="J43" s="0" t="n">
        <f aca="false">SIMM_Delta!$G$18*$D$43*$D$38</f>
        <v>7614725578.61338</v>
      </c>
      <c r="K43" s="0" t="n">
        <f aca="false">SIMM_Delta!$H$18*$D$43*$D$39</f>
        <v>-58972903.2930729</v>
      </c>
      <c r="L43" s="0" t="n">
        <f aca="false">SIMM_Delta!$I$18*$D$43*$D$40</f>
        <v>-2644743539.07701</v>
      </c>
      <c r="M43" s="0" t="n">
        <f aca="false">SIMM_Delta!$J$18*$D$43*$D$41</f>
        <v>16846834689.6104</v>
      </c>
      <c r="N43" s="0" t="n">
        <f aca="false">SIMM_Delta!$K$18*$D$43*$D$42</f>
        <v>61781999.1362427</v>
      </c>
      <c r="O43" s="0" t="n">
        <f aca="false">SIMM_Delta!$L$18*$D$43*$D$43</f>
        <v>164323262.997733</v>
      </c>
      <c r="P43" s="0" t="n">
        <f aca="false">SIMM_Delta!$M$18*$D$43*$D$44</f>
        <v>-12742788888.6236</v>
      </c>
    </row>
    <row r="44" customFormat="false" ht="15" hidden="false" customHeight="false" outlineLevel="0" collapsed="false">
      <c r="A44" s="0" t="str">
        <f aca="false">Inputs!$M$14</f>
        <v>30y</v>
      </c>
      <c r="B44" s="0" t="n">
        <f aca="false">SUMIFS(Sensitivities!$I$5:$I$100,Sensitivities!$B$5:$B$100,"Risk_IRCurve",Sensitivities!$C$5:$C$100,$B$23,Sensitivities!$E$5:$E$100,$A44)</f>
        <v>-15368.9766869093</v>
      </c>
      <c r="C44" s="0" t="n">
        <f aca="false">INDEX(Parameters!$G$5:$G$689,MATCH(Inputs!$B$4&amp;"|IR|"&amp;"delta_rw"&amp;"|"&amp;$B$24&amp;"|"&amp;$A44,Parameters!$A$5:$A$689,0))</f>
        <v>66</v>
      </c>
      <c r="D44" s="0" t="n">
        <f aca="false">C44*B44*$B$28</f>
        <v>-1014352.46133602</v>
      </c>
      <c r="E44" s="0" t="n">
        <f aca="false">SIMM_Delta!$B$19*$D$44*$D$33</f>
        <v>-0</v>
      </c>
      <c r="F44" s="0" t="n">
        <f aca="false">SIMM_Delta!$C$19*$D$44*$D$34</f>
        <v>-0</v>
      </c>
      <c r="G44" s="0" t="n">
        <f aca="false">SIMM_Delta!$D$19*$D$44*$D$35</f>
        <v>-1040583313.38099</v>
      </c>
      <c r="H44" s="0" t="n">
        <f aca="false">SIMM_Delta!$E$19*$D$44*$D$36</f>
        <v>-53627936576.5735</v>
      </c>
      <c r="I44" s="0" t="n">
        <f aca="false">SIMM_Delta!$F$19*$D$44*$D$37</f>
        <v>228370140344.724</v>
      </c>
      <c r="J44" s="0" t="n">
        <f aca="false">SIMM_Delta!$G$19*$D$44*$D$38</f>
        <v>-594725398659.329</v>
      </c>
      <c r="K44" s="0" t="n">
        <f aca="false">SIMM_Delta!$H$19*$D$44*$D$39</f>
        <v>4609597843.84767</v>
      </c>
      <c r="L44" s="0" t="n">
        <f aca="false">SIMM_Delta!$I$19*$D$44*$D$40</f>
        <v>206926252502.247</v>
      </c>
      <c r="M44" s="0" t="n">
        <f aca="false">SIMM_Delta!$J$19*$D$44*$D$41</f>
        <v>-1333084493152.98</v>
      </c>
      <c r="N44" s="0" t="n">
        <f aca="false">SIMM_Delta!$K$19*$D$44*$D$42</f>
        <v>-4838903685.20847</v>
      </c>
      <c r="O44" s="0" t="n">
        <f aca="false">SIMM_Delta!$L$19*$D$44*$D$43</f>
        <v>-12742788888.6236</v>
      </c>
      <c r="P44" s="0" t="n">
        <f aca="false">SIMM_Delta!$M$19*$D$44*$D$44</f>
        <v>1028910915818.43</v>
      </c>
    </row>
    <row r="48" customFormat="false" ht="15" hidden="false" customHeight="false" outlineLevel="0" collapsed="false">
      <c r="A48" s="1" t="s">
        <v>43</v>
      </c>
      <c r="B48" s="0" t="str">
        <f aca="false">Inputs!$C$13</f>
        <v>EUR</v>
      </c>
    </row>
    <row r="49" customFormat="false" ht="15" hidden="false" customHeight="false" outlineLevel="0" collapsed="false">
      <c r="A49" s="1" t="s">
        <v>411</v>
      </c>
      <c r="B49" s="0" t="str">
        <f aca="false">IF(ISNUMBER(MATCH(Inputs!$B$4&amp;"|IR|rw_group_member|regular|"&amp;$B$48,Parameters!$A$5:$A$689,0)),"regular",IF(ISNUMBER(MATCH(Inputs!$B$4&amp;"|IR|rw_group_member|low|"&amp;$B$48,Parameters!$A$5:$A$689,0)),"low","high"))</f>
        <v>regular</v>
      </c>
    </row>
    <row r="50" customFormat="false" ht="15" hidden="false" customHeight="false" outlineLevel="0" collapsed="false">
      <c r="A50" s="1" t="s">
        <v>412</v>
      </c>
      <c r="B50" s="0" t="str">
        <f aca="false">IF(ISNUMBER(MATCH(Inputs!$B$4&amp;"|IR|ct_group_member|regular_well_traded|"&amp;$B$48,Parameters!$A$5:$A$689,0)),"regular_well_traded",IF(ISNUMBER(MATCH(Inputs!$B$4&amp;"|IR|ct_group_member|regular_less_well_traded|"&amp;$B$48,Parameters!$A$5:$A$689,0)),"regular_less_well_traded",IF(ISNUMBER(MATCH(Inputs!$B$4&amp;"|IR|ct_group_member|low|"&amp;$B$48,Parameters!$A$5:$A$689,0)),"low","high")))</f>
        <v>regular_well_traded</v>
      </c>
    </row>
    <row r="51" customFormat="false" ht="15" hidden="false" customHeight="false" outlineLevel="0" collapsed="false">
      <c r="A51" s="1" t="s">
        <v>413</v>
      </c>
      <c r="B51" s="0" t="n">
        <f aca="false">INDEX(Parameters!$G$5:$G$689,MATCH(Inputs!$B$4&amp;"|IR|"&amp;"delta_ct"&amp;"|"&amp;$B$50&amp;"|"&amp;"",Parameters!$A$5:$A$689,0))</f>
        <v>220</v>
      </c>
    </row>
    <row r="52" customFormat="false" ht="15" hidden="false" customHeight="false" outlineLevel="0" collapsed="false">
      <c r="A52" s="1" t="s">
        <v>414</v>
      </c>
      <c r="B52" s="0" t="n">
        <f aca="false">SUM(B58:B69)</f>
        <v>-22494.8427394998</v>
      </c>
    </row>
    <row r="53" customFormat="false" ht="15" hidden="false" customHeight="false" outlineLevel="0" collapsed="false">
      <c r="A53" s="1" t="s">
        <v>415</v>
      </c>
      <c r="B53" s="0" t="n">
        <f aca="false">MAX(1,SQRT(ABS($B$52)/Inputs!$B$9/$B$51))</f>
        <v>1</v>
      </c>
    </row>
    <row r="54" customFormat="false" ht="15" hidden="false" customHeight="false" outlineLevel="0" collapsed="false">
      <c r="A54" s="1" t="s">
        <v>257</v>
      </c>
      <c r="B54" s="0" t="n">
        <f aca="false">SQRT(MAX(0,SUM(E58:P69)))</f>
        <v>1351537.68258669</v>
      </c>
    </row>
    <row r="55" customFormat="false" ht="15" hidden="false" customHeight="false" outlineLevel="0" collapsed="false">
      <c r="A55" s="1" t="s">
        <v>416</v>
      </c>
      <c r="B55" s="0" t="n">
        <f aca="false">SUM(D58:D69)</f>
        <v>-1306486.32913907</v>
      </c>
    </row>
    <row r="56" customFormat="false" ht="15" hidden="false" customHeight="false" outlineLevel="0" collapsed="false">
      <c r="A56" s="1" t="s">
        <v>417</v>
      </c>
      <c r="B56" s="0" t="n">
        <f aca="false">MAX(-$B$54,MIN($B$54,$B$55))</f>
        <v>-1306486.32913907</v>
      </c>
    </row>
    <row r="57" customFormat="false" ht="15" hidden="false" customHeight="false" outlineLevel="0" collapsed="false">
      <c r="A57" s="1" t="s">
        <v>418</v>
      </c>
      <c r="B57" s="1" t="s">
        <v>419</v>
      </c>
      <c r="C57" s="1" t="s">
        <v>420</v>
      </c>
      <c r="D57" s="1" t="s">
        <v>421</v>
      </c>
      <c r="E57" s="1" t="str">
        <f aca="false">Inputs!$B$14</f>
        <v>2w</v>
      </c>
      <c r="F57" s="1" t="str">
        <f aca="false">Inputs!$C$14</f>
        <v>1m</v>
      </c>
      <c r="G57" s="1" t="str">
        <f aca="false">Inputs!$D$14</f>
        <v>3m</v>
      </c>
      <c r="H57" s="1" t="str">
        <f aca="false">Inputs!$E$14</f>
        <v>6m</v>
      </c>
      <c r="I57" s="1" t="str">
        <f aca="false">Inputs!$F$14</f>
        <v>1y</v>
      </c>
      <c r="J57" s="1" t="str">
        <f aca="false">Inputs!$G$14</f>
        <v>2y</v>
      </c>
      <c r="K57" s="1" t="str">
        <f aca="false">Inputs!$H$14</f>
        <v>3y</v>
      </c>
      <c r="L57" s="1" t="str">
        <f aca="false">Inputs!$I$14</f>
        <v>5y</v>
      </c>
      <c r="M57" s="1" t="str">
        <f aca="false">Inputs!$J$14</f>
        <v>10y</v>
      </c>
      <c r="N57" s="1" t="str">
        <f aca="false">Inputs!$K$14</f>
        <v>15y</v>
      </c>
      <c r="O57" s="1" t="str">
        <f aca="false">Inputs!$L$14</f>
        <v>20y</v>
      </c>
      <c r="P57" s="1" t="str">
        <f aca="false">Inputs!$M$14</f>
        <v>30y</v>
      </c>
    </row>
    <row r="58" customFormat="false" ht="15" hidden="false" customHeight="false" outlineLevel="0" collapsed="false">
      <c r="A58" s="0" t="str">
        <f aca="false">Inputs!$B$14</f>
        <v>2w</v>
      </c>
      <c r="B58" s="0" t="n">
        <f aca="false">SUMIFS(Sensitivities!$I$5:$I$100,Sensitivities!$B$5:$B$100,"Risk_IRCurve",Sensitivities!$C$5:$C$100,$B$48,Sensitivities!$E$5:$E$100,$A58)</f>
        <v>0</v>
      </c>
      <c r="C58" s="0" t="n">
        <f aca="false">INDEX(Parameters!$G$5:$G$689,MATCH(Inputs!$B$4&amp;"|IR|"&amp;"delta_rw"&amp;"|"&amp;$B$49&amp;"|"&amp;$A58,Parameters!$A$5:$A$689,0))</f>
        <v>107</v>
      </c>
      <c r="D58" s="0" t="n">
        <f aca="false">C58*B58*$B$53</f>
        <v>0</v>
      </c>
      <c r="E58" s="0" t="n">
        <f aca="false">SIMM_Delta!$B$8*$D$58*$D$58</f>
        <v>0</v>
      </c>
      <c r="F58" s="0" t="n">
        <f aca="false">SIMM_Delta!$C$8*$D$58*$D$59</f>
        <v>0</v>
      </c>
      <c r="G58" s="0" t="n">
        <f aca="false">SIMM_Delta!$D$8*$D$58*$D$60</f>
        <v>-0</v>
      </c>
      <c r="H58" s="0" t="n">
        <f aca="false">SIMM_Delta!$E$8*$D$58*$D$61</f>
        <v>-0</v>
      </c>
      <c r="I58" s="0" t="n">
        <f aca="false">SIMM_Delta!$F$8*$D$58*$D$62</f>
        <v>-0</v>
      </c>
      <c r="J58" s="0" t="n">
        <f aca="false">SIMM_Delta!$G$8*$D$58*$D$63</f>
        <v>-0</v>
      </c>
      <c r="K58" s="0" t="n">
        <f aca="false">SIMM_Delta!$H$8*$D$58*$D$64</f>
        <v>0</v>
      </c>
      <c r="L58" s="0" t="n">
        <f aca="false">SIMM_Delta!$I$8*$D$58*$D$65</f>
        <v>0</v>
      </c>
      <c r="M58" s="0" t="n">
        <f aca="false">SIMM_Delta!$J$8*$D$58*$D$66</f>
        <v>-0</v>
      </c>
      <c r="N58" s="0" t="n">
        <f aca="false">SIMM_Delta!$K$8*$D$58*$D$67</f>
        <v>-0</v>
      </c>
      <c r="O58" s="0" t="n">
        <f aca="false">SIMM_Delta!$L$8*$D$58*$D$68</f>
        <v>0</v>
      </c>
      <c r="P58" s="0" t="n">
        <f aca="false">SIMM_Delta!$M$8*$D$58*$D$69</f>
        <v>0</v>
      </c>
    </row>
    <row r="59" customFormat="false" ht="15" hidden="false" customHeight="false" outlineLevel="0" collapsed="false">
      <c r="A59" s="0" t="str">
        <f aca="false">Inputs!$C$14</f>
        <v>1m</v>
      </c>
      <c r="B59" s="0" t="n">
        <f aca="false">SUMIFS(Sensitivities!$I$5:$I$100,Sensitivities!$B$5:$B$100,"Risk_IRCurve",Sensitivities!$C$5:$C$100,$B$48,Sensitivities!$E$5:$E$100,$A59)</f>
        <v>0</v>
      </c>
      <c r="C59" s="0" t="n">
        <f aca="false">INDEX(Parameters!$G$5:$G$689,MATCH(Inputs!$B$4&amp;"|IR|"&amp;"delta_rw"&amp;"|"&amp;$B$49&amp;"|"&amp;$A59,Parameters!$A$5:$A$689,0))</f>
        <v>101</v>
      </c>
      <c r="D59" s="0" t="n">
        <f aca="false">C59*B59*$B$53</f>
        <v>0</v>
      </c>
      <c r="E59" s="0" t="n">
        <f aca="false">SIMM_Delta!$B$9*$D$59*$D$58</f>
        <v>0</v>
      </c>
      <c r="F59" s="0" t="n">
        <f aca="false">SIMM_Delta!$C$9*$D$59*$D$59</f>
        <v>0</v>
      </c>
      <c r="G59" s="0" t="n">
        <f aca="false">SIMM_Delta!$D$9*$D$59*$D$60</f>
        <v>-0</v>
      </c>
      <c r="H59" s="0" t="n">
        <f aca="false">SIMM_Delta!$E$9*$D$59*$D$61</f>
        <v>-0</v>
      </c>
      <c r="I59" s="0" t="n">
        <f aca="false">SIMM_Delta!$F$9*$D$59*$D$62</f>
        <v>-0</v>
      </c>
      <c r="J59" s="0" t="n">
        <f aca="false">SIMM_Delta!$G$9*$D$59*$D$63</f>
        <v>-0</v>
      </c>
      <c r="K59" s="0" t="n">
        <f aca="false">SIMM_Delta!$H$9*$D$59*$D$64</f>
        <v>0</v>
      </c>
      <c r="L59" s="0" t="n">
        <f aca="false">SIMM_Delta!$I$9*$D$59*$D$65</f>
        <v>0</v>
      </c>
      <c r="M59" s="0" t="n">
        <f aca="false">SIMM_Delta!$J$9*$D$59*$D$66</f>
        <v>-0</v>
      </c>
      <c r="N59" s="0" t="n">
        <f aca="false">SIMM_Delta!$K$9*$D$59*$D$67</f>
        <v>-0</v>
      </c>
      <c r="O59" s="0" t="n">
        <f aca="false">SIMM_Delta!$L$9*$D$59*$D$68</f>
        <v>0</v>
      </c>
      <c r="P59" s="0" t="n">
        <f aca="false">SIMM_Delta!$M$9*$D$59*$D$69</f>
        <v>0</v>
      </c>
    </row>
    <row r="60" customFormat="false" ht="15" hidden="false" customHeight="false" outlineLevel="0" collapsed="false">
      <c r="A60" s="0" t="str">
        <f aca="false">Inputs!$D$14</f>
        <v>3m</v>
      </c>
      <c r="B60" s="0" t="n">
        <f aca="false">SUMIFS(Sensitivities!$I$5:$I$100,Sensitivities!$B$5:$B$100,"Risk_IRCurve",Sensitivities!$C$5:$C$100,$B$48,Sensitivities!$E$5:$E$100,$A60)</f>
        <v>-601.577979285453</v>
      </c>
      <c r="C60" s="0" t="n">
        <f aca="false">INDEX(Parameters!$G$5:$G$689,MATCH(Inputs!$B$4&amp;"|IR|"&amp;"delta_rw"&amp;"|"&amp;$B$49&amp;"|"&amp;$A60,Parameters!$A$5:$A$689,0))</f>
        <v>90</v>
      </c>
      <c r="D60" s="0" t="n">
        <f aca="false">C60*B60*$B$53</f>
        <v>-54142.0181356907</v>
      </c>
      <c r="E60" s="0" t="n">
        <f aca="false">SIMM_Delta!$B$10*$D$60*$D$58</f>
        <v>-0</v>
      </c>
      <c r="F60" s="0" t="n">
        <f aca="false">SIMM_Delta!$C$10*$D$60*$D$59</f>
        <v>-0</v>
      </c>
      <c r="G60" s="0" t="n">
        <f aca="false">SIMM_Delta!$D$10*$D$60*$D$60</f>
        <v>2931358127.80546</v>
      </c>
      <c r="H60" s="0" t="n">
        <f aca="false">SIMM_Delta!$E$10*$D$60*$D$61</f>
        <v>5001995404.25122</v>
      </c>
      <c r="I60" s="0" t="n">
        <f aca="false">SIMM_Delta!$F$10*$D$60*$D$62</f>
        <v>7437615.31138779</v>
      </c>
      <c r="J60" s="0" t="n">
        <f aca="false">SIMM_Delta!$G$10*$D$60*$D$63</f>
        <v>11733334.0061487</v>
      </c>
      <c r="K60" s="0" t="n">
        <f aca="false">SIMM_Delta!$H$10*$D$60*$D$64</f>
        <v>-5548349802.74718</v>
      </c>
      <c r="L60" s="0" t="n">
        <f aca="false">SIMM_Delta!$I$10*$D$60*$D$65</f>
        <v>-26311586792.7781</v>
      </c>
      <c r="M60" s="0" t="n">
        <f aca="false">SIMM_Delta!$J$10*$D$60*$D$66</f>
        <v>29175242875.149</v>
      </c>
      <c r="N60" s="0" t="n">
        <f aca="false">SIMM_Delta!$K$10*$D$60*$D$67</f>
        <v>14646100678.6251</v>
      </c>
      <c r="O60" s="0" t="n">
        <f aca="false">SIMM_Delta!$L$10*$D$60*$D$68</f>
        <v>-0</v>
      </c>
      <c r="P60" s="0" t="n">
        <f aca="false">SIMM_Delta!$M$10*$D$60*$D$69</f>
        <v>-0</v>
      </c>
    </row>
    <row r="61" customFormat="false" ht="15" hidden="false" customHeight="false" outlineLevel="0" collapsed="false">
      <c r="A61" s="0" t="str">
        <f aca="false">Inputs!$E$14</f>
        <v>6m</v>
      </c>
      <c r="B61" s="0" t="n">
        <f aca="false">SUMIFS(Sensitivities!$I$5:$I$100,Sensitivities!$B$5:$B$100,"Risk_IRCurve",Sensitivities!$C$5:$C$100,$B$48,Sensitivities!$E$5:$E$100,$A61)</f>
        <v>-1487.70645782506</v>
      </c>
      <c r="C61" s="0" t="n">
        <f aca="false">INDEX(Parameters!$G$5:$G$689,MATCH(Inputs!$B$4&amp;"|IR|"&amp;"delta_rw"&amp;"|"&amp;$B$49&amp;"|"&amp;$A61,Parameters!$A$5:$A$689,0))</f>
        <v>69</v>
      </c>
      <c r="D61" s="0" t="n">
        <f aca="false">C61*B61*$B$53</f>
        <v>-102651.745589929</v>
      </c>
      <c r="E61" s="0" t="n">
        <f aca="false">SIMM_Delta!$B$11*$D$61*$D$58</f>
        <v>-0</v>
      </c>
      <c r="F61" s="0" t="n">
        <f aca="false">SIMM_Delta!$C$11*$D$61*$D$59</f>
        <v>-0</v>
      </c>
      <c r="G61" s="0" t="n">
        <f aca="false">SIMM_Delta!$D$11*$D$61*$D$60</f>
        <v>5001995404.25122</v>
      </c>
      <c r="H61" s="0" t="n">
        <f aca="false">SIMM_Delta!$E$11*$D$61*$D$61</f>
        <v>10537380872.6595</v>
      </c>
      <c r="I61" s="0" t="n">
        <f aca="false">SIMM_Delta!$F$11*$D$61*$D$62</f>
        <v>17575794.717481</v>
      </c>
      <c r="J61" s="0" t="n">
        <f aca="false">SIMM_Delta!$G$11*$D$61*$D$63</f>
        <v>30640815.7349771</v>
      </c>
      <c r="K61" s="0" t="n">
        <f aca="false">SIMM_Delta!$H$11*$D$61*$D$64</f>
        <v>-14864532599.9007</v>
      </c>
      <c r="L61" s="0" t="n">
        <f aca="false">SIMM_Delta!$I$11*$D$61*$D$65</f>
        <v>-72334742764.6352</v>
      </c>
      <c r="M61" s="0" t="n">
        <f aca="false">SIMM_Delta!$J$11*$D$61*$D$66</f>
        <v>84600086216.6066</v>
      </c>
      <c r="N61" s="0" t="n">
        <f aca="false">SIMM_Delta!$K$11*$D$61*$D$67</f>
        <v>48337925486.5946</v>
      </c>
      <c r="O61" s="0" t="n">
        <f aca="false">SIMM_Delta!$L$11*$D$61*$D$68</f>
        <v>-0</v>
      </c>
      <c r="P61" s="0" t="n">
        <f aca="false">SIMM_Delta!$M$11*$D$61*$D$69</f>
        <v>-0</v>
      </c>
    </row>
    <row r="62" customFormat="false" ht="15" hidden="false" customHeight="false" outlineLevel="0" collapsed="false">
      <c r="A62" s="0" t="str">
        <f aca="false">Inputs!$F$14</f>
        <v>1y</v>
      </c>
      <c r="B62" s="0" t="n">
        <f aca="false">SUMIFS(Sensitivities!$I$5:$I$100,Sensitivities!$B$5:$B$100,"Risk_IRCurve",Sensitivities!$C$5:$C$100,$B$48,Sensitivities!$E$5:$E$100,$A62)</f>
        <v>-2.92779907046148</v>
      </c>
      <c r="C62" s="0" t="n">
        <f aca="false">INDEX(Parameters!$G$5:$G$689,MATCH(Inputs!$B$4&amp;"|IR|"&amp;"delta_rw"&amp;"|"&amp;$B$49&amp;"|"&amp;$A62,Parameters!$A$5:$A$689,0))</f>
        <v>68</v>
      </c>
      <c r="D62" s="0" t="n">
        <f aca="false">C62*B62*$B$53</f>
        <v>-199.090336791381</v>
      </c>
      <c r="E62" s="0" t="n">
        <f aca="false">SIMM_Delta!$B$12*$D$62*$D$58</f>
        <v>-0</v>
      </c>
      <c r="F62" s="0" t="n">
        <f aca="false">SIMM_Delta!$C$12*$D$62*$D$59</f>
        <v>-0</v>
      </c>
      <c r="G62" s="0" t="n">
        <f aca="false">SIMM_Delta!$D$12*$D$62*$D$60</f>
        <v>7437615.31138779</v>
      </c>
      <c r="H62" s="0" t="n">
        <f aca="false">SIMM_Delta!$E$12*$D$62*$D$61</f>
        <v>17575794.717481</v>
      </c>
      <c r="I62" s="0" t="n">
        <f aca="false">SIMM_Delta!$F$12*$D$62*$D$62</f>
        <v>39636.9622037053</v>
      </c>
      <c r="J62" s="0" t="n">
        <f aca="false">SIMM_Delta!$G$12*$D$62*$D$63</f>
        <v>76522.5015665945</v>
      </c>
      <c r="K62" s="0" t="n">
        <f aca="false">SIMM_Delta!$H$12*$D$62*$D$64</f>
        <v>-38586998.3177881</v>
      </c>
      <c r="L62" s="0" t="n">
        <f aca="false">SIMM_Delta!$I$12*$D$62*$D$65</f>
        <v>-195924076.795527</v>
      </c>
      <c r="M62" s="0" t="n">
        <f aca="false">SIMM_Delta!$J$12*$D$62*$D$66</f>
        <v>230342546.862875</v>
      </c>
      <c r="N62" s="0" t="n">
        <f aca="false">SIMM_Delta!$K$12*$D$62*$D$67</f>
        <v>137633160.580759</v>
      </c>
      <c r="O62" s="0" t="n">
        <f aca="false">SIMM_Delta!$L$12*$D$62*$D$68</f>
        <v>-0</v>
      </c>
      <c r="P62" s="0" t="n">
        <f aca="false">SIMM_Delta!$M$12*$D$62*$D$69</f>
        <v>-0</v>
      </c>
    </row>
    <row r="63" customFormat="false" ht="15" hidden="false" customHeight="false" outlineLevel="0" collapsed="false">
      <c r="A63" s="0" t="str">
        <f aca="false">Inputs!$G$14</f>
        <v>2y</v>
      </c>
      <c r="B63" s="0" t="n">
        <f aca="false">SUMIFS(Sensitivities!$I$5:$I$100,Sensitivities!$B$5:$B$100,"Risk_IRCurve",Sensitivities!$C$5:$C$100,$B$48,Sensitivities!$E$5:$E$100,$A63)</f>
        <v>-5.92600526949138</v>
      </c>
      <c r="C63" s="0" t="n">
        <f aca="false">INDEX(Parameters!$G$5:$G$689,MATCH(Inputs!$B$4&amp;"|IR|"&amp;"delta_rw"&amp;"|"&amp;$B$49&amp;"|"&amp;$A63,Parameters!$A$5:$A$689,0))</f>
        <v>69</v>
      </c>
      <c r="D63" s="0" t="n">
        <f aca="false">C63*B63*$B$53</f>
        <v>-408.894363594905</v>
      </c>
      <c r="E63" s="0" t="n">
        <f aca="false">SIMM_Delta!$B$13*$D$63*$D$58</f>
        <v>-0</v>
      </c>
      <c r="F63" s="0" t="n">
        <f aca="false">SIMM_Delta!$C$13*$D$63*$D$59</f>
        <v>-0</v>
      </c>
      <c r="G63" s="0" t="n">
        <f aca="false">SIMM_Delta!$D$13*$D$63*$D$60</f>
        <v>11733334.0061487</v>
      </c>
      <c r="H63" s="0" t="n">
        <f aca="false">SIMM_Delta!$E$13*$D$63*$D$61</f>
        <v>30640815.7349771</v>
      </c>
      <c r="I63" s="0" t="n">
        <f aca="false">SIMM_Delta!$F$13*$D$63*$D$62</f>
        <v>76522.5015665945</v>
      </c>
      <c r="J63" s="0" t="n">
        <f aca="false">SIMM_Delta!$G$13*$D$63*$D$63</f>
        <v>167194.600579683</v>
      </c>
      <c r="K63" s="0" t="n">
        <f aca="false">SIMM_Delta!$H$13*$D$63*$D$64</f>
        <v>-88359738.2251862</v>
      </c>
      <c r="L63" s="0" t="n">
        <f aca="false">SIMM_Delta!$I$13*$D$63*$D$65</f>
        <v>-457037210.40904</v>
      </c>
      <c r="M63" s="0" t="n">
        <f aca="false">SIMM_Delta!$J$13*$D$63*$D$66</f>
        <v>557327789.454529</v>
      </c>
      <c r="N63" s="0" t="n">
        <f aca="false">SIMM_Delta!$K$13*$D$63*$D$67</f>
        <v>335929998.091592</v>
      </c>
      <c r="O63" s="0" t="n">
        <f aca="false">SIMM_Delta!$L$13*$D$63*$D$68</f>
        <v>-0</v>
      </c>
      <c r="P63" s="0" t="n">
        <f aca="false">SIMM_Delta!$M$13*$D$63*$D$69</f>
        <v>-0</v>
      </c>
    </row>
    <row r="64" customFormat="false" ht="15" hidden="false" customHeight="false" outlineLevel="0" collapsed="false">
      <c r="A64" s="0" t="str">
        <f aca="false">Inputs!$H$14</f>
        <v>3y</v>
      </c>
      <c r="B64" s="0" t="n">
        <f aca="false">SUMIFS(Sensitivities!$I$5:$I$100,Sensitivities!$B$5:$B$100,"Risk_IRCurve",Sensitivities!$C$5:$C$100,$B$48,Sensitivities!$E$5:$E$100,$A64)</f>
        <v>3375.41850267649</v>
      </c>
      <c r="C64" s="0" t="n">
        <f aca="false">INDEX(Parameters!$G$5:$G$689,MATCH(Inputs!$B$4&amp;"|IR|"&amp;"delta_rw"&amp;"|"&amp;$B$49&amp;"|"&amp;$A64,Parameters!$A$5:$A$689,0))</f>
        <v>66</v>
      </c>
      <c r="D64" s="0" t="n">
        <f aca="false">C64*B64*$B$53</f>
        <v>222777.621176648</v>
      </c>
      <c r="E64" s="0" t="n">
        <f aca="false">SIMM_Delta!$B$14*$D$64*$D$58</f>
        <v>0</v>
      </c>
      <c r="F64" s="0" t="n">
        <f aca="false">SIMM_Delta!$C$14*$D$64*$D$59</f>
        <v>0</v>
      </c>
      <c r="G64" s="0" t="n">
        <f aca="false">SIMM_Delta!$D$14*$D$64*$D$60</f>
        <v>-5548349802.74718</v>
      </c>
      <c r="H64" s="0" t="n">
        <f aca="false">SIMM_Delta!$E$14*$D$64*$D$61</f>
        <v>-14864532599.9007</v>
      </c>
      <c r="I64" s="0" t="n">
        <f aca="false">SIMM_Delta!$F$14*$D$64*$D$62</f>
        <v>-38586998.3177881</v>
      </c>
      <c r="J64" s="0" t="n">
        <f aca="false">SIMM_Delta!$G$14*$D$64*$D$63</f>
        <v>-88359738.2251862</v>
      </c>
      <c r="K64" s="0" t="n">
        <f aca="false">SIMM_Delta!$H$14*$D$64*$D$64</f>
        <v>49629868497.1263</v>
      </c>
      <c r="L64" s="0" t="n">
        <f aca="false">SIMM_Delta!$I$14*$D$64*$D$65</f>
        <v>262540256597.748</v>
      </c>
      <c r="M64" s="0" t="n">
        <f aca="false">SIMM_Delta!$J$14*$D$64*$D$66</f>
        <v>-321302479934.808</v>
      </c>
      <c r="N64" s="0" t="n">
        <f aca="false">SIMM_Delta!$K$14*$D$64*$D$67</f>
        <v>-194184528948.98</v>
      </c>
      <c r="O64" s="0" t="n">
        <f aca="false">SIMM_Delta!$L$14*$D$64*$D$68</f>
        <v>0</v>
      </c>
      <c r="P64" s="0" t="n">
        <f aca="false">SIMM_Delta!$M$14*$D$64*$D$69</f>
        <v>0</v>
      </c>
    </row>
    <row r="65" customFormat="false" ht="15" hidden="false" customHeight="false" outlineLevel="0" collapsed="false">
      <c r="A65" s="0" t="str">
        <f aca="false">Inputs!$I$14</f>
        <v>5y</v>
      </c>
      <c r="B65" s="0" t="n">
        <f aca="false">SUMIFS(Sensitivities!$I$5:$I$100,Sensitivities!$B$5:$B$100,"Risk_IRCurve",Sensitivities!$C$5:$C$100,$B$48,Sensitivities!$E$5:$E$100,$A65)</f>
        <v>19916.9472832163</v>
      </c>
      <c r="C65" s="0" t="n">
        <f aca="false">INDEX(Parameters!$G$5:$G$689,MATCH(Inputs!$B$4&amp;"|IR|"&amp;"delta_rw"&amp;"|"&amp;$B$49&amp;"|"&amp;$A65,Parameters!$A$5:$A$689,0))</f>
        <v>61</v>
      </c>
      <c r="D65" s="0" t="n">
        <f aca="false">C65*B65*$B$53</f>
        <v>1214933.7842762</v>
      </c>
      <c r="E65" s="0" t="n">
        <f aca="false">SIMM_Delta!$B$15*$D$65*$D$58</f>
        <v>0</v>
      </c>
      <c r="F65" s="0" t="n">
        <f aca="false">SIMM_Delta!$C$15*$D$65*$D$59</f>
        <v>0</v>
      </c>
      <c r="G65" s="0" t="n">
        <f aca="false">SIMM_Delta!$D$15*$D$65*$D$60</f>
        <v>-26311586792.7781</v>
      </c>
      <c r="H65" s="0" t="n">
        <f aca="false">SIMM_Delta!$E$15*$D$65*$D$61</f>
        <v>-72334742764.6352</v>
      </c>
      <c r="I65" s="0" t="n">
        <f aca="false">SIMM_Delta!$F$15*$D$65*$D$62</f>
        <v>-195924076.795527</v>
      </c>
      <c r="J65" s="0" t="n">
        <f aca="false">SIMM_Delta!$G$15*$D$65*$D$63</f>
        <v>-457037210.40904</v>
      </c>
      <c r="K65" s="0" t="n">
        <f aca="false">SIMM_Delta!$H$15*$D$65*$D$64</f>
        <v>262540256597.748</v>
      </c>
      <c r="L65" s="0" t="n">
        <f aca="false">SIMM_Delta!$I$15*$D$65*$D$65</f>
        <v>1476064100175.68</v>
      </c>
      <c r="M65" s="0" t="n">
        <f aca="false">SIMM_Delta!$J$15*$D$65*$D$66</f>
        <v>-1848523452810.24</v>
      </c>
      <c r="N65" s="0" t="n">
        <f aca="false">SIMM_Delta!$K$15*$D$65*$D$67</f>
        <v>-1132033733149.49</v>
      </c>
      <c r="O65" s="0" t="n">
        <f aca="false">SIMM_Delta!$L$15*$D$65*$D$68</f>
        <v>0</v>
      </c>
      <c r="P65" s="0" t="n">
        <f aca="false">SIMM_Delta!$M$15*$D$65*$D$69</f>
        <v>0</v>
      </c>
    </row>
    <row r="66" customFormat="false" ht="15" hidden="false" customHeight="false" outlineLevel="0" collapsed="false">
      <c r="A66" s="0" t="str">
        <f aca="false">Inputs!$J$14</f>
        <v>10y</v>
      </c>
      <c r="B66" s="0" t="n">
        <f aca="false">SUMIFS(Sensitivities!$I$5:$I$100,Sensitivities!$B$5:$B$100,"Risk_IRCurve",Sensitivities!$C$5:$C$100,$B$48,Sensitivities!$E$5:$E$100,$A66)</f>
        <v>-26414.954848632</v>
      </c>
      <c r="C66" s="0" t="n">
        <f aca="false">INDEX(Parameters!$G$5:$G$689,MATCH(Inputs!$B$4&amp;"|IR|"&amp;"delta_rw"&amp;"|"&amp;$B$49&amp;"|"&amp;$A66,Parameters!$A$5:$A$689,0))</f>
        <v>60</v>
      </c>
      <c r="D66" s="0" t="n">
        <f aca="false">C66*B66*$B$53</f>
        <v>-1584897.29091792</v>
      </c>
      <c r="E66" s="0" t="n">
        <f aca="false">SIMM_Delta!$B$16*$D$66*$D$58</f>
        <v>-0</v>
      </c>
      <c r="F66" s="0" t="n">
        <f aca="false">SIMM_Delta!$C$16*$D$66*$D$59</f>
        <v>-0</v>
      </c>
      <c r="G66" s="0" t="n">
        <f aca="false">SIMM_Delta!$D$16*$D$66*$D$60</f>
        <v>29175242875.149</v>
      </c>
      <c r="H66" s="0" t="n">
        <f aca="false">SIMM_Delta!$E$16*$D$66*$D$61</f>
        <v>84600086216.6066</v>
      </c>
      <c r="I66" s="0" t="n">
        <f aca="false">SIMM_Delta!$F$16*$D$66*$D$62</f>
        <v>230342546.862875</v>
      </c>
      <c r="J66" s="0" t="n">
        <f aca="false">SIMM_Delta!$G$16*$D$66*$D$63</f>
        <v>557327789.454529</v>
      </c>
      <c r="K66" s="0" t="n">
        <f aca="false">SIMM_Delta!$H$16*$D$66*$D$64</f>
        <v>-321302479934.808</v>
      </c>
      <c r="L66" s="0" t="n">
        <f aca="false">SIMM_Delta!$I$16*$D$66*$D$65</f>
        <v>-1848523452810.24</v>
      </c>
      <c r="M66" s="0" t="n">
        <f aca="false">SIMM_Delta!$J$16*$D$66*$D$66</f>
        <v>2511899422758.97</v>
      </c>
      <c r="N66" s="0" t="n">
        <f aca="false">SIMM_Delta!$K$16*$D$66*$D$67</f>
        <v>1556148397315.28</v>
      </c>
      <c r="O66" s="0" t="n">
        <f aca="false">SIMM_Delta!$L$16*$D$66*$D$68</f>
        <v>-0</v>
      </c>
      <c r="P66" s="0" t="n">
        <f aca="false">SIMM_Delta!$M$16*$D$66*$D$69</f>
        <v>-0</v>
      </c>
    </row>
    <row r="67" customFormat="false" ht="15" hidden="false" customHeight="false" outlineLevel="0" collapsed="false">
      <c r="A67" s="0" t="str">
        <f aca="false">Inputs!$K$14</f>
        <v>15y</v>
      </c>
      <c r="B67" s="0" t="n">
        <f aca="false">SUMIFS(Sensitivities!$I$5:$I$100,Sensitivities!$B$5:$B$100,"Risk_IRCurve",Sensitivities!$C$5:$C$100,$B$48,Sensitivities!$E$5:$E$100,$A67)</f>
        <v>-17274.1154353101</v>
      </c>
      <c r="C67" s="0" t="n">
        <f aca="false">INDEX(Parameters!$G$5:$G$689,MATCH(Inputs!$B$4&amp;"|IR|"&amp;"delta_rw"&amp;"|"&amp;$B$49&amp;"|"&amp;$A67,Parameters!$A$5:$A$689,0))</f>
        <v>58</v>
      </c>
      <c r="D67" s="0" t="n">
        <f aca="false">C67*B67*$B$53</f>
        <v>-1001898.69524798</v>
      </c>
      <c r="E67" s="0" t="n">
        <f aca="false">SIMM_Delta!$B$17*$D$67*$D$58</f>
        <v>-0</v>
      </c>
      <c r="F67" s="0" t="n">
        <f aca="false">SIMM_Delta!$C$17*$D$67*$D$59</f>
        <v>-0</v>
      </c>
      <c r="G67" s="0" t="n">
        <f aca="false">SIMM_Delta!$D$17*$D$67*$D$60</f>
        <v>14646100678.6251</v>
      </c>
      <c r="H67" s="0" t="n">
        <f aca="false">SIMM_Delta!$E$17*$D$67*$D$61</f>
        <v>48337925486.5946</v>
      </c>
      <c r="I67" s="0" t="n">
        <f aca="false">SIMM_Delta!$F$17*$D$67*$D$62</f>
        <v>137633160.580759</v>
      </c>
      <c r="J67" s="0" t="n">
        <f aca="false">SIMM_Delta!$G$17*$D$67*$D$63</f>
        <v>335929998.091592</v>
      </c>
      <c r="K67" s="0" t="n">
        <f aca="false">SIMM_Delta!$H$17*$D$67*$D$64</f>
        <v>-194184528948.98</v>
      </c>
      <c r="L67" s="0" t="n">
        <f aca="false">SIMM_Delta!$I$17*$D$67*$D$65</f>
        <v>-1132033733149.49</v>
      </c>
      <c r="M67" s="0" t="n">
        <f aca="false">SIMM_Delta!$J$17*$D$67*$D$66</f>
        <v>1556148397315.28</v>
      </c>
      <c r="N67" s="0" t="n">
        <f aca="false">SIMM_Delta!$K$17*$D$67*$D$67</f>
        <v>1003800995539.61</v>
      </c>
      <c r="O67" s="0" t="n">
        <f aca="false">SIMM_Delta!$L$17*$D$67*$D$68</f>
        <v>-0</v>
      </c>
      <c r="P67" s="0" t="n">
        <f aca="false">SIMM_Delta!$M$17*$D$67*$D$69</f>
        <v>-0</v>
      </c>
    </row>
    <row r="68" customFormat="false" ht="15" hidden="false" customHeight="false" outlineLevel="0" collapsed="false">
      <c r="A68" s="0" t="str">
        <f aca="false">Inputs!$L$14</f>
        <v>20y</v>
      </c>
      <c r="B68" s="0" t="n">
        <f aca="false">SUMIFS(Sensitivities!$I$5:$I$100,Sensitivities!$B$5:$B$100,"Risk_IRCurve",Sensitivities!$C$5:$C$100,$B$48,Sensitivities!$E$5:$E$100,$A68)</f>
        <v>0</v>
      </c>
      <c r="C68" s="0" t="n">
        <f aca="false">INDEX(Parameters!$G$5:$G$689,MATCH(Inputs!$B$4&amp;"|IR|"&amp;"delta_rw"&amp;"|"&amp;$B$49&amp;"|"&amp;$A68,Parameters!$A$5:$A$689,0))</f>
        <v>58</v>
      </c>
      <c r="D68" s="0" t="n">
        <f aca="false">C68*B68*$B$53</f>
        <v>0</v>
      </c>
      <c r="E68" s="0" t="n">
        <f aca="false">SIMM_Delta!$B$18*$D$68*$D$58</f>
        <v>0</v>
      </c>
      <c r="F68" s="0" t="n">
        <f aca="false">SIMM_Delta!$C$18*$D$68*$D$59</f>
        <v>0</v>
      </c>
      <c r="G68" s="0" t="n">
        <f aca="false">SIMM_Delta!$D$18*$D$68*$D$60</f>
        <v>-0</v>
      </c>
      <c r="H68" s="0" t="n">
        <f aca="false">SIMM_Delta!$E$18*$D$68*$D$61</f>
        <v>-0</v>
      </c>
      <c r="I68" s="0" t="n">
        <f aca="false">SIMM_Delta!$F$18*$D$68*$D$62</f>
        <v>-0</v>
      </c>
      <c r="J68" s="0" t="n">
        <f aca="false">SIMM_Delta!$G$18*$D$68*$D$63</f>
        <v>-0</v>
      </c>
      <c r="K68" s="0" t="n">
        <f aca="false">SIMM_Delta!$H$18*$D$68*$D$64</f>
        <v>0</v>
      </c>
      <c r="L68" s="0" t="n">
        <f aca="false">SIMM_Delta!$I$18*$D$68*$D$65</f>
        <v>0</v>
      </c>
      <c r="M68" s="0" t="n">
        <f aca="false">SIMM_Delta!$J$18*$D$68*$D$66</f>
        <v>-0</v>
      </c>
      <c r="N68" s="0" t="n">
        <f aca="false">SIMM_Delta!$K$18*$D$68*$D$67</f>
        <v>-0</v>
      </c>
      <c r="O68" s="0" t="n">
        <f aca="false">SIMM_Delta!$L$18*$D$68*$D$68</f>
        <v>0</v>
      </c>
      <c r="P68" s="0" t="n">
        <f aca="false">SIMM_Delta!$M$18*$D$68*$D$69</f>
        <v>0</v>
      </c>
    </row>
    <row r="69" customFormat="false" ht="15" hidden="false" customHeight="false" outlineLevel="0" collapsed="false">
      <c r="A69" s="0" t="str">
        <f aca="false">Inputs!$M$14</f>
        <v>30y</v>
      </c>
      <c r="B69" s="0" t="n">
        <f aca="false">SUMIFS(Sensitivities!$I$5:$I$100,Sensitivities!$B$5:$B$100,"Risk_IRCurve",Sensitivities!$C$5:$C$100,$B$48,Sensitivities!$E$5:$E$100,$A69)</f>
        <v>0</v>
      </c>
      <c r="C69" s="0" t="n">
        <f aca="false">INDEX(Parameters!$G$5:$G$689,MATCH(Inputs!$B$4&amp;"|IR|"&amp;"delta_rw"&amp;"|"&amp;$B$49&amp;"|"&amp;$A69,Parameters!$A$5:$A$689,0))</f>
        <v>66</v>
      </c>
      <c r="D69" s="0" t="n">
        <f aca="false">C69*B69*$B$53</f>
        <v>0</v>
      </c>
      <c r="E69" s="0" t="n">
        <f aca="false">SIMM_Delta!$B$19*$D$69*$D$58</f>
        <v>0</v>
      </c>
      <c r="F69" s="0" t="n">
        <f aca="false">SIMM_Delta!$C$19*$D$69*$D$59</f>
        <v>0</v>
      </c>
      <c r="G69" s="0" t="n">
        <f aca="false">SIMM_Delta!$D$19*$D$69*$D$60</f>
        <v>-0</v>
      </c>
      <c r="H69" s="0" t="n">
        <f aca="false">SIMM_Delta!$E$19*$D$69*$D$61</f>
        <v>-0</v>
      </c>
      <c r="I69" s="0" t="n">
        <f aca="false">SIMM_Delta!$F$19*$D$69*$D$62</f>
        <v>-0</v>
      </c>
      <c r="J69" s="0" t="n">
        <f aca="false">SIMM_Delta!$G$19*$D$69*$D$63</f>
        <v>-0</v>
      </c>
      <c r="K69" s="0" t="n">
        <f aca="false">SIMM_Delta!$H$19*$D$69*$D$64</f>
        <v>0</v>
      </c>
      <c r="L69" s="0" t="n">
        <f aca="false">SIMM_Delta!$I$19*$D$69*$D$65</f>
        <v>0</v>
      </c>
      <c r="M69" s="0" t="n">
        <f aca="false">SIMM_Delta!$J$19*$D$69*$D$66</f>
        <v>-0</v>
      </c>
      <c r="N69" s="0" t="n">
        <f aca="false">SIMM_Delta!$K$19*$D$69*$D$67</f>
        <v>-0</v>
      </c>
      <c r="O69" s="0" t="n">
        <f aca="false">SIMM_Delta!$L$19*$D$69*$D$68</f>
        <v>0</v>
      </c>
      <c r="P69" s="0" t="n">
        <f aca="false">SIMM_Delta!$M$19*$D$69*$D$69</f>
        <v>0</v>
      </c>
    </row>
    <row r="73" customFormat="false" ht="15" hidden="false" customHeight="false" outlineLevel="0" collapsed="false">
      <c r="A73" s="1" t="s">
        <v>43</v>
      </c>
      <c r="B73" s="0" t="str">
        <f aca="false">Inputs!$D$13</f>
        <v>GBP</v>
      </c>
    </row>
    <row r="74" customFormat="false" ht="15" hidden="false" customHeight="false" outlineLevel="0" collapsed="false">
      <c r="A74" s="1" t="s">
        <v>411</v>
      </c>
      <c r="B74" s="0" t="str">
        <f aca="false">IF(ISNUMBER(MATCH(Inputs!$B$4&amp;"|IR|rw_group_member|regular|"&amp;$B$73,Parameters!$A$5:$A$689,0)),"regular",IF(ISNUMBER(MATCH(Inputs!$B$4&amp;"|IR|rw_group_member|low|"&amp;$B$73,Parameters!$A$5:$A$689,0)),"low","high"))</f>
        <v>regular</v>
      </c>
    </row>
    <row r="75" customFormat="false" ht="15" hidden="false" customHeight="false" outlineLevel="0" collapsed="false">
      <c r="A75" s="1" t="s">
        <v>412</v>
      </c>
      <c r="B75" s="0" t="str">
        <f aca="false">IF(ISNUMBER(MATCH(Inputs!$B$4&amp;"|IR|ct_group_member|regular_well_traded|"&amp;$B$73,Parameters!$A$5:$A$689,0)),"regular_well_traded",IF(ISNUMBER(MATCH(Inputs!$B$4&amp;"|IR|ct_group_member|regular_less_well_traded|"&amp;$B$73,Parameters!$A$5:$A$689,0)),"regular_less_well_traded",IF(ISNUMBER(MATCH(Inputs!$B$4&amp;"|IR|ct_group_member|low|"&amp;$B$73,Parameters!$A$5:$A$689,0)),"low","high")))</f>
        <v>regular_well_traded</v>
      </c>
    </row>
    <row r="76" customFormat="false" ht="15" hidden="false" customHeight="false" outlineLevel="0" collapsed="false">
      <c r="A76" s="1" t="s">
        <v>413</v>
      </c>
      <c r="B76" s="0" t="n">
        <f aca="false">INDEX(Parameters!$G$5:$G$689,MATCH(Inputs!$B$4&amp;"|IR|"&amp;"delta_ct"&amp;"|"&amp;$B$75&amp;"|"&amp;"",Parameters!$A$5:$A$689,0))</f>
        <v>220</v>
      </c>
    </row>
    <row r="77" customFormat="false" ht="15" hidden="false" customHeight="false" outlineLevel="0" collapsed="false">
      <c r="A77" s="1" t="s">
        <v>414</v>
      </c>
      <c r="B77" s="0" t="n">
        <f aca="false">SUM(B83:B94)</f>
        <v>15696.4441591566</v>
      </c>
    </row>
    <row r="78" customFormat="false" ht="15" hidden="false" customHeight="false" outlineLevel="0" collapsed="false">
      <c r="A78" s="1" t="s">
        <v>415</v>
      </c>
      <c r="B78" s="0" t="n">
        <f aca="false">MAX(1,SQRT(ABS($B$77)/Inputs!$B$9/$B$76))</f>
        <v>1</v>
      </c>
    </row>
    <row r="79" customFormat="false" ht="15" hidden="false" customHeight="false" outlineLevel="0" collapsed="false">
      <c r="A79" s="1" t="s">
        <v>257</v>
      </c>
      <c r="B79" s="0" t="n">
        <f aca="false">SQRT(MAX(0,SUM(E83:P94)))</f>
        <v>971143.530279385</v>
      </c>
    </row>
    <row r="80" customFormat="false" ht="15" hidden="false" customHeight="false" outlineLevel="0" collapsed="false">
      <c r="A80" s="1" t="s">
        <v>416</v>
      </c>
      <c r="B80" s="0" t="n">
        <f aca="false">SUM(D83:D94)</f>
        <v>972785.066461905</v>
      </c>
    </row>
    <row r="81" customFormat="false" ht="15" hidden="false" customHeight="false" outlineLevel="0" collapsed="false">
      <c r="A81" s="1" t="s">
        <v>417</v>
      </c>
      <c r="B81" s="0" t="n">
        <f aca="false">MAX(-$B$79,MIN($B$79,$B$80))</f>
        <v>971143.530279385</v>
      </c>
    </row>
    <row r="82" customFormat="false" ht="15" hidden="false" customHeight="false" outlineLevel="0" collapsed="false">
      <c r="A82" s="1" t="s">
        <v>418</v>
      </c>
      <c r="B82" s="1" t="s">
        <v>419</v>
      </c>
      <c r="C82" s="1" t="s">
        <v>420</v>
      </c>
      <c r="D82" s="1" t="s">
        <v>421</v>
      </c>
      <c r="E82" s="1" t="str">
        <f aca="false">Inputs!$B$14</f>
        <v>2w</v>
      </c>
      <c r="F82" s="1" t="str">
        <f aca="false">Inputs!$C$14</f>
        <v>1m</v>
      </c>
      <c r="G82" s="1" t="str">
        <f aca="false">Inputs!$D$14</f>
        <v>3m</v>
      </c>
      <c r="H82" s="1" t="str">
        <f aca="false">Inputs!$E$14</f>
        <v>6m</v>
      </c>
      <c r="I82" s="1" t="str">
        <f aca="false">Inputs!$F$14</f>
        <v>1y</v>
      </c>
      <c r="J82" s="1" t="str">
        <f aca="false">Inputs!$G$14</f>
        <v>2y</v>
      </c>
      <c r="K82" s="1" t="str">
        <f aca="false">Inputs!$H$14</f>
        <v>3y</v>
      </c>
      <c r="L82" s="1" t="str">
        <f aca="false">Inputs!$I$14</f>
        <v>5y</v>
      </c>
      <c r="M82" s="1" t="str">
        <f aca="false">Inputs!$J$14</f>
        <v>10y</v>
      </c>
      <c r="N82" s="1" t="str">
        <f aca="false">Inputs!$K$14</f>
        <v>15y</v>
      </c>
      <c r="O82" s="1" t="str">
        <f aca="false">Inputs!$L$14</f>
        <v>20y</v>
      </c>
      <c r="P82" s="1" t="str">
        <f aca="false">Inputs!$M$14</f>
        <v>30y</v>
      </c>
    </row>
    <row r="83" customFormat="false" ht="15" hidden="false" customHeight="false" outlineLevel="0" collapsed="false">
      <c r="A83" s="0" t="str">
        <f aca="false">Inputs!$B$14</f>
        <v>2w</v>
      </c>
      <c r="B83" s="0" t="n">
        <f aca="false">SUMIFS(Sensitivities!$I$5:$I$100,Sensitivities!$B$5:$B$100,"Risk_IRCurve",Sensitivities!$C$5:$C$100,$B$73,Sensitivities!$E$5:$E$100,$A83)</f>
        <v>0</v>
      </c>
      <c r="C83" s="0" t="n">
        <f aca="false">INDEX(Parameters!$G$5:$G$689,MATCH(Inputs!$B$4&amp;"|IR|"&amp;"delta_rw"&amp;"|"&amp;$B$74&amp;"|"&amp;$A83,Parameters!$A$5:$A$689,0))</f>
        <v>107</v>
      </c>
      <c r="D83" s="0" t="n">
        <f aca="false">C83*B83*$B$78</f>
        <v>0</v>
      </c>
      <c r="E83" s="0" t="n">
        <f aca="false">SIMM_Delta!$B$8*$D$83*$D$83</f>
        <v>0</v>
      </c>
      <c r="F83" s="0" t="n">
        <f aca="false">SIMM_Delta!$C$8*$D$83*$D$84</f>
        <v>0</v>
      </c>
      <c r="G83" s="0" t="n">
        <f aca="false">SIMM_Delta!$D$8*$D$83*$D$85</f>
        <v>0</v>
      </c>
      <c r="H83" s="0" t="n">
        <f aca="false">SIMM_Delta!$E$8*$D$83*$D$86</f>
        <v>-0</v>
      </c>
      <c r="I83" s="0" t="n">
        <f aca="false">SIMM_Delta!$F$8*$D$83*$D$87</f>
        <v>0</v>
      </c>
      <c r="J83" s="0" t="n">
        <f aca="false">SIMM_Delta!$G$8*$D$83*$D$88</f>
        <v>-0</v>
      </c>
      <c r="K83" s="0" t="n">
        <f aca="false">SIMM_Delta!$H$8*$D$83*$D$89</f>
        <v>-0</v>
      </c>
      <c r="L83" s="0" t="n">
        <f aca="false">SIMM_Delta!$I$8*$D$83*$D$90</f>
        <v>0</v>
      </c>
      <c r="M83" s="0" t="n">
        <f aca="false">SIMM_Delta!$J$8*$D$83*$D$91</f>
        <v>-0</v>
      </c>
      <c r="N83" s="0" t="n">
        <f aca="false">SIMM_Delta!$K$8*$D$83*$D$92</f>
        <v>0</v>
      </c>
      <c r="O83" s="0" t="n">
        <f aca="false">SIMM_Delta!$L$8*$D$83*$D$93</f>
        <v>0</v>
      </c>
      <c r="P83" s="0" t="n">
        <f aca="false">SIMM_Delta!$M$8*$D$83*$D$94</f>
        <v>0</v>
      </c>
    </row>
    <row r="84" customFormat="false" ht="15" hidden="false" customHeight="false" outlineLevel="0" collapsed="false">
      <c r="A84" s="0" t="str">
        <f aca="false">Inputs!$C$14</f>
        <v>1m</v>
      </c>
      <c r="B84" s="0" t="n">
        <f aca="false">SUMIFS(Sensitivities!$I$5:$I$100,Sensitivities!$B$5:$B$100,"Risk_IRCurve",Sensitivities!$C$5:$C$100,$B$73,Sensitivities!$E$5:$E$100,$A84)</f>
        <v>0</v>
      </c>
      <c r="C84" s="0" t="n">
        <f aca="false">INDEX(Parameters!$G$5:$G$689,MATCH(Inputs!$B$4&amp;"|IR|"&amp;"delta_rw"&amp;"|"&amp;$B$74&amp;"|"&amp;$A84,Parameters!$A$5:$A$689,0))</f>
        <v>101</v>
      </c>
      <c r="D84" s="0" t="n">
        <f aca="false">C84*B84*$B$78</f>
        <v>0</v>
      </c>
      <c r="E84" s="0" t="n">
        <f aca="false">SIMM_Delta!$B$9*$D$84*$D$83</f>
        <v>0</v>
      </c>
      <c r="F84" s="0" t="n">
        <f aca="false">SIMM_Delta!$C$9*$D$84*$D$84</f>
        <v>0</v>
      </c>
      <c r="G84" s="0" t="n">
        <f aca="false">SIMM_Delta!$D$9*$D$84*$D$85</f>
        <v>0</v>
      </c>
      <c r="H84" s="0" t="n">
        <f aca="false">SIMM_Delta!$E$9*$D$84*$D$86</f>
        <v>-0</v>
      </c>
      <c r="I84" s="0" t="n">
        <f aca="false">SIMM_Delta!$F$9*$D$84*$D$87</f>
        <v>0</v>
      </c>
      <c r="J84" s="0" t="n">
        <f aca="false">SIMM_Delta!$G$9*$D$84*$D$88</f>
        <v>-0</v>
      </c>
      <c r="K84" s="0" t="n">
        <f aca="false">SIMM_Delta!$H$9*$D$84*$D$89</f>
        <v>-0</v>
      </c>
      <c r="L84" s="0" t="n">
        <f aca="false">SIMM_Delta!$I$9*$D$84*$D$90</f>
        <v>0</v>
      </c>
      <c r="M84" s="0" t="n">
        <f aca="false">SIMM_Delta!$J$9*$D$84*$D$91</f>
        <v>-0</v>
      </c>
      <c r="N84" s="0" t="n">
        <f aca="false">SIMM_Delta!$K$9*$D$84*$D$92</f>
        <v>0</v>
      </c>
      <c r="O84" s="0" t="n">
        <f aca="false">SIMM_Delta!$L$9*$D$84*$D$93</f>
        <v>0</v>
      </c>
      <c r="P84" s="0" t="n">
        <f aca="false">SIMM_Delta!$M$9*$D$84*$D$94</f>
        <v>0</v>
      </c>
    </row>
    <row r="85" customFormat="false" ht="15" hidden="false" customHeight="false" outlineLevel="0" collapsed="false">
      <c r="A85" s="0" t="str">
        <f aca="false">Inputs!$D$14</f>
        <v>3m</v>
      </c>
      <c r="B85" s="0" t="n">
        <f aca="false">SUMIFS(Sensitivities!$I$5:$I$100,Sensitivities!$B$5:$B$100,"Risk_IRCurve",Sensitivities!$C$5:$C$100,$B$73,Sensitivities!$E$5:$E$100,$A85)</f>
        <v>0</v>
      </c>
      <c r="C85" s="0" t="n">
        <f aca="false">INDEX(Parameters!$G$5:$G$689,MATCH(Inputs!$B$4&amp;"|IR|"&amp;"delta_rw"&amp;"|"&amp;$B$74&amp;"|"&amp;$A85,Parameters!$A$5:$A$689,0))</f>
        <v>90</v>
      </c>
      <c r="D85" s="0" t="n">
        <f aca="false">C85*B85*$B$78</f>
        <v>0</v>
      </c>
      <c r="E85" s="0" t="n">
        <f aca="false">SIMM_Delta!$B$10*$D$85*$D$83</f>
        <v>0</v>
      </c>
      <c r="F85" s="0" t="n">
        <f aca="false">SIMM_Delta!$C$10*$D$85*$D$84</f>
        <v>0</v>
      </c>
      <c r="G85" s="0" t="n">
        <f aca="false">SIMM_Delta!$D$10*$D$85*$D$85</f>
        <v>0</v>
      </c>
      <c r="H85" s="0" t="n">
        <f aca="false">SIMM_Delta!$E$10*$D$85*$D$86</f>
        <v>-0</v>
      </c>
      <c r="I85" s="0" t="n">
        <f aca="false">SIMM_Delta!$F$10*$D$85*$D$87</f>
        <v>0</v>
      </c>
      <c r="J85" s="0" t="n">
        <f aca="false">SIMM_Delta!$G$10*$D$85*$D$88</f>
        <v>-0</v>
      </c>
      <c r="K85" s="0" t="n">
        <f aca="false">SIMM_Delta!$H$10*$D$85*$D$89</f>
        <v>-0</v>
      </c>
      <c r="L85" s="0" t="n">
        <f aca="false">SIMM_Delta!$I$10*$D$85*$D$90</f>
        <v>0</v>
      </c>
      <c r="M85" s="0" t="n">
        <f aca="false">SIMM_Delta!$J$10*$D$85*$D$91</f>
        <v>-0</v>
      </c>
      <c r="N85" s="0" t="n">
        <f aca="false">SIMM_Delta!$K$10*$D$85*$D$92</f>
        <v>0</v>
      </c>
      <c r="O85" s="0" t="n">
        <f aca="false">SIMM_Delta!$L$10*$D$85*$D$93</f>
        <v>0</v>
      </c>
      <c r="P85" s="0" t="n">
        <f aca="false">SIMM_Delta!$M$10*$D$85*$D$94</f>
        <v>0</v>
      </c>
    </row>
    <row r="86" customFormat="false" ht="15" hidden="false" customHeight="false" outlineLevel="0" collapsed="false">
      <c r="A86" s="0" t="str">
        <f aca="false">Inputs!$E$14</f>
        <v>6m</v>
      </c>
      <c r="B86" s="0" t="n">
        <f aca="false">SUMIFS(Sensitivities!$I$5:$I$100,Sensitivities!$B$5:$B$100,"Risk_IRCurve",Sensitivities!$C$5:$C$100,$B$73,Sensitivities!$E$5:$E$100,$A86)</f>
        <v>-104.837085292563</v>
      </c>
      <c r="C86" s="0" t="n">
        <f aca="false">INDEX(Parameters!$G$5:$G$689,MATCH(Inputs!$B$4&amp;"|IR|"&amp;"delta_rw"&amp;"|"&amp;$B$74&amp;"|"&amp;$A86,Parameters!$A$5:$A$689,0))</f>
        <v>69</v>
      </c>
      <c r="D86" s="0" t="n">
        <f aca="false">C86*B86*$B$78</f>
        <v>-7233.75888518688</v>
      </c>
      <c r="E86" s="0" t="n">
        <f aca="false">SIMM_Delta!$B$11*$D$86*$D$83</f>
        <v>-0</v>
      </c>
      <c r="F86" s="0" t="n">
        <f aca="false">SIMM_Delta!$C$11*$D$86*$D$84</f>
        <v>-0</v>
      </c>
      <c r="G86" s="0" t="n">
        <f aca="false">SIMM_Delta!$D$11*$D$86*$D$85</f>
        <v>-0</v>
      </c>
      <c r="H86" s="0" t="n">
        <f aca="false">SIMM_Delta!$E$11*$D$86*$D$86</f>
        <v>52327267.6090201</v>
      </c>
      <c r="I86" s="0" t="n">
        <f aca="false">SIMM_Delta!$F$11*$D$86*$D$87</f>
        <v>-743899544.282834</v>
      </c>
      <c r="J86" s="0" t="n">
        <f aca="false">SIMM_Delta!$G$11*$D$86*$D$88</f>
        <v>13166464.6078037</v>
      </c>
      <c r="K86" s="0" t="n">
        <f aca="false">SIMM_Delta!$H$11*$D$86*$D$89</f>
        <v>28877830.4682625</v>
      </c>
      <c r="L86" s="0" t="n">
        <f aca="false">SIMM_Delta!$I$11*$D$86*$D$90</f>
        <v>-4800610947.20016</v>
      </c>
      <c r="M86" s="0" t="n">
        <f aca="false">SIMM_Delta!$J$11*$D$86*$D$91</f>
        <v>1034920289.73919</v>
      </c>
      <c r="N86" s="0" t="n">
        <f aca="false">SIMM_Delta!$K$11*$D$86*$D$92</f>
        <v>-0</v>
      </c>
      <c r="O86" s="0" t="n">
        <f aca="false">SIMM_Delta!$L$11*$D$86*$D$93</f>
        <v>-0</v>
      </c>
      <c r="P86" s="0" t="n">
        <f aca="false">SIMM_Delta!$M$11*$D$86*$D$94</f>
        <v>-0</v>
      </c>
    </row>
    <row r="87" customFormat="false" ht="15" hidden="false" customHeight="false" outlineLevel="0" collapsed="false">
      <c r="A87" s="0" t="str">
        <f aca="false">Inputs!$F$14</f>
        <v>1y</v>
      </c>
      <c r="B87" s="0" t="n">
        <f aca="false">SUMIFS(Sensitivities!$I$5:$I$100,Sensitivities!$B$5:$B$100,"Risk_IRCurve",Sensitivities!$C$5:$C$100,$B$73,Sensitivities!$E$5:$E$100,$A87)</f>
        <v>1758.50213485023</v>
      </c>
      <c r="C87" s="0" t="n">
        <f aca="false">INDEX(Parameters!$G$5:$G$689,MATCH(Inputs!$B$4&amp;"|IR|"&amp;"delta_rw"&amp;"|"&amp;$B$74&amp;"|"&amp;$A87,Parameters!$A$5:$A$689,0))</f>
        <v>68</v>
      </c>
      <c r="D87" s="0" t="n">
        <f aca="false">C87*B87*$B$78</f>
        <v>119578.145169815</v>
      </c>
      <c r="E87" s="0" t="n">
        <f aca="false">SIMM_Delta!$B$12*$D$87*$D$83</f>
        <v>0</v>
      </c>
      <c r="F87" s="0" t="n">
        <f aca="false">SIMM_Delta!$C$12*$D$87*$D$84</f>
        <v>0</v>
      </c>
      <c r="G87" s="0" t="n">
        <f aca="false">SIMM_Delta!$D$12*$D$87*$D$85</f>
        <v>0</v>
      </c>
      <c r="H87" s="0" t="n">
        <f aca="false">SIMM_Delta!$E$12*$D$87*$D$86</f>
        <v>-743899544.282834</v>
      </c>
      <c r="I87" s="0" t="n">
        <f aca="false">SIMM_Delta!$F$12*$D$87*$D$87</f>
        <v>14298932802.2534</v>
      </c>
      <c r="J87" s="0" t="n">
        <f aca="false">SIMM_Delta!$G$12*$D$87*$D$88</f>
        <v>-280260539.271701</v>
      </c>
      <c r="K87" s="0" t="n">
        <f aca="false">SIMM_Delta!$H$12*$D$87*$D$89</f>
        <v>-638937300.062566</v>
      </c>
      <c r="L87" s="0" t="n">
        <f aca="false">SIMM_Delta!$I$12*$D$87*$D$90</f>
        <v>110825913633.953</v>
      </c>
      <c r="M87" s="0" t="n">
        <f aca="false">SIMM_Delta!$J$12*$D$87*$D$91</f>
        <v>-24016748028.5494</v>
      </c>
      <c r="N87" s="0" t="n">
        <f aca="false">SIMM_Delta!$K$12*$D$87*$D$92</f>
        <v>0</v>
      </c>
      <c r="O87" s="0" t="n">
        <f aca="false">SIMM_Delta!$L$12*$D$87*$D$93</f>
        <v>0</v>
      </c>
      <c r="P87" s="0" t="n">
        <f aca="false">SIMM_Delta!$M$12*$D$87*$D$94</f>
        <v>0</v>
      </c>
    </row>
    <row r="88" customFormat="false" ht="15" hidden="false" customHeight="false" outlineLevel="0" collapsed="false">
      <c r="A88" s="0" t="str">
        <f aca="false">Inputs!$G$14</f>
        <v>2y</v>
      </c>
      <c r="B88" s="0" t="n">
        <f aca="false">SUMIFS(Sensitivities!$I$5:$I$100,Sensitivities!$B$5:$B$100,"Risk_IRCurve",Sensitivities!$C$5:$C$100,$B$73,Sensitivities!$E$5:$E$100,$A88)</f>
        <v>-36.1354274494717</v>
      </c>
      <c r="C88" s="0" t="n">
        <f aca="false">INDEX(Parameters!$G$5:$G$689,MATCH(Inputs!$B$4&amp;"|IR|"&amp;"delta_rw"&amp;"|"&amp;$B$74&amp;"|"&amp;$A88,Parameters!$A$5:$A$689,0))</f>
        <v>69</v>
      </c>
      <c r="D88" s="0" t="n">
        <f aca="false">C88*B88*$B$78</f>
        <v>-2493.34449401354</v>
      </c>
      <c r="E88" s="0" t="n">
        <f aca="false">SIMM_Delta!$B$13*$D$88*$D$83</f>
        <v>-0</v>
      </c>
      <c r="F88" s="0" t="n">
        <f aca="false">SIMM_Delta!$C$13*$D$88*$D$84</f>
        <v>-0</v>
      </c>
      <c r="G88" s="0" t="n">
        <f aca="false">SIMM_Delta!$D$13*$D$88*$D$85</f>
        <v>-0</v>
      </c>
      <c r="H88" s="0" t="n">
        <f aca="false">SIMM_Delta!$E$13*$D$88*$D$86</f>
        <v>13166464.6078037</v>
      </c>
      <c r="I88" s="0" t="n">
        <f aca="false">SIMM_Delta!$F$13*$D$88*$D$87</f>
        <v>-280260539.271701</v>
      </c>
      <c r="J88" s="0" t="n">
        <f aca="false">SIMM_Delta!$G$13*$D$88*$D$88</f>
        <v>6216766.76582766</v>
      </c>
      <c r="K88" s="0" t="n">
        <f aca="false">SIMM_Delta!$H$13*$D$88*$D$89</f>
        <v>14853924.0307334</v>
      </c>
      <c r="L88" s="0" t="n">
        <f aca="false">SIMM_Delta!$I$13*$D$88*$D$90</f>
        <v>-2624669371.24501</v>
      </c>
      <c r="M88" s="0" t="n">
        <f aca="false">SIMM_Delta!$J$13*$D$88*$D$91</f>
        <v>589956876.161438</v>
      </c>
      <c r="N88" s="0" t="n">
        <f aca="false">SIMM_Delta!$K$13*$D$88*$D$92</f>
        <v>-0</v>
      </c>
      <c r="O88" s="0" t="n">
        <f aca="false">SIMM_Delta!$L$13*$D$88*$D$93</f>
        <v>-0</v>
      </c>
      <c r="P88" s="0" t="n">
        <f aca="false">SIMM_Delta!$M$13*$D$88*$D$94</f>
        <v>-0</v>
      </c>
    </row>
    <row r="89" customFormat="false" ht="15" hidden="false" customHeight="false" outlineLevel="0" collapsed="false">
      <c r="A89" s="0" t="str">
        <f aca="false">Inputs!$H$14</f>
        <v>3y</v>
      </c>
      <c r="B89" s="0" t="n">
        <f aca="false">SUMIFS(Sensitivities!$I$5:$I$100,Sensitivities!$B$5:$B$100,"Risk_IRCurve",Sensitivities!$C$5:$C$100,$B$73,Sensitivities!$E$5:$E$100,$A89)</f>
        <v>-93.0557559412915</v>
      </c>
      <c r="C89" s="0" t="n">
        <f aca="false">INDEX(Parameters!$G$5:$G$689,MATCH(Inputs!$B$4&amp;"|IR|"&amp;"delta_rw"&amp;"|"&amp;$B$74&amp;"|"&amp;$A89,Parameters!$A$5:$A$689,0))</f>
        <v>66</v>
      </c>
      <c r="D89" s="0" t="n">
        <f aca="false">C89*B89*$B$78</f>
        <v>-6141.67989212524</v>
      </c>
      <c r="E89" s="0" t="n">
        <f aca="false">SIMM_Delta!$B$14*$D$89*$D$83</f>
        <v>-0</v>
      </c>
      <c r="F89" s="0" t="n">
        <f aca="false">SIMM_Delta!$C$14*$D$89*$D$84</f>
        <v>-0</v>
      </c>
      <c r="G89" s="0" t="n">
        <f aca="false">SIMM_Delta!$D$14*$D$89*$D$85</f>
        <v>-0</v>
      </c>
      <c r="H89" s="0" t="n">
        <f aca="false">SIMM_Delta!$E$14*$D$89*$D$86</f>
        <v>28877830.4682625</v>
      </c>
      <c r="I89" s="0" t="n">
        <f aca="false">SIMM_Delta!$F$14*$D$89*$D$87</f>
        <v>-638937300.062566</v>
      </c>
      <c r="J89" s="0" t="n">
        <f aca="false">SIMM_Delta!$G$14*$D$89*$D$88</f>
        <v>14853924.0307334</v>
      </c>
      <c r="K89" s="0" t="n">
        <f aca="false">SIMM_Delta!$H$14*$D$89*$D$89</f>
        <v>37720231.8973355</v>
      </c>
      <c r="L89" s="0" t="n">
        <f aca="false">SIMM_Delta!$I$14*$D$89*$D$90</f>
        <v>-6816530779.27068</v>
      </c>
      <c r="M89" s="0" t="n">
        <f aca="false">SIMM_Delta!$J$14*$D$89*$D$91</f>
        <v>1537687550.83948</v>
      </c>
      <c r="N89" s="0" t="n">
        <f aca="false">SIMM_Delta!$K$14*$D$89*$D$92</f>
        <v>-0</v>
      </c>
      <c r="O89" s="0" t="n">
        <f aca="false">SIMM_Delta!$L$14*$D$89*$D$93</f>
        <v>-0</v>
      </c>
      <c r="P89" s="0" t="n">
        <f aca="false">SIMM_Delta!$M$14*$D$89*$D$94</f>
        <v>-0</v>
      </c>
    </row>
    <row r="90" customFormat="false" ht="15" hidden="false" customHeight="false" outlineLevel="0" collapsed="false">
      <c r="A90" s="0" t="str">
        <f aca="false">Inputs!$I$14</f>
        <v>5y</v>
      </c>
      <c r="B90" s="0" t="n">
        <f aca="false">SUMIFS(Sensitivities!$I$5:$I$100,Sensitivities!$B$5:$B$100,"Risk_IRCurve",Sensitivities!$C$5:$C$100,$B$73,Sensitivities!$E$5:$E$100,$A90)</f>
        <v>18757.4869840355</v>
      </c>
      <c r="C90" s="0" t="n">
        <f aca="false">INDEX(Parameters!$G$5:$G$689,MATCH(Inputs!$B$4&amp;"|IR|"&amp;"delta_rw"&amp;"|"&amp;$B$74&amp;"|"&amp;$A90,Parameters!$A$5:$A$689,0))</f>
        <v>61</v>
      </c>
      <c r="D90" s="0" t="n">
        <f aca="false">C90*B90*$B$78</f>
        <v>1144206.70602616</v>
      </c>
      <c r="E90" s="0" t="n">
        <f aca="false">SIMM_Delta!$B$15*$D$90*$D$83</f>
        <v>0</v>
      </c>
      <c r="F90" s="0" t="n">
        <f aca="false">SIMM_Delta!$C$15*$D$90*$D$84</f>
        <v>0</v>
      </c>
      <c r="G90" s="0" t="n">
        <f aca="false">SIMM_Delta!$D$15*$D$90*$D$85</f>
        <v>0</v>
      </c>
      <c r="H90" s="0" t="n">
        <f aca="false">SIMM_Delta!$E$15*$D$90*$D$86</f>
        <v>-4800610947.20016</v>
      </c>
      <c r="I90" s="0" t="n">
        <f aca="false">SIMM_Delta!$F$15*$D$90*$D$87</f>
        <v>110825913633.953</v>
      </c>
      <c r="J90" s="0" t="n">
        <f aca="false">SIMM_Delta!$G$15*$D$90*$D$88</f>
        <v>-2624669371.24501</v>
      </c>
      <c r="K90" s="0" t="n">
        <f aca="false">SIMM_Delta!$H$15*$D$90*$D$89</f>
        <v>-6816530779.27068</v>
      </c>
      <c r="L90" s="0" t="n">
        <f aca="false">SIMM_Delta!$I$15*$D$90*$D$90</f>
        <v>1309208986115.25</v>
      </c>
      <c r="M90" s="0" t="n">
        <f aca="false">SIMM_Delta!$J$15*$D$90*$D$91</f>
        <v>-302214467432.997</v>
      </c>
      <c r="N90" s="0" t="n">
        <f aca="false">SIMM_Delta!$K$15*$D$90*$D$92</f>
        <v>0</v>
      </c>
      <c r="O90" s="0" t="n">
        <f aca="false">SIMM_Delta!$L$15*$D$90*$D$93</f>
        <v>0</v>
      </c>
      <c r="P90" s="0" t="n">
        <f aca="false">SIMM_Delta!$M$15*$D$90*$D$94</f>
        <v>0</v>
      </c>
    </row>
    <row r="91" customFormat="false" ht="15" hidden="false" customHeight="false" outlineLevel="0" collapsed="false">
      <c r="A91" s="0" t="str">
        <f aca="false">Inputs!$J$14</f>
        <v>10y</v>
      </c>
      <c r="B91" s="0" t="n">
        <f aca="false">SUMIFS(Sensitivities!$I$5:$I$100,Sensitivities!$B$5:$B$100,"Risk_IRCurve",Sensitivities!$C$5:$C$100,$B$73,Sensitivities!$E$5:$E$100,$A91)</f>
        <v>-4585.51669104582</v>
      </c>
      <c r="C91" s="0" t="n">
        <f aca="false">INDEX(Parameters!$G$5:$G$689,MATCH(Inputs!$B$4&amp;"|IR|"&amp;"delta_rw"&amp;"|"&amp;$B$74&amp;"|"&amp;$A91,Parameters!$A$5:$A$689,0))</f>
        <v>60</v>
      </c>
      <c r="D91" s="0" t="n">
        <f aca="false">C91*B91*$B$78</f>
        <v>-275131.001462749</v>
      </c>
      <c r="E91" s="0" t="n">
        <f aca="false">SIMM_Delta!$B$16*$D$91*$D$83</f>
        <v>-0</v>
      </c>
      <c r="F91" s="0" t="n">
        <f aca="false">SIMM_Delta!$C$16*$D$91*$D$84</f>
        <v>-0</v>
      </c>
      <c r="G91" s="0" t="n">
        <f aca="false">SIMM_Delta!$D$16*$D$91*$D$85</f>
        <v>-0</v>
      </c>
      <c r="H91" s="0" t="n">
        <f aca="false">SIMM_Delta!$E$16*$D$91*$D$86</f>
        <v>1034920289.73919</v>
      </c>
      <c r="I91" s="0" t="n">
        <f aca="false">SIMM_Delta!$F$16*$D$91*$D$87</f>
        <v>-24016748028.5494</v>
      </c>
      <c r="J91" s="0" t="n">
        <f aca="false">SIMM_Delta!$G$16*$D$91*$D$88</f>
        <v>589956876.161438</v>
      </c>
      <c r="K91" s="0" t="n">
        <f aca="false">SIMM_Delta!$H$16*$D$91*$D$89</f>
        <v>1537687550.83948</v>
      </c>
      <c r="L91" s="0" t="n">
        <f aca="false">SIMM_Delta!$I$16*$D$91*$D$90</f>
        <v>-302214467432.997</v>
      </c>
      <c r="M91" s="0" t="n">
        <f aca="false">SIMM_Delta!$J$16*$D$91*$D$91</f>
        <v>75697067965.8954</v>
      </c>
      <c r="N91" s="0" t="n">
        <f aca="false">SIMM_Delta!$K$16*$D$91*$D$92</f>
        <v>-0</v>
      </c>
      <c r="O91" s="0" t="n">
        <f aca="false">SIMM_Delta!$L$16*$D$91*$D$93</f>
        <v>-0</v>
      </c>
      <c r="P91" s="0" t="n">
        <f aca="false">SIMM_Delta!$M$16*$D$91*$D$94</f>
        <v>-0</v>
      </c>
    </row>
    <row r="92" customFormat="false" ht="15" hidden="false" customHeight="false" outlineLevel="0" collapsed="false">
      <c r="A92" s="0" t="str">
        <f aca="false">Inputs!$K$14</f>
        <v>15y</v>
      </c>
      <c r="B92" s="0" t="n">
        <f aca="false">SUMIFS(Sensitivities!$I$5:$I$100,Sensitivities!$B$5:$B$100,"Risk_IRCurve",Sensitivities!$C$5:$C$100,$B$73,Sensitivities!$E$5:$E$100,$A92)</f>
        <v>0</v>
      </c>
      <c r="C92" s="0" t="n">
        <f aca="false">INDEX(Parameters!$G$5:$G$689,MATCH(Inputs!$B$4&amp;"|IR|"&amp;"delta_rw"&amp;"|"&amp;$B$74&amp;"|"&amp;$A92,Parameters!$A$5:$A$689,0))</f>
        <v>58</v>
      </c>
      <c r="D92" s="0" t="n">
        <f aca="false">C92*B92*$B$78</f>
        <v>0</v>
      </c>
      <c r="E92" s="0" t="n">
        <f aca="false">SIMM_Delta!$B$17*$D$92*$D$83</f>
        <v>0</v>
      </c>
      <c r="F92" s="0" t="n">
        <f aca="false">SIMM_Delta!$C$17*$D$92*$D$84</f>
        <v>0</v>
      </c>
      <c r="G92" s="0" t="n">
        <f aca="false">SIMM_Delta!$D$17*$D$92*$D$85</f>
        <v>0</v>
      </c>
      <c r="H92" s="0" t="n">
        <f aca="false">SIMM_Delta!$E$17*$D$92*$D$86</f>
        <v>-0</v>
      </c>
      <c r="I92" s="0" t="n">
        <f aca="false">SIMM_Delta!$F$17*$D$92*$D$87</f>
        <v>0</v>
      </c>
      <c r="J92" s="0" t="n">
        <f aca="false">SIMM_Delta!$G$17*$D$92*$D$88</f>
        <v>-0</v>
      </c>
      <c r="K92" s="0" t="n">
        <f aca="false">SIMM_Delta!$H$17*$D$92*$D$89</f>
        <v>-0</v>
      </c>
      <c r="L92" s="0" t="n">
        <f aca="false">SIMM_Delta!$I$17*$D$92*$D$90</f>
        <v>0</v>
      </c>
      <c r="M92" s="0" t="n">
        <f aca="false">SIMM_Delta!$J$17*$D$92*$D$91</f>
        <v>-0</v>
      </c>
      <c r="N92" s="0" t="n">
        <f aca="false">SIMM_Delta!$K$17*$D$92*$D$92</f>
        <v>0</v>
      </c>
      <c r="O92" s="0" t="n">
        <f aca="false">SIMM_Delta!$L$17*$D$92*$D$93</f>
        <v>0</v>
      </c>
      <c r="P92" s="0" t="n">
        <f aca="false">SIMM_Delta!$M$17*$D$92*$D$94</f>
        <v>0</v>
      </c>
    </row>
    <row r="93" customFormat="false" ht="15" hidden="false" customHeight="false" outlineLevel="0" collapsed="false">
      <c r="A93" s="0" t="str">
        <f aca="false">Inputs!$L$14</f>
        <v>20y</v>
      </c>
      <c r="B93" s="0" t="n">
        <f aca="false">SUMIFS(Sensitivities!$I$5:$I$100,Sensitivities!$B$5:$B$100,"Risk_IRCurve",Sensitivities!$C$5:$C$100,$B$73,Sensitivities!$E$5:$E$100,$A93)</f>
        <v>0</v>
      </c>
      <c r="C93" s="0" t="n">
        <f aca="false">INDEX(Parameters!$G$5:$G$689,MATCH(Inputs!$B$4&amp;"|IR|"&amp;"delta_rw"&amp;"|"&amp;$B$74&amp;"|"&amp;$A93,Parameters!$A$5:$A$689,0))</f>
        <v>58</v>
      </c>
      <c r="D93" s="0" t="n">
        <f aca="false">C93*B93*$B$78</f>
        <v>0</v>
      </c>
      <c r="E93" s="0" t="n">
        <f aca="false">SIMM_Delta!$B$18*$D$93*$D$83</f>
        <v>0</v>
      </c>
      <c r="F93" s="0" t="n">
        <f aca="false">SIMM_Delta!$C$18*$D$93*$D$84</f>
        <v>0</v>
      </c>
      <c r="G93" s="0" t="n">
        <f aca="false">SIMM_Delta!$D$18*$D$93*$D$85</f>
        <v>0</v>
      </c>
      <c r="H93" s="0" t="n">
        <f aca="false">SIMM_Delta!$E$18*$D$93*$D$86</f>
        <v>-0</v>
      </c>
      <c r="I93" s="0" t="n">
        <f aca="false">SIMM_Delta!$F$18*$D$93*$D$87</f>
        <v>0</v>
      </c>
      <c r="J93" s="0" t="n">
        <f aca="false">SIMM_Delta!$G$18*$D$93*$D$88</f>
        <v>-0</v>
      </c>
      <c r="K93" s="0" t="n">
        <f aca="false">SIMM_Delta!$H$18*$D$93*$D$89</f>
        <v>-0</v>
      </c>
      <c r="L93" s="0" t="n">
        <f aca="false">SIMM_Delta!$I$18*$D$93*$D$90</f>
        <v>0</v>
      </c>
      <c r="M93" s="0" t="n">
        <f aca="false">SIMM_Delta!$J$18*$D$93*$D$91</f>
        <v>-0</v>
      </c>
      <c r="N93" s="0" t="n">
        <f aca="false">SIMM_Delta!$K$18*$D$93*$D$92</f>
        <v>0</v>
      </c>
      <c r="O93" s="0" t="n">
        <f aca="false">SIMM_Delta!$L$18*$D$93*$D$93</f>
        <v>0</v>
      </c>
      <c r="P93" s="0" t="n">
        <f aca="false">SIMM_Delta!$M$18*$D$93*$D$94</f>
        <v>0</v>
      </c>
    </row>
    <row r="94" customFormat="false" ht="15" hidden="false" customHeight="false" outlineLevel="0" collapsed="false">
      <c r="A94" s="0" t="str">
        <f aca="false">Inputs!$M$14</f>
        <v>30y</v>
      </c>
      <c r="B94" s="0" t="n">
        <f aca="false">SUMIFS(Sensitivities!$I$5:$I$100,Sensitivities!$B$5:$B$100,"Risk_IRCurve",Sensitivities!$C$5:$C$100,$B$73,Sensitivities!$E$5:$E$100,$A94)</f>
        <v>0</v>
      </c>
      <c r="C94" s="0" t="n">
        <f aca="false">INDEX(Parameters!$G$5:$G$689,MATCH(Inputs!$B$4&amp;"|IR|"&amp;"delta_rw"&amp;"|"&amp;$B$74&amp;"|"&amp;$A94,Parameters!$A$5:$A$689,0))</f>
        <v>66</v>
      </c>
      <c r="D94" s="0" t="n">
        <f aca="false">C94*B94*$B$78</f>
        <v>0</v>
      </c>
      <c r="E94" s="0" t="n">
        <f aca="false">SIMM_Delta!$B$19*$D$94*$D$83</f>
        <v>0</v>
      </c>
      <c r="F94" s="0" t="n">
        <f aca="false">SIMM_Delta!$C$19*$D$94*$D$84</f>
        <v>0</v>
      </c>
      <c r="G94" s="0" t="n">
        <f aca="false">SIMM_Delta!$D$19*$D$94*$D$85</f>
        <v>0</v>
      </c>
      <c r="H94" s="0" t="n">
        <f aca="false">SIMM_Delta!$E$19*$D$94*$D$86</f>
        <v>-0</v>
      </c>
      <c r="I94" s="0" t="n">
        <f aca="false">SIMM_Delta!$F$19*$D$94*$D$87</f>
        <v>0</v>
      </c>
      <c r="J94" s="0" t="n">
        <f aca="false">SIMM_Delta!$G$19*$D$94*$D$88</f>
        <v>-0</v>
      </c>
      <c r="K94" s="0" t="n">
        <f aca="false">SIMM_Delta!$H$19*$D$94*$D$89</f>
        <v>-0</v>
      </c>
      <c r="L94" s="0" t="n">
        <f aca="false">SIMM_Delta!$I$19*$D$94*$D$90</f>
        <v>0</v>
      </c>
      <c r="M94" s="0" t="n">
        <f aca="false">SIMM_Delta!$J$19*$D$94*$D$91</f>
        <v>-0</v>
      </c>
      <c r="N94" s="0" t="n">
        <f aca="false">SIMM_Delta!$K$19*$D$94*$D$92</f>
        <v>0</v>
      </c>
      <c r="O94" s="0" t="n">
        <f aca="false">SIMM_Delta!$L$19*$D$94*$D$93</f>
        <v>0</v>
      </c>
      <c r="P94" s="0" t="n">
        <f aca="false">SIMM_Delta!$M$19*$D$94*$D$94</f>
        <v>0</v>
      </c>
    </row>
    <row r="98" customFormat="false" ht="15" hidden="false" customHeight="false" outlineLevel="0" collapsed="false">
      <c r="A98" s="1" t="s">
        <v>43</v>
      </c>
      <c r="B98" s="0" t="str">
        <f aca="false">Inputs!$E$13</f>
        <v>JPY</v>
      </c>
    </row>
    <row r="99" customFormat="false" ht="15" hidden="false" customHeight="false" outlineLevel="0" collapsed="false">
      <c r="A99" s="1" t="s">
        <v>411</v>
      </c>
      <c r="B99" s="0" t="str">
        <f aca="false">IF(ISNUMBER(MATCH(Inputs!$B$4&amp;"|IR|rw_group_member|regular|"&amp;$B$98,Parameters!$A$5:$A$689,0)),"regular",IF(ISNUMBER(MATCH(Inputs!$B$4&amp;"|IR|rw_group_member|low|"&amp;$B$98,Parameters!$A$5:$A$689,0)),"low","high"))</f>
        <v>low</v>
      </c>
    </row>
    <row r="100" customFormat="false" ht="15" hidden="false" customHeight="false" outlineLevel="0" collapsed="false">
      <c r="A100" s="1" t="s">
        <v>412</v>
      </c>
      <c r="B100" s="0" t="str">
        <f aca="false">IF(ISNUMBER(MATCH(Inputs!$B$4&amp;"|IR|ct_group_member|regular_well_traded|"&amp;$B$98,Parameters!$A$5:$A$689,0)),"regular_well_traded",IF(ISNUMBER(MATCH(Inputs!$B$4&amp;"|IR|ct_group_member|regular_less_well_traded|"&amp;$B$98,Parameters!$A$5:$A$689,0)),"regular_less_well_traded",IF(ISNUMBER(MATCH(Inputs!$B$4&amp;"|IR|ct_group_member|low|"&amp;$B$98,Parameters!$A$5:$A$689,0)),"low","high")))</f>
        <v>low</v>
      </c>
    </row>
    <row r="101" customFormat="false" ht="15" hidden="false" customHeight="false" outlineLevel="0" collapsed="false">
      <c r="A101" s="1" t="s">
        <v>413</v>
      </c>
      <c r="B101" s="0" t="n">
        <f aca="false">INDEX(Parameters!$G$5:$G$689,MATCH(Inputs!$B$4&amp;"|IR|"&amp;"delta_ct"&amp;"|"&amp;$B$100&amp;"|"&amp;"",Parameters!$A$5:$A$689,0))</f>
        <v>370</v>
      </c>
    </row>
    <row r="102" customFormat="false" ht="15" hidden="false" customHeight="false" outlineLevel="0" collapsed="false">
      <c r="A102" s="1" t="s">
        <v>414</v>
      </c>
      <c r="B102" s="0" t="n">
        <f aca="false">SUM(B108:B119)</f>
        <v>-23938.4119901455</v>
      </c>
    </row>
    <row r="103" customFormat="false" ht="15" hidden="false" customHeight="false" outlineLevel="0" collapsed="false">
      <c r="A103" s="1" t="s">
        <v>415</v>
      </c>
      <c r="B103" s="0" t="n">
        <f aca="false">MAX(1,SQRT(ABS($B$102)/Inputs!$B$9/$B$101))</f>
        <v>1</v>
      </c>
    </row>
    <row r="104" customFormat="false" ht="15" hidden="false" customHeight="false" outlineLevel="0" collapsed="false">
      <c r="A104" s="1" t="s">
        <v>257</v>
      </c>
      <c r="B104" s="0" t="n">
        <f aca="false">SQRT(MAX(0,SUM(E108:P119)))</f>
        <v>708220.885275296</v>
      </c>
    </row>
    <row r="105" customFormat="false" ht="15" hidden="false" customHeight="false" outlineLevel="0" collapsed="false">
      <c r="A105" s="1" t="s">
        <v>416</v>
      </c>
      <c r="B105" s="0" t="n">
        <f aca="false">SUM(D108:D119)</f>
        <v>-703893.535195773</v>
      </c>
    </row>
    <row r="106" customFormat="false" ht="15" hidden="false" customHeight="false" outlineLevel="0" collapsed="false">
      <c r="A106" s="1" t="s">
        <v>417</v>
      </c>
      <c r="B106" s="0" t="n">
        <f aca="false">MAX(-$B$104,MIN($B$104,$B$105))</f>
        <v>-703893.535195773</v>
      </c>
    </row>
    <row r="107" customFormat="false" ht="15" hidden="false" customHeight="false" outlineLevel="0" collapsed="false">
      <c r="A107" s="1" t="s">
        <v>418</v>
      </c>
      <c r="B107" s="1" t="s">
        <v>419</v>
      </c>
      <c r="C107" s="1" t="s">
        <v>420</v>
      </c>
      <c r="D107" s="1" t="s">
        <v>421</v>
      </c>
      <c r="E107" s="1" t="str">
        <f aca="false">Inputs!$B$14</f>
        <v>2w</v>
      </c>
      <c r="F107" s="1" t="str">
        <f aca="false">Inputs!$C$14</f>
        <v>1m</v>
      </c>
      <c r="G107" s="1" t="str">
        <f aca="false">Inputs!$D$14</f>
        <v>3m</v>
      </c>
      <c r="H107" s="1" t="str">
        <f aca="false">Inputs!$E$14</f>
        <v>6m</v>
      </c>
      <c r="I107" s="1" t="str">
        <f aca="false">Inputs!$F$14</f>
        <v>1y</v>
      </c>
      <c r="J107" s="1" t="str">
        <f aca="false">Inputs!$G$14</f>
        <v>2y</v>
      </c>
      <c r="K107" s="1" t="str">
        <f aca="false">Inputs!$H$14</f>
        <v>3y</v>
      </c>
      <c r="L107" s="1" t="str">
        <f aca="false">Inputs!$I$14</f>
        <v>5y</v>
      </c>
      <c r="M107" s="1" t="str">
        <f aca="false">Inputs!$J$14</f>
        <v>10y</v>
      </c>
      <c r="N107" s="1" t="str">
        <f aca="false">Inputs!$K$14</f>
        <v>15y</v>
      </c>
      <c r="O107" s="1" t="str">
        <f aca="false">Inputs!$L$14</f>
        <v>20y</v>
      </c>
      <c r="P107" s="1" t="str">
        <f aca="false">Inputs!$M$14</f>
        <v>30y</v>
      </c>
    </row>
    <row r="108" customFormat="false" ht="15" hidden="false" customHeight="false" outlineLevel="0" collapsed="false">
      <c r="A108" s="0" t="str">
        <f aca="false">Inputs!$B$14</f>
        <v>2w</v>
      </c>
      <c r="B108" s="0" t="n">
        <f aca="false">SUMIFS(Sensitivities!$I$5:$I$100,Sensitivities!$B$5:$B$100,"Risk_IRCurve",Sensitivities!$C$5:$C$100,$B$98,Sensitivities!$E$5:$E$100,$A108)</f>
        <v>0</v>
      </c>
      <c r="C108" s="0" t="n">
        <f aca="false">INDEX(Parameters!$G$5:$G$689,MATCH(Inputs!$B$4&amp;"|IR|"&amp;"delta_rw"&amp;"|"&amp;$B$99&amp;"|"&amp;$A108,Parameters!$A$5:$A$689,0))</f>
        <v>15</v>
      </c>
      <c r="D108" s="0" t="n">
        <f aca="false">C108*B108*$B$103</f>
        <v>0</v>
      </c>
      <c r="E108" s="0" t="n">
        <f aca="false">SIMM_Delta!$B$8*$D$108*$D$108</f>
        <v>0</v>
      </c>
      <c r="F108" s="0" t="n">
        <f aca="false">SIMM_Delta!$C$8*$D$108*$D$109</f>
        <v>0</v>
      </c>
      <c r="G108" s="0" t="n">
        <f aca="false">SIMM_Delta!$D$8*$D$108*$D$110</f>
        <v>0</v>
      </c>
      <c r="H108" s="0" t="n">
        <f aca="false">SIMM_Delta!$E$8*$D$108*$D$111</f>
        <v>0</v>
      </c>
      <c r="I108" s="0" t="n">
        <f aca="false">SIMM_Delta!$F$8*$D$108*$D$112</f>
        <v>0</v>
      </c>
      <c r="J108" s="0" t="n">
        <f aca="false">SIMM_Delta!$G$8*$D$108*$D$113</f>
        <v>0</v>
      </c>
      <c r="K108" s="0" t="n">
        <f aca="false">SIMM_Delta!$H$8*$D$108*$D$114</f>
        <v>0</v>
      </c>
      <c r="L108" s="0" t="n">
        <f aca="false">SIMM_Delta!$I$8*$D$108*$D$115</f>
        <v>0</v>
      </c>
      <c r="M108" s="0" t="n">
        <f aca="false">SIMM_Delta!$J$8*$D$108*$D$116</f>
        <v>-0</v>
      </c>
      <c r="N108" s="0" t="n">
        <f aca="false">SIMM_Delta!$K$8*$D$108*$D$117</f>
        <v>0</v>
      </c>
      <c r="O108" s="0" t="n">
        <f aca="false">SIMM_Delta!$L$8*$D$108*$D$118</f>
        <v>0</v>
      </c>
      <c r="P108" s="0" t="n">
        <f aca="false">SIMM_Delta!$M$8*$D$108*$D$119</f>
        <v>0</v>
      </c>
    </row>
    <row r="109" customFormat="false" ht="15" hidden="false" customHeight="false" outlineLevel="0" collapsed="false">
      <c r="A109" s="0" t="str">
        <f aca="false">Inputs!$C$14</f>
        <v>1m</v>
      </c>
      <c r="B109" s="0" t="n">
        <f aca="false">SUMIFS(Sensitivities!$I$5:$I$100,Sensitivities!$B$5:$B$100,"Risk_IRCurve",Sensitivities!$C$5:$C$100,$B$98,Sensitivities!$E$5:$E$100,$A109)</f>
        <v>0</v>
      </c>
      <c r="C109" s="0" t="n">
        <f aca="false">INDEX(Parameters!$G$5:$G$689,MATCH(Inputs!$B$4&amp;"|IR|"&amp;"delta_rw"&amp;"|"&amp;$B$99&amp;"|"&amp;$A109,Parameters!$A$5:$A$689,0))</f>
        <v>18</v>
      </c>
      <c r="D109" s="0" t="n">
        <f aca="false">C109*B109*$B$103</f>
        <v>0</v>
      </c>
      <c r="E109" s="0" t="n">
        <f aca="false">SIMM_Delta!$B$9*$D$109*$D$108</f>
        <v>0</v>
      </c>
      <c r="F109" s="0" t="n">
        <f aca="false">SIMM_Delta!$C$9*$D$109*$D$109</f>
        <v>0</v>
      </c>
      <c r="G109" s="0" t="n">
        <f aca="false">SIMM_Delta!$D$9*$D$109*$D$110</f>
        <v>0</v>
      </c>
      <c r="H109" s="0" t="n">
        <f aca="false">SIMM_Delta!$E$9*$D$109*$D$111</f>
        <v>0</v>
      </c>
      <c r="I109" s="0" t="n">
        <f aca="false">SIMM_Delta!$F$9*$D$109*$D$112</f>
        <v>0</v>
      </c>
      <c r="J109" s="0" t="n">
        <f aca="false">SIMM_Delta!$G$9*$D$109*$D$113</f>
        <v>0</v>
      </c>
      <c r="K109" s="0" t="n">
        <f aca="false">SIMM_Delta!$H$9*$D$109*$D$114</f>
        <v>0</v>
      </c>
      <c r="L109" s="0" t="n">
        <f aca="false">SIMM_Delta!$I$9*$D$109*$D$115</f>
        <v>0</v>
      </c>
      <c r="M109" s="0" t="n">
        <f aca="false">SIMM_Delta!$J$9*$D$109*$D$116</f>
        <v>-0</v>
      </c>
      <c r="N109" s="0" t="n">
        <f aca="false">SIMM_Delta!$K$9*$D$109*$D$117</f>
        <v>0</v>
      </c>
      <c r="O109" s="0" t="n">
        <f aca="false">SIMM_Delta!$L$9*$D$109*$D$118</f>
        <v>0</v>
      </c>
      <c r="P109" s="0" t="n">
        <f aca="false">SIMM_Delta!$M$9*$D$109*$D$119</f>
        <v>0</v>
      </c>
    </row>
    <row r="110" customFormat="false" ht="15" hidden="false" customHeight="false" outlineLevel="0" collapsed="false">
      <c r="A110" s="0" t="str">
        <f aca="false">Inputs!$D$14</f>
        <v>3m</v>
      </c>
      <c r="B110" s="0" t="n">
        <f aca="false">SUMIFS(Sensitivities!$I$5:$I$100,Sensitivities!$B$5:$B$100,"Risk_IRCurve",Sensitivities!$C$5:$C$100,$B$98,Sensitivities!$E$5:$E$100,$A110)</f>
        <v>500.030325345236</v>
      </c>
      <c r="C110" s="0" t="n">
        <f aca="false">INDEX(Parameters!$G$5:$G$689,MATCH(Inputs!$B$4&amp;"|IR|"&amp;"delta_rw"&amp;"|"&amp;$B$99&amp;"|"&amp;$A110,Parameters!$A$5:$A$689,0))</f>
        <v>12</v>
      </c>
      <c r="D110" s="0" t="n">
        <f aca="false">C110*B110*$B$103</f>
        <v>6000.36390414283</v>
      </c>
      <c r="E110" s="0" t="n">
        <f aca="false">SIMM_Delta!$B$10*$D$110*$D$108</f>
        <v>0</v>
      </c>
      <c r="F110" s="0" t="n">
        <f aca="false">SIMM_Delta!$C$10*$D$110*$D$109</f>
        <v>0</v>
      </c>
      <c r="G110" s="0" t="n">
        <f aca="false">SIMM_Delta!$D$10*$D$110*$D$110</f>
        <v>36004366.9821401</v>
      </c>
      <c r="H110" s="0" t="n">
        <f aca="false">SIMM_Delta!$E$10*$D$110*$D$111</f>
        <v>0</v>
      </c>
      <c r="I110" s="0" t="n">
        <f aca="false">SIMM_Delta!$F$10*$D$110*$D$112</f>
        <v>498968.680758274</v>
      </c>
      <c r="J110" s="0" t="n">
        <f aca="false">SIMM_Delta!$G$10*$D$110*$D$113</f>
        <v>1076887.37091646</v>
      </c>
      <c r="K110" s="0" t="n">
        <f aca="false">SIMM_Delta!$H$10*$D$110*$D$114</f>
        <v>2575055.93112474</v>
      </c>
      <c r="L110" s="0" t="n">
        <f aca="false">SIMM_Delta!$I$10*$D$110*$D$115</f>
        <v>10413875.2043015</v>
      </c>
      <c r="M110" s="0" t="n">
        <f aca="false">SIMM_Delta!$J$10*$D$110*$D$116</f>
        <v>-1459963185.66299</v>
      </c>
      <c r="N110" s="0" t="n">
        <f aca="false">SIMM_Delta!$K$10*$D$110*$D$117</f>
        <v>0</v>
      </c>
      <c r="O110" s="0" t="n">
        <f aca="false">SIMM_Delta!$L$10*$D$110*$D$118</f>
        <v>0</v>
      </c>
      <c r="P110" s="0" t="n">
        <f aca="false">SIMM_Delta!$M$10*$D$110*$D$119</f>
        <v>0</v>
      </c>
    </row>
    <row r="111" customFormat="false" ht="15" hidden="false" customHeight="false" outlineLevel="0" collapsed="false">
      <c r="A111" s="0" t="str">
        <f aca="false">Inputs!$E$14</f>
        <v>6m</v>
      </c>
      <c r="B111" s="0" t="n">
        <f aca="false">SUMIFS(Sensitivities!$I$5:$I$100,Sensitivities!$B$5:$B$100,"Risk_IRCurve",Sensitivities!$C$5:$C$100,$B$98,Sensitivities!$E$5:$E$100,$A111)</f>
        <v>0</v>
      </c>
      <c r="C111" s="0" t="n">
        <f aca="false">INDEX(Parameters!$G$5:$G$689,MATCH(Inputs!$B$4&amp;"|IR|"&amp;"delta_rw"&amp;"|"&amp;$B$99&amp;"|"&amp;$A111,Parameters!$A$5:$A$689,0))</f>
        <v>11</v>
      </c>
      <c r="D111" s="0" t="n">
        <f aca="false">C111*B111*$B$103</f>
        <v>0</v>
      </c>
      <c r="E111" s="0" t="n">
        <f aca="false">SIMM_Delta!$B$11*$D$111*$D$108</f>
        <v>0</v>
      </c>
      <c r="F111" s="0" t="n">
        <f aca="false">SIMM_Delta!$C$11*$D$111*$D$109</f>
        <v>0</v>
      </c>
      <c r="G111" s="0" t="n">
        <f aca="false">SIMM_Delta!$D$11*$D$111*$D$110</f>
        <v>0</v>
      </c>
      <c r="H111" s="0" t="n">
        <f aca="false">SIMM_Delta!$E$11*$D$111*$D$111</f>
        <v>0</v>
      </c>
      <c r="I111" s="0" t="n">
        <f aca="false">SIMM_Delta!$F$11*$D$111*$D$112</f>
        <v>0</v>
      </c>
      <c r="J111" s="0" t="n">
        <f aca="false">SIMM_Delta!$G$11*$D$111*$D$113</f>
        <v>0</v>
      </c>
      <c r="K111" s="0" t="n">
        <f aca="false">SIMM_Delta!$H$11*$D$111*$D$114</f>
        <v>0</v>
      </c>
      <c r="L111" s="0" t="n">
        <f aca="false">SIMM_Delta!$I$11*$D$111*$D$115</f>
        <v>0</v>
      </c>
      <c r="M111" s="0" t="n">
        <f aca="false">SIMM_Delta!$J$11*$D$111*$D$116</f>
        <v>-0</v>
      </c>
      <c r="N111" s="0" t="n">
        <f aca="false">SIMM_Delta!$K$11*$D$111*$D$117</f>
        <v>0</v>
      </c>
      <c r="O111" s="0" t="n">
        <f aca="false">SIMM_Delta!$L$11*$D$111*$D$118</f>
        <v>0</v>
      </c>
      <c r="P111" s="0" t="n">
        <f aca="false">SIMM_Delta!$M$11*$D$111*$D$119</f>
        <v>0</v>
      </c>
    </row>
    <row r="112" customFormat="false" ht="15" hidden="false" customHeight="false" outlineLevel="0" collapsed="false">
      <c r="A112" s="0" t="str">
        <f aca="false">Inputs!$F$14</f>
        <v>1y</v>
      </c>
      <c r="B112" s="0" t="n">
        <f aca="false">SUMIFS(Sensitivities!$I$5:$I$100,Sensitivities!$B$5:$B$100,"Risk_IRCurve",Sensitivities!$C$5:$C$100,$B$98,Sensitivities!$E$5:$E$100,$A112)</f>
        <v>8.03443510142691</v>
      </c>
      <c r="C112" s="0" t="n">
        <f aca="false">INDEX(Parameters!$G$5:$G$689,MATCH(Inputs!$B$4&amp;"|IR|"&amp;"delta_rw"&amp;"|"&amp;$B$99&amp;"|"&amp;$A112,Parameters!$A$5:$A$689,0))</f>
        <v>15</v>
      </c>
      <c r="D112" s="0" t="n">
        <f aca="false">C112*B112*$B$103</f>
        <v>120.516526521404</v>
      </c>
      <c r="E112" s="0" t="n">
        <f aca="false">SIMM_Delta!$B$12*$D$112*$D$108</f>
        <v>0</v>
      </c>
      <c r="F112" s="0" t="n">
        <f aca="false">SIMM_Delta!$C$12*$D$112*$D$109</f>
        <v>0</v>
      </c>
      <c r="G112" s="0" t="n">
        <f aca="false">SIMM_Delta!$D$12*$D$112*$D$110</f>
        <v>498968.680758274</v>
      </c>
      <c r="H112" s="0" t="n">
        <f aca="false">SIMM_Delta!$E$12*$D$112*$D$111</f>
        <v>0</v>
      </c>
      <c r="I112" s="0" t="n">
        <f aca="false">SIMM_Delta!$F$12*$D$112*$D$112</f>
        <v>14524.2331647842</v>
      </c>
      <c r="J112" s="0" t="n">
        <f aca="false">SIMM_Delta!$G$12*$D$112*$D$113</f>
        <v>38361.1205016677</v>
      </c>
      <c r="K112" s="0" t="n">
        <f aca="false">SIMM_Delta!$H$12*$D$112*$D$114</f>
        <v>97817.6226861142</v>
      </c>
      <c r="L112" s="0" t="n">
        <f aca="false">SIMM_Delta!$I$12*$D$112*$D$115</f>
        <v>423551.683994721</v>
      </c>
      <c r="M112" s="0" t="n">
        <f aca="false">SIMM_Delta!$J$12*$D$112*$D$116</f>
        <v>-62958571.2982071</v>
      </c>
      <c r="N112" s="0" t="n">
        <f aca="false">SIMM_Delta!$K$12*$D$112*$D$117</f>
        <v>0</v>
      </c>
      <c r="O112" s="0" t="n">
        <f aca="false">SIMM_Delta!$L$12*$D$112*$D$118</f>
        <v>0</v>
      </c>
      <c r="P112" s="0" t="n">
        <f aca="false">SIMM_Delta!$M$12*$D$112*$D$119</f>
        <v>0</v>
      </c>
    </row>
    <row r="113" customFormat="false" ht="15" hidden="false" customHeight="false" outlineLevel="0" collapsed="false">
      <c r="A113" s="0" t="str">
        <f aca="false">Inputs!$G$14</f>
        <v>2y</v>
      </c>
      <c r="B113" s="0" t="n">
        <f aca="false">SUMIFS(Sensitivities!$I$5:$I$100,Sensitivities!$B$5:$B$100,"Risk_IRCurve",Sensitivities!$C$5:$C$100,$B$98,Sensitivities!$E$5:$E$100,$A113)</f>
        <v>16.1249185521855</v>
      </c>
      <c r="C113" s="0" t="n">
        <f aca="false">INDEX(Parameters!$G$5:$G$689,MATCH(Inputs!$B$4&amp;"|IR|"&amp;"delta_rw"&amp;"|"&amp;$B$99&amp;"|"&amp;$A113,Parameters!$A$5:$A$689,0))</f>
        <v>21</v>
      </c>
      <c r="D113" s="0" t="n">
        <f aca="false">C113*B113*$B$103</f>
        <v>338.623289595895</v>
      </c>
      <c r="E113" s="0" t="n">
        <f aca="false">SIMM_Delta!$B$13*$D$113*$D$108</f>
        <v>0</v>
      </c>
      <c r="F113" s="0" t="n">
        <f aca="false">SIMM_Delta!$C$13*$D$113*$D$109</f>
        <v>0</v>
      </c>
      <c r="G113" s="0" t="n">
        <f aca="false">SIMM_Delta!$D$13*$D$113*$D$110</f>
        <v>1076887.37091646</v>
      </c>
      <c r="H113" s="0" t="n">
        <f aca="false">SIMM_Delta!$E$13*$D$113*$D$111</f>
        <v>0</v>
      </c>
      <c r="I113" s="0" t="n">
        <f aca="false">SIMM_Delta!$F$13*$D$113*$D$112</f>
        <v>38361.1205016677</v>
      </c>
      <c r="J113" s="0" t="n">
        <f aca="false">SIMM_Delta!$G$13*$D$113*$D$113</f>
        <v>114665.732256746</v>
      </c>
      <c r="K113" s="0" t="n">
        <f aca="false">SIMM_Delta!$H$13*$D$113*$D$114</f>
        <v>306436.013350782</v>
      </c>
      <c r="L113" s="0" t="n">
        <f aca="false">SIMM_Delta!$I$13*$D$113*$D$115</f>
        <v>1351697.27895671</v>
      </c>
      <c r="M113" s="0" t="n">
        <f aca="false">SIMM_Delta!$J$13*$D$113*$D$116</f>
        <v>-208401419.864682</v>
      </c>
      <c r="N113" s="0" t="n">
        <f aca="false">SIMM_Delta!$K$13*$D$113*$D$117</f>
        <v>0</v>
      </c>
      <c r="O113" s="0" t="n">
        <f aca="false">SIMM_Delta!$L$13*$D$113*$D$118</f>
        <v>0</v>
      </c>
      <c r="P113" s="0" t="n">
        <f aca="false">SIMM_Delta!$M$13*$D$113*$D$119</f>
        <v>0</v>
      </c>
    </row>
    <row r="114" customFormat="false" ht="15" hidden="false" customHeight="false" outlineLevel="0" collapsed="false">
      <c r="A114" s="0" t="str">
        <f aca="false">Inputs!$H$14</f>
        <v>3y</v>
      </c>
      <c r="B114" s="0" t="n">
        <f aca="false">SUMIFS(Sensitivities!$I$5:$I$100,Sensitivities!$B$5:$B$100,"Risk_IRCurve",Sensitivities!$C$5:$C$100,$B$98,Sensitivities!$E$5:$E$100,$A114)</f>
        <v>40.5623780982403</v>
      </c>
      <c r="C114" s="0" t="n">
        <f aca="false">INDEX(Parameters!$G$5:$G$689,MATCH(Inputs!$B$4&amp;"|IR|"&amp;"delta_rw"&amp;"|"&amp;$B$99&amp;"|"&amp;$A114,Parameters!$A$5:$A$689,0))</f>
        <v>23</v>
      </c>
      <c r="D114" s="0" t="n">
        <f aca="false">C114*B114*$B$103</f>
        <v>932.934696259528</v>
      </c>
      <c r="E114" s="0" t="n">
        <f aca="false">SIMM_Delta!$B$14*$D$114*$D$108</f>
        <v>0</v>
      </c>
      <c r="F114" s="0" t="n">
        <f aca="false">SIMM_Delta!$C$14*$D$114*$D$109</f>
        <v>0</v>
      </c>
      <c r="G114" s="0" t="n">
        <f aca="false">SIMM_Delta!$D$14*$D$114*$D$110</f>
        <v>2575055.93112474</v>
      </c>
      <c r="H114" s="0" t="n">
        <f aca="false">SIMM_Delta!$E$14*$D$114*$D$111</f>
        <v>0</v>
      </c>
      <c r="I114" s="0" t="n">
        <f aca="false">SIMM_Delta!$F$14*$D$114*$D$112</f>
        <v>97817.6226861142</v>
      </c>
      <c r="J114" s="0" t="n">
        <f aca="false">SIMM_Delta!$G$14*$D$114*$D$113</f>
        <v>306436.013350782</v>
      </c>
      <c r="K114" s="0" t="n">
        <f aca="false">SIMM_Delta!$H$14*$D$114*$D$114</f>
        <v>870367.147484857</v>
      </c>
      <c r="L114" s="0" t="n">
        <f aca="false">SIMM_Delta!$I$14*$D$114*$D$115</f>
        <v>3926429.16585642</v>
      </c>
      <c r="M114" s="0" t="n">
        <f aca="false">SIMM_Delta!$J$14*$D$114*$D$116</f>
        <v>-607544418.267229</v>
      </c>
      <c r="N114" s="0" t="n">
        <f aca="false">SIMM_Delta!$K$14*$D$114*$D$117</f>
        <v>0</v>
      </c>
      <c r="O114" s="0" t="n">
        <f aca="false">SIMM_Delta!$L$14*$D$114*$D$118</f>
        <v>0</v>
      </c>
      <c r="P114" s="0" t="n">
        <f aca="false">SIMM_Delta!$M$14*$D$114*$D$119</f>
        <v>0</v>
      </c>
    </row>
    <row r="115" customFormat="false" ht="15" hidden="false" customHeight="false" outlineLevel="0" collapsed="false">
      <c r="A115" s="0" t="str">
        <f aca="false">Inputs!$I$14</f>
        <v>5y</v>
      </c>
      <c r="B115" s="0" t="n">
        <f aca="false">SUMIFS(Sensitivities!$I$5:$I$100,Sensitivities!$B$5:$B$100,"Risk_IRCurve",Sensitivities!$C$5:$C$100,$B$98,Sensitivities!$E$5:$E$100,$A115)</f>
        <v>173.554060564752</v>
      </c>
      <c r="C115" s="0" t="n">
        <f aca="false">INDEX(Parameters!$G$5:$G$689,MATCH(Inputs!$B$4&amp;"|IR|"&amp;"delta_rw"&amp;"|"&amp;$B$99&amp;"|"&amp;$A115,Parameters!$A$5:$A$689,0))</f>
        <v>25</v>
      </c>
      <c r="D115" s="0" t="n">
        <f aca="false">C115*B115*$B$103</f>
        <v>4338.85151411879</v>
      </c>
      <c r="E115" s="0" t="n">
        <f aca="false">SIMM_Delta!$B$15*$D$115*$D$108</f>
        <v>0</v>
      </c>
      <c r="F115" s="0" t="n">
        <f aca="false">SIMM_Delta!$C$15*$D$115*$D$109</f>
        <v>0</v>
      </c>
      <c r="G115" s="0" t="n">
        <f aca="false">SIMM_Delta!$D$15*$D$115*$D$110</f>
        <v>10413875.2043015</v>
      </c>
      <c r="H115" s="0" t="n">
        <f aca="false">SIMM_Delta!$E$15*$D$115*$D$111</f>
        <v>0</v>
      </c>
      <c r="I115" s="0" t="n">
        <f aca="false">SIMM_Delta!$F$15*$D$115*$D$112</f>
        <v>423551.683994721</v>
      </c>
      <c r="J115" s="0" t="n">
        <f aca="false">SIMM_Delta!$G$15*$D$115*$D$113</f>
        <v>1351697.27895671</v>
      </c>
      <c r="K115" s="0" t="n">
        <f aca="false">SIMM_Delta!$H$15*$D$115*$D$114</f>
        <v>3926429.16585642</v>
      </c>
      <c r="L115" s="0" t="n">
        <f aca="false">SIMM_Delta!$I$15*$D$115*$D$115</f>
        <v>18825632.4615709</v>
      </c>
      <c r="M115" s="0" t="n">
        <f aca="false">SIMM_Delta!$J$15*$D$115*$D$116</f>
        <v>-2980790261.7991</v>
      </c>
      <c r="N115" s="0" t="n">
        <f aca="false">SIMM_Delta!$K$15*$D$115*$D$117</f>
        <v>0</v>
      </c>
      <c r="O115" s="0" t="n">
        <f aca="false">SIMM_Delta!$L$15*$D$115*$D$118</f>
        <v>0</v>
      </c>
      <c r="P115" s="0" t="n">
        <f aca="false">SIMM_Delta!$M$15*$D$115*$D$119</f>
        <v>0</v>
      </c>
    </row>
    <row r="116" customFormat="false" ht="15" hidden="false" customHeight="false" outlineLevel="0" collapsed="false">
      <c r="A116" s="0" t="str">
        <f aca="false">Inputs!$J$14</f>
        <v>10y</v>
      </c>
      <c r="B116" s="0" t="n">
        <f aca="false">SUMIFS(Sensitivities!$I$5:$I$100,Sensitivities!$B$5:$B$100,"Risk_IRCurve",Sensitivities!$C$5:$C$100,$B$98,Sensitivities!$E$5:$E$100,$A116)</f>
        <v>-24676.7181078073</v>
      </c>
      <c r="C116" s="0" t="n">
        <f aca="false">INDEX(Parameters!$G$5:$G$689,MATCH(Inputs!$B$4&amp;"|IR|"&amp;"delta_rw"&amp;"|"&amp;$B$99&amp;"|"&amp;$A116,Parameters!$A$5:$A$689,0))</f>
        <v>29</v>
      </c>
      <c r="D116" s="0" t="n">
        <f aca="false">C116*B116*$B$103</f>
        <v>-715624.825126412</v>
      </c>
      <c r="E116" s="0" t="n">
        <f aca="false">SIMM_Delta!$B$16*$D$116*$D$108</f>
        <v>-0</v>
      </c>
      <c r="F116" s="0" t="n">
        <f aca="false">SIMM_Delta!$C$16*$D$116*$D$109</f>
        <v>-0</v>
      </c>
      <c r="G116" s="0" t="n">
        <f aca="false">SIMM_Delta!$D$16*$D$116*$D$110</f>
        <v>-1459963185.66299</v>
      </c>
      <c r="H116" s="0" t="n">
        <f aca="false">SIMM_Delta!$E$16*$D$116*$D$111</f>
        <v>-0</v>
      </c>
      <c r="I116" s="0" t="n">
        <f aca="false">SIMM_Delta!$F$16*$D$116*$D$112</f>
        <v>-62958571.2982071</v>
      </c>
      <c r="J116" s="0" t="n">
        <f aca="false">SIMM_Delta!$G$16*$D$116*$D$113</f>
        <v>-208401419.864682</v>
      </c>
      <c r="K116" s="0" t="n">
        <f aca="false">SIMM_Delta!$H$16*$D$116*$D$114</f>
        <v>-607544418.267229</v>
      </c>
      <c r="L116" s="0" t="n">
        <f aca="false">SIMM_Delta!$I$16*$D$116*$D$115</f>
        <v>-2980790261.7991</v>
      </c>
      <c r="M116" s="0" t="n">
        <f aca="false">SIMM_Delta!$J$16*$D$116*$D$116</f>
        <v>512118890337.207</v>
      </c>
      <c r="N116" s="0" t="n">
        <f aca="false">SIMM_Delta!$K$16*$D$116*$D$117</f>
        <v>-0</v>
      </c>
      <c r="O116" s="0" t="n">
        <f aca="false">SIMM_Delta!$L$16*$D$116*$D$118</f>
        <v>-0</v>
      </c>
      <c r="P116" s="0" t="n">
        <f aca="false">SIMM_Delta!$M$16*$D$116*$D$119</f>
        <v>-0</v>
      </c>
    </row>
    <row r="117" customFormat="false" ht="15" hidden="false" customHeight="false" outlineLevel="0" collapsed="false">
      <c r="A117" s="0" t="str">
        <f aca="false">Inputs!$K$14</f>
        <v>15y</v>
      </c>
      <c r="B117" s="0" t="n">
        <f aca="false">SUMIFS(Sensitivities!$I$5:$I$100,Sensitivities!$B$5:$B$100,"Risk_IRCurve",Sensitivities!$C$5:$C$100,$B$98,Sensitivities!$E$5:$E$100,$A117)</f>
        <v>0</v>
      </c>
      <c r="C117" s="0" t="n">
        <f aca="false">INDEX(Parameters!$G$5:$G$689,MATCH(Inputs!$B$4&amp;"|IR|"&amp;"delta_rw"&amp;"|"&amp;$B$99&amp;"|"&amp;$A117,Parameters!$A$5:$A$689,0))</f>
        <v>27</v>
      </c>
      <c r="D117" s="0" t="n">
        <f aca="false">C117*B117*$B$103</f>
        <v>0</v>
      </c>
      <c r="E117" s="0" t="n">
        <f aca="false">SIMM_Delta!$B$17*$D$117*$D$108</f>
        <v>0</v>
      </c>
      <c r="F117" s="0" t="n">
        <f aca="false">SIMM_Delta!$C$17*$D$117*$D$109</f>
        <v>0</v>
      </c>
      <c r="G117" s="0" t="n">
        <f aca="false">SIMM_Delta!$D$17*$D$117*$D$110</f>
        <v>0</v>
      </c>
      <c r="H117" s="0" t="n">
        <f aca="false">SIMM_Delta!$E$17*$D$117*$D$111</f>
        <v>0</v>
      </c>
      <c r="I117" s="0" t="n">
        <f aca="false">SIMM_Delta!$F$17*$D$117*$D$112</f>
        <v>0</v>
      </c>
      <c r="J117" s="0" t="n">
        <f aca="false">SIMM_Delta!$G$17*$D$117*$D$113</f>
        <v>0</v>
      </c>
      <c r="K117" s="0" t="n">
        <f aca="false">SIMM_Delta!$H$17*$D$117*$D$114</f>
        <v>0</v>
      </c>
      <c r="L117" s="0" t="n">
        <f aca="false">SIMM_Delta!$I$17*$D$117*$D$115</f>
        <v>0</v>
      </c>
      <c r="M117" s="0" t="n">
        <f aca="false">SIMM_Delta!$J$17*$D$117*$D$116</f>
        <v>-0</v>
      </c>
      <c r="N117" s="0" t="n">
        <f aca="false">SIMM_Delta!$K$17*$D$117*$D$117</f>
        <v>0</v>
      </c>
      <c r="O117" s="0" t="n">
        <f aca="false">SIMM_Delta!$L$17*$D$117*$D$118</f>
        <v>0</v>
      </c>
      <c r="P117" s="0" t="n">
        <f aca="false">SIMM_Delta!$M$17*$D$117*$D$119</f>
        <v>0</v>
      </c>
    </row>
    <row r="118" customFormat="false" ht="15" hidden="false" customHeight="false" outlineLevel="0" collapsed="false">
      <c r="A118" s="0" t="str">
        <f aca="false">Inputs!$L$14</f>
        <v>20y</v>
      </c>
      <c r="B118" s="0" t="n">
        <f aca="false">SUMIFS(Sensitivities!$I$5:$I$100,Sensitivities!$B$5:$B$100,"Risk_IRCurve",Sensitivities!$C$5:$C$100,$B$98,Sensitivities!$E$5:$E$100,$A118)</f>
        <v>0</v>
      </c>
      <c r="C118" s="0" t="n">
        <f aca="false">INDEX(Parameters!$G$5:$G$689,MATCH(Inputs!$B$4&amp;"|IR|"&amp;"delta_rw"&amp;"|"&amp;$B$99&amp;"|"&amp;$A118,Parameters!$A$5:$A$689,0))</f>
        <v>26</v>
      </c>
      <c r="D118" s="0" t="n">
        <f aca="false">C118*B118*$B$103</f>
        <v>0</v>
      </c>
      <c r="E118" s="0" t="n">
        <f aca="false">SIMM_Delta!$B$18*$D$118*$D$108</f>
        <v>0</v>
      </c>
      <c r="F118" s="0" t="n">
        <f aca="false">SIMM_Delta!$C$18*$D$118*$D$109</f>
        <v>0</v>
      </c>
      <c r="G118" s="0" t="n">
        <f aca="false">SIMM_Delta!$D$18*$D$118*$D$110</f>
        <v>0</v>
      </c>
      <c r="H118" s="0" t="n">
        <f aca="false">SIMM_Delta!$E$18*$D$118*$D$111</f>
        <v>0</v>
      </c>
      <c r="I118" s="0" t="n">
        <f aca="false">SIMM_Delta!$F$18*$D$118*$D$112</f>
        <v>0</v>
      </c>
      <c r="J118" s="0" t="n">
        <f aca="false">SIMM_Delta!$G$18*$D$118*$D$113</f>
        <v>0</v>
      </c>
      <c r="K118" s="0" t="n">
        <f aca="false">SIMM_Delta!$H$18*$D$118*$D$114</f>
        <v>0</v>
      </c>
      <c r="L118" s="0" t="n">
        <f aca="false">SIMM_Delta!$I$18*$D$118*$D$115</f>
        <v>0</v>
      </c>
      <c r="M118" s="0" t="n">
        <f aca="false">SIMM_Delta!$J$18*$D$118*$D$116</f>
        <v>-0</v>
      </c>
      <c r="N118" s="0" t="n">
        <f aca="false">SIMM_Delta!$K$18*$D$118*$D$117</f>
        <v>0</v>
      </c>
      <c r="O118" s="0" t="n">
        <f aca="false">SIMM_Delta!$L$18*$D$118*$D$118</f>
        <v>0</v>
      </c>
      <c r="P118" s="0" t="n">
        <f aca="false">SIMM_Delta!$M$18*$D$118*$D$119</f>
        <v>0</v>
      </c>
    </row>
    <row r="119" customFormat="false" ht="15" hidden="false" customHeight="false" outlineLevel="0" collapsed="false">
      <c r="A119" s="0" t="str">
        <f aca="false">Inputs!$M$14</f>
        <v>30y</v>
      </c>
      <c r="B119" s="0" t="n">
        <f aca="false">SUMIFS(Sensitivities!$I$5:$I$100,Sensitivities!$B$5:$B$100,"Risk_IRCurve",Sensitivities!$C$5:$C$100,$B$98,Sensitivities!$E$5:$E$100,$A119)</f>
        <v>0</v>
      </c>
      <c r="C119" s="0" t="n">
        <f aca="false">INDEX(Parameters!$G$5:$G$689,MATCH(Inputs!$B$4&amp;"|IR|"&amp;"delta_rw"&amp;"|"&amp;$B$99&amp;"|"&amp;$A119,Parameters!$A$5:$A$689,0))</f>
        <v>28</v>
      </c>
      <c r="D119" s="0" t="n">
        <f aca="false">C119*B119*$B$103</f>
        <v>0</v>
      </c>
      <c r="E119" s="0" t="n">
        <f aca="false">SIMM_Delta!$B$19*$D$119*$D$108</f>
        <v>0</v>
      </c>
      <c r="F119" s="0" t="n">
        <f aca="false">SIMM_Delta!$C$19*$D$119*$D$109</f>
        <v>0</v>
      </c>
      <c r="G119" s="0" t="n">
        <f aca="false">SIMM_Delta!$D$19*$D$119*$D$110</f>
        <v>0</v>
      </c>
      <c r="H119" s="0" t="n">
        <f aca="false">SIMM_Delta!$E$19*$D$119*$D$111</f>
        <v>0</v>
      </c>
      <c r="I119" s="0" t="n">
        <f aca="false">SIMM_Delta!$F$19*$D$119*$D$112</f>
        <v>0</v>
      </c>
      <c r="J119" s="0" t="n">
        <f aca="false">SIMM_Delta!$G$19*$D$119*$D$113</f>
        <v>0</v>
      </c>
      <c r="K119" s="0" t="n">
        <f aca="false">SIMM_Delta!$H$19*$D$119*$D$114</f>
        <v>0</v>
      </c>
      <c r="L119" s="0" t="n">
        <f aca="false">SIMM_Delta!$I$19*$D$119*$D$115</f>
        <v>0</v>
      </c>
      <c r="M119" s="0" t="n">
        <f aca="false">SIMM_Delta!$J$19*$D$119*$D$116</f>
        <v>-0</v>
      </c>
      <c r="N119" s="0" t="n">
        <f aca="false">SIMM_Delta!$K$19*$D$119*$D$117</f>
        <v>0</v>
      </c>
      <c r="O119" s="0" t="n">
        <f aca="false">SIMM_Delta!$L$19*$D$119*$D$118</f>
        <v>0</v>
      </c>
      <c r="P119" s="0" t="n">
        <f aca="false">SIMM_Delta!$M$19*$D$119*$D$119</f>
        <v>0</v>
      </c>
    </row>
    <row r="123" customFormat="false" ht="15" hidden="false" customHeight="false" outlineLevel="0" collapsed="false">
      <c r="A123" s="1" t="s">
        <v>43</v>
      </c>
      <c r="B123" s="0" t="str">
        <f aca="false">Inputs!$F$13</f>
        <v>MXN</v>
      </c>
    </row>
    <row r="124" customFormat="false" ht="15" hidden="false" customHeight="false" outlineLevel="0" collapsed="false">
      <c r="A124" s="1" t="s">
        <v>411</v>
      </c>
      <c r="B124" s="0" t="str">
        <f aca="false">IF(ISNUMBER(MATCH(Inputs!$B$4&amp;"|IR|rw_group_member|regular|"&amp;$B$123,Parameters!$A$5:$A$689,0)),"regular",IF(ISNUMBER(MATCH(Inputs!$B$4&amp;"|IR|rw_group_member|low|"&amp;$B$123,Parameters!$A$5:$A$689,0)),"low","high"))</f>
        <v>high</v>
      </c>
    </row>
    <row r="125" customFormat="false" ht="15" hidden="false" customHeight="false" outlineLevel="0" collapsed="false">
      <c r="A125" s="1" t="s">
        <v>412</v>
      </c>
      <c r="B125" s="0" t="str">
        <f aca="false">IF(ISNUMBER(MATCH(Inputs!$B$4&amp;"|IR|ct_group_member|regular_well_traded|"&amp;$B$123,Parameters!$A$5:$A$689,0)),"regular_well_traded",IF(ISNUMBER(MATCH(Inputs!$B$4&amp;"|IR|ct_group_member|regular_less_well_traded|"&amp;$B$123,Parameters!$A$5:$A$689,0)),"regular_less_well_traded",IF(ISNUMBER(MATCH(Inputs!$B$4&amp;"|IR|ct_group_member|low|"&amp;$B$123,Parameters!$A$5:$A$689,0)),"low","high")))</f>
        <v>high</v>
      </c>
    </row>
    <row r="126" customFormat="false" ht="15" hidden="false" customHeight="false" outlineLevel="0" collapsed="false">
      <c r="A126" s="1" t="s">
        <v>413</v>
      </c>
      <c r="B126" s="0" t="n">
        <f aca="false">INDEX(Parameters!$G$5:$G$689,MATCH(Inputs!$B$4&amp;"|IR|"&amp;"delta_ct"&amp;"|"&amp;$B$125&amp;"|"&amp;"",Parameters!$A$5:$A$689,0))</f>
        <v>71</v>
      </c>
    </row>
    <row r="127" customFormat="false" ht="15" hidden="false" customHeight="false" outlineLevel="0" collapsed="false">
      <c r="A127" s="1" t="s">
        <v>414</v>
      </c>
      <c r="B127" s="0" t="n">
        <f aca="false">SUM(B133:B144)</f>
        <v>6725.00213167686</v>
      </c>
    </row>
    <row r="128" customFormat="false" ht="15" hidden="false" customHeight="false" outlineLevel="0" collapsed="false">
      <c r="A128" s="1" t="s">
        <v>415</v>
      </c>
      <c r="B128" s="0" t="n">
        <f aca="false">MAX(1,SQRT(ABS($B$127)/Inputs!$B$9/$B$126))</f>
        <v>1</v>
      </c>
    </row>
    <row r="129" customFormat="false" ht="15" hidden="false" customHeight="false" outlineLevel="0" collapsed="false">
      <c r="A129" s="1" t="s">
        <v>257</v>
      </c>
      <c r="B129" s="0" t="n">
        <f aca="false">SQRT(MAX(0,SUM(E133:P144)))</f>
        <v>637216.457642944</v>
      </c>
    </row>
    <row r="130" customFormat="false" ht="15" hidden="false" customHeight="false" outlineLevel="0" collapsed="false">
      <c r="A130" s="1" t="s">
        <v>416</v>
      </c>
      <c r="B130" s="0" t="n">
        <f aca="false">SUM(D133:D144)</f>
        <v>623385.116646776</v>
      </c>
    </row>
    <row r="131" customFormat="false" ht="15" hidden="false" customHeight="false" outlineLevel="0" collapsed="false">
      <c r="A131" s="1" t="s">
        <v>417</v>
      </c>
      <c r="B131" s="0" t="n">
        <f aca="false">MAX(-$B$129,MIN($B$129,$B$130))</f>
        <v>623385.116646776</v>
      </c>
    </row>
    <row r="132" customFormat="false" ht="15" hidden="false" customHeight="false" outlineLevel="0" collapsed="false">
      <c r="A132" s="1" t="s">
        <v>418</v>
      </c>
      <c r="B132" s="1" t="s">
        <v>419</v>
      </c>
      <c r="C132" s="1" t="s">
        <v>420</v>
      </c>
      <c r="D132" s="1" t="s">
        <v>421</v>
      </c>
      <c r="E132" s="1" t="str">
        <f aca="false">Inputs!$B$14</f>
        <v>2w</v>
      </c>
      <c r="F132" s="1" t="str">
        <f aca="false">Inputs!$C$14</f>
        <v>1m</v>
      </c>
      <c r="G132" s="1" t="str">
        <f aca="false">Inputs!$D$14</f>
        <v>3m</v>
      </c>
      <c r="H132" s="1" t="str">
        <f aca="false">Inputs!$E$14</f>
        <v>6m</v>
      </c>
      <c r="I132" s="1" t="str">
        <f aca="false">Inputs!$F$14</f>
        <v>1y</v>
      </c>
      <c r="J132" s="1" t="str">
        <f aca="false">Inputs!$G$14</f>
        <v>2y</v>
      </c>
      <c r="K132" s="1" t="str">
        <f aca="false">Inputs!$H$14</f>
        <v>3y</v>
      </c>
      <c r="L132" s="1" t="str">
        <f aca="false">Inputs!$I$14</f>
        <v>5y</v>
      </c>
      <c r="M132" s="1" t="str">
        <f aca="false">Inputs!$J$14</f>
        <v>10y</v>
      </c>
      <c r="N132" s="1" t="str">
        <f aca="false">Inputs!$K$14</f>
        <v>15y</v>
      </c>
      <c r="O132" s="1" t="str">
        <f aca="false">Inputs!$L$14</f>
        <v>20y</v>
      </c>
      <c r="P132" s="1" t="str">
        <f aca="false">Inputs!$M$14</f>
        <v>30y</v>
      </c>
    </row>
    <row r="133" customFormat="false" ht="15" hidden="false" customHeight="false" outlineLevel="0" collapsed="false">
      <c r="A133" s="0" t="str">
        <f aca="false">Inputs!$B$14</f>
        <v>2w</v>
      </c>
      <c r="B133" s="0" t="n">
        <f aca="false">SUMIFS(Sensitivities!$I$5:$I$100,Sensitivities!$B$5:$B$100,"Risk_IRCurve",Sensitivities!$C$5:$C$100,$B$123,Sensitivities!$E$5:$E$100,$A133)</f>
        <v>0</v>
      </c>
      <c r="C133" s="0" t="n">
        <f aca="false">INDEX(Parameters!$G$5:$G$689,MATCH(Inputs!$B$4&amp;"|IR|"&amp;"delta_rw"&amp;"|"&amp;$B$124&amp;"|"&amp;$A133,Parameters!$A$5:$A$689,0))</f>
        <v>167</v>
      </c>
      <c r="D133" s="0" t="n">
        <f aca="false">C133*B133*$B$128</f>
        <v>0</v>
      </c>
      <c r="E133" s="0" t="n">
        <f aca="false">SIMM_Delta!$B$8*$D$133*$D$133</f>
        <v>0</v>
      </c>
      <c r="F133" s="0" t="n">
        <f aca="false">SIMM_Delta!$C$8*$D$133*$D$134</f>
        <v>0</v>
      </c>
      <c r="G133" s="0" t="n">
        <f aca="false">SIMM_Delta!$D$8*$D$133*$D$135</f>
        <v>0</v>
      </c>
      <c r="H133" s="0" t="n">
        <f aca="false">SIMM_Delta!$E$8*$D$133*$D$136</f>
        <v>-0</v>
      </c>
      <c r="I133" s="0" t="n">
        <f aca="false">SIMM_Delta!$F$8*$D$133*$D$137</f>
        <v>0</v>
      </c>
      <c r="J133" s="0" t="n">
        <f aca="false">SIMM_Delta!$G$8*$D$133*$D$138</f>
        <v>-0</v>
      </c>
      <c r="K133" s="0" t="n">
        <f aca="false">SIMM_Delta!$H$8*$D$133*$D$139</f>
        <v>0</v>
      </c>
      <c r="L133" s="0" t="n">
        <f aca="false">SIMM_Delta!$I$8*$D$133*$D$140</f>
        <v>0</v>
      </c>
      <c r="M133" s="0" t="n">
        <f aca="false">SIMM_Delta!$J$8*$D$133*$D$141</f>
        <v>0</v>
      </c>
      <c r="N133" s="0" t="n">
        <f aca="false">SIMM_Delta!$K$8*$D$133*$D$142</f>
        <v>0</v>
      </c>
      <c r="O133" s="0" t="n">
        <f aca="false">SIMM_Delta!$L$8*$D$133*$D$143</f>
        <v>0</v>
      </c>
      <c r="P133" s="0" t="n">
        <f aca="false">SIMM_Delta!$M$8*$D$133*$D$144</f>
        <v>0</v>
      </c>
    </row>
    <row r="134" customFormat="false" ht="15" hidden="false" customHeight="false" outlineLevel="0" collapsed="false">
      <c r="A134" s="0" t="str">
        <f aca="false">Inputs!$C$14</f>
        <v>1m</v>
      </c>
      <c r="B134" s="0" t="n">
        <f aca="false">SUMIFS(Sensitivities!$I$5:$I$100,Sensitivities!$B$5:$B$100,"Risk_IRCurve",Sensitivities!$C$5:$C$100,$B$123,Sensitivities!$E$5:$E$100,$A134)</f>
        <v>0</v>
      </c>
      <c r="C134" s="0" t="n">
        <f aca="false">INDEX(Parameters!$G$5:$G$689,MATCH(Inputs!$B$4&amp;"|IR|"&amp;"delta_rw"&amp;"|"&amp;$B$124&amp;"|"&amp;$A134,Parameters!$A$5:$A$689,0))</f>
        <v>102</v>
      </c>
      <c r="D134" s="0" t="n">
        <f aca="false">C134*B134*$B$128</f>
        <v>0</v>
      </c>
      <c r="E134" s="0" t="n">
        <f aca="false">SIMM_Delta!$B$9*$D$134*$D$133</f>
        <v>0</v>
      </c>
      <c r="F134" s="0" t="n">
        <f aca="false">SIMM_Delta!$C$9*$D$134*$D$134</f>
        <v>0</v>
      </c>
      <c r="G134" s="0" t="n">
        <f aca="false">SIMM_Delta!$D$9*$D$134*$D$135</f>
        <v>0</v>
      </c>
      <c r="H134" s="0" t="n">
        <f aca="false">SIMM_Delta!$E$9*$D$134*$D$136</f>
        <v>-0</v>
      </c>
      <c r="I134" s="0" t="n">
        <f aca="false">SIMM_Delta!$F$9*$D$134*$D$137</f>
        <v>0</v>
      </c>
      <c r="J134" s="0" t="n">
        <f aca="false">SIMM_Delta!$G$9*$D$134*$D$138</f>
        <v>-0</v>
      </c>
      <c r="K134" s="0" t="n">
        <f aca="false">SIMM_Delta!$H$9*$D$134*$D$139</f>
        <v>0</v>
      </c>
      <c r="L134" s="0" t="n">
        <f aca="false">SIMM_Delta!$I$9*$D$134*$D$140</f>
        <v>0</v>
      </c>
      <c r="M134" s="0" t="n">
        <f aca="false">SIMM_Delta!$J$9*$D$134*$D$141</f>
        <v>0</v>
      </c>
      <c r="N134" s="0" t="n">
        <f aca="false">SIMM_Delta!$K$9*$D$134*$D$142</f>
        <v>0</v>
      </c>
      <c r="O134" s="0" t="n">
        <f aca="false">SIMM_Delta!$L$9*$D$134*$D$143</f>
        <v>0</v>
      </c>
      <c r="P134" s="0" t="n">
        <f aca="false">SIMM_Delta!$M$9*$D$134*$D$144</f>
        <v>0</v>
      </c>
    </row>
    <row r="135" customFormat="false" ht="15" hidden="false" customHeight="false" outlineLevel="0" collapsed="false">
      <c r="A135" s="0" t="str">
        <f aca="false">Inputs!$D$14</f>
        <v>3m</v>
      </c>
      <c r="B135" s="0" t="n">
        <f aca="false">SUMIFS(Sensitivities!$I$5:$I$100,Sensitivities!$B$5:$B$100,"Risk_IRCurve",Sensitivities!$C$5:$C$100,$B$123,Sensitivities!$E$5:$E$100,$A135)</f>
        <v>0</v>
      </c>
      <c r="C135" s="0" t="n">
        <f aca="false">INDEX(Parameters!$G$5:$G$689,MATCH(Inputs!$B$4&amp;"|IR|"&amp;"delta_rw"&amp;"|"&amp;$B$124&amp;"|"&amp;$A135,Parameters!$A$5:$A$689,0))</f>
        <v>79</v>
      </c>
      <c r="D135" s="0" t="n">
        <f aca="false">C135*B135*$B$128</f>
        <v>0</v>
      </c>
      <c r="E135" s="0" t="n">
        <f aca="false">SIMM_Delta!$B$10*$D$135*$D$133</f>
        <v>0</v>
      </c>
      <c r="F135" s="0" t="n">
        <f aca="false">SIMM_Delta!$C$10*$D$135*$D$134</f>
        <v>0</v>
      </c>
      <c r="G135" s="0" t="n">
        <f aca="false">SIMM_Delta!$D$10*$D$135*$D$135</f>
        <v>0</v>
      </c>
      <c r="H135" s="0" t="n">
        <f aca="false">SIMM_Delta!$E$10*$D$135*$D$136</f>
        <v>-0</v>
      </c>
      <c r="I135" s="0" t="n">
        <f aca="false">SIMM_Delta!$F$10*$D$135*$D$137</f>
        <v>0</v>
      </c>
      <c r="J135" s="0" t="n">
        <f aca="false">SIMM_Delta!$G$10*$D$135*$D$138</f>
        <v>-0</v>
      </c>
      <c r="K135" s="0" t="n">
        <f aca="false">SIMM_Delta!$H$10*$D$135*$D$139</f>
        <v>0</v>
      </c>
      <c r="L135" s="0" t="n">
        <f aca="false">SIMM_Delta!$I$10*$D$135*$D$140</f>
        <v>0</v>
      </c>
      <c r="M135" s="0" t="n">
        <f aca="false">SIMM_Delta!$J$10*$D$135*$D$141</f>
        <v>0</v>
      </c>
      <c r="N135" s="0" t="n">
        <f aca="false">SIMM_Delta!$K$10*$D$135*$D$142</f>
        <v>0</v>
      </c>
      <c r="O135" s="0" t="n">
        <f aca="false">SIMM_Delta!$L$10*$D$135*$D$143</f>
        <v>0</v>
      </c>
      <c r="P135" s="0" t="n">
        <f aca="false">SIMM_Delta!$M$10*$D$135*$D$144</f>
        <v>0</v>
      </c>
    </row>
    <row r="136" customFormat="false" ht="15" hidden="false" customHeight="false" outlineLevel="0" collapsed="false">
      <c r="A136" s="0" t="str">
        <f aca="false">Inputs!$E$14</f>
        <v>6m</v>
      </c>
      <c r="B136" s="0" t="n">
        <f aca="false">SUMIFS(Sensitivities!$I$5:$I$100,Sensitivities!$B$5:$B$100,"Risk_IRCurve",Sensitivities!$C$5:$C$100,$B$123,Sensitivities!$E$5:$E$100,$A136)</f>
        <v>-507.455587761473</v>
      </c>
      <c r="C136" s="0" t="n">
        <f aca="false">INDEX(Parameters!$G$5:$G$689,MATCH(Inputs!$B$4&amp;"|IR|"&amp;"delta_rw"&amp;"|"&amp;$B$124&amp;"|"&amp;$A136,Parameters!$A$5:$A$689,0))</f>
        <v>82</v>
      </c>
      <c r="D136" s="0" t="n">
        <f aca="false">C136*B136*$B$128</f>
        <v>-41611.3581964407</v>
      </c>
      <c r="E136" s="0" t="n">
        <f aca="false">SIMM_Delta!$B$11*$D$136*$D$133</f>
        <v>-0</v>
      </c>
      <c r="F136" s="0" t="n">
        <f aca="false">SIMM_Delta!$C$11*$D$136*$D$134</f>
        <v>-0</v>
      </c>
      <c r="G136" s="0" t="n">
        <f aca="false">SIMM_Delta!$D$11*$D$136*$D$135</f>
        <v>-0</v>
      </c>
      <c r="H136" s="0" t="n">
        <f aca="false">SIMM_Delta!$E$11*$D$136*$D$136</f>
        <v>1731505130.9525</v>
      </c>
      <c r="I136" s="0" t="n">
        <f aca="false">SIMM_Delta!$F$11*$D$136*$D$137</f>
        <v>-454996303.928329</v>
      </c>
      <c r="J136" s="0" t="n">
        <f aca="false">SIMM_Delta!$G$11*$D$136*$D$138</f>
        <v>302534505.226431</v>
      </c>
      <c r="K136" s="0" t="n">
        <f aca="false">SIMM_Delta!$H$11*$D$136*$D$139</f>
        <v>-17911901717.752</v>
      </c>
      <c r="L136" s="0" t="n">
        <f aca="false">SIMM_Delta!$I$11*$D$136*$D$140</f>
        <v>-0</v>
      </c>
      <c r="M136" s="0" t="n">
        <f aca="false">SIMM_Delta!$J$11*$D$136*$D$141</f>
        <v>-0</v>
      </c>
      <c r="N136" s="0" t="n">
        <f aca="false">SIMM_Delta!$K$11*$D$136*$D$142</f>
        <v>-0</v>
      </c>
      <c r="O136" s="0" t="n">
        <f aca="false">SIMM_Delta!$L$11*$D$136*$D$143</f>
        <v>-0</v>
      </c>
      <c r="P136" s="0" t="n">
        <f aca="false">SIMM_Delta!$M$11*$D$136*$D$144</f>
        <v>-0</v>
      </c>
    </row>
    <row r="137" customFormat="false" ht="15" hidden="false" customHeight="false" outlineLevel="0" collapsed="false">
      <c r="A137" s="0" t="str">
        <f aca="false">Inputs!$F$14</f>
        <v>1y</v>
      </c>
      <c r="B137" s="0" t="n">
        <f aca="false">SUMIFS(Sensitivities!$I$5:$I$100,Sensitivities!$B$5:$B$100,"Risk_IRCurve",Sensitivities!$C$5:$C$100,$B$123,Sensitivities!$E$5:$E$100,$A137)</f>
        <v>141.271649701045</v>
      </c>
      <c r="C137" s="0" t="n">
        <f aca="false">INDEX(Parameters!$G$5:$G$689,MATCH(Inputs!$B$4&amp;"|IR|"&amp;"delta_rw"&amp;"|"&amp;$B$124&amp;"|"&amp;$A137,Parameters!$A$5:$A$689,0))</f>
        <v>90</v>
      </c>
      <c r="D137" s="0" t="n">
        <f aca="false">C137*B137*$B$128</f>
        <v>12714.448473094</v>
      </c>
      <c r="E137" s="0" t="n">
        <f aca="false">SIMM_Delta!$B$12*$D$137*$D$133</f>
        <v>0</v>
      </c>
      <c r="F137" s="0" t="n">
        <f aca="false">SIMM_Delta!$C$12*$D$137*$D$134</f>
        <v>0</v>
      </c>
      <c r="G137" s="0" t="n">
        <f aca="false">SIMM_Delta!$D$12*$D$137*$D$135</f>
        <v>0</v>
      </c>
      <c r="H137" s="0" t="n">
        <f aca="false">SIMM_Delta!$E$12*$D$137*$D$136</f>
        <v>-454996303.928329</v>
      </c>
      <c r="I137" s="0" t="n">
        <f aca="false">SIMM_Delta!$F$12*$D$137*$D$137</f>
        <v>161657199.974963</v>
      </c>
      <c r="J137" s="0" t="n">
        <f aca="false">SIMM_Delta!$G$12*$D$137*$D$138</f>
        <v>-119032496.686704</v>
      </c>
      <c r="K137" s="0" t="n">
        <f aca="false">SIMM_Delta!$H$12*$D$137*$D$139</f>
        <v>7325431780.95421</v>
      </c>
      <c r="L137" s="0" t="n">
        <f aca="false">SIMM_Delta!$I$12*$D$137*$D$140</f>
        <v>0</v>
      </c>
      <c r="M137" s="0" t="n">
        <f aca="false">SIMM_Delta!$J$12*$D$137*$D$141</f>
        <v>0</v>
      </c>
      <c r="N137" s="0" t="n">
        <f aca="false">SIMM_Delta!$K$12*$D$137*$D$142</f>
        <v>0</v>
      </c>
      <c r="O137" s="0" t="n">
        <f aca="false">SIMM_Delta!$L$12*$D$137*$D$143</f>
        <v>0</v>
      </c>
      <c r="P137" s="0" t="n">
        <f aca="false">SIMM_Delta!$M$12*$D$137*$D$144</f>
        <v>0</v>
      </c>
    </row>
    <row r="138" customFormat="false" ht="15" hidden="false" customHeight="false" outlineLevel="0" collapsed="false">
      <c r="A138" s="0" t="str">
        <f aca="false">Inputs!$G$14</f>
        <v>2y</v>
      </c>
      <c r="B138" s="0" t="n">
        <f aca="false">SUMIFS(Sensitivities!$I$5:$I$100,Sensitivities!$B$5:$B$100,"Risk_IRCurve",Sensitivities!$C$5:$C$100,$B$123,Sensitivities!$E$5:$E$100,$A138)</f>
        <v>-107.092045708103</v>
      </c>
      <c r="C138" s="0" t="n">
        <f aca="false">INDEX(Parameters!$G$5:$G$689,MATCH(Inputs!$B$4&amp;"|IR|"&amp;"delta_rw"&amp;"|"&amp;$B$124&amp;"|"&amp;$A138,Parameters!$A$5:$A$689,0))</f>
        <v>93</v>
      </c>
      <c r="D138" s="0" t="n">
        <f aca="false">C138*B138*$B$128</f>
        <v>-9959.56025085361</v>
      </c>
      <c r="E138" s="0" t="n">
        <f aca="false">SIMM_Delta!$B$13*$D$138*$D$133</f>
        <v>-0</v>
      </c>
      <c r="F138" s="0" t="n">
        <f aca="false">SIMM_Delta!$C$13*$D$138*$D$134</f>
        <v>-0</v>
      </c>
      <c r="G138" s="0" t="n">
        <f aca="false">SIMM_Delta!$D$13*$D$138*$D$135</f>
        <v>-0</v>
      </c>
      <c r="H138" s="0" t="n">
        <f aca="false">SIMM_Delta!$E$13*$D$138*$D$136</f>
        <v>302534505.226431</v>
      </c>
      <c r="I138" s="0" t="n">
        <f aca="false">SIMM_Delta!$F$13*$D$138*$D$137</f>
        <v>-119032496.686704</v>
      </c>
      <c r="J138" s="0" t="n">
        <f aca="false">SIMM_Delta!$G$13*$D$138*$D$138</f>
        <v>99192840.3903832</v>
      </c>
      <c r="K138" s="0" t="n">
        <f aca="false">SIMM_Delta!$H$13*$D$138*$D$139</f>
        <v>-6397765933.09533</v>
      </c>
      <c r="L138" s="0" t="n">
        <f aca="false">SIMM_Delta!$I$13*$D$138*$D$140</f>
        <v>-0</v>
      </c>
      <c r="M138" s="0" t="n">
        <f aca="false">SIMM_Delta!$J$13*$D$138*$D$141</f>
        <v>-0</v>
      </c>
      <c r="N138" s="0" t="n">
        <f aca="false">SIMM_Delta!$K$13*$D$138*$D$142</f>
        <v>-0</v>
      </c>
      <c r="O138" s="0" t="n">
        <f aca="false">SIMM_Delta!$L$13*$D$138*$D$143</f>
        <v>-0</v>
      </c>
      <c r="P138" s="0" t="n">
        <f aca="false">SIMM_Delta!$M$13*$D$138*$D$144</f>
        <v>-0</v>
      </c>
    </row>
    <row r="139" customFormat="false" ht="15" hidden="false" customHeight="false" outlineLevel="0" collapsed="false">
      <c r="A139" s="0" t="str">
        <f aca="false">Inputs!$H$14</f>
        <v>3y</v>
      </c>
      <c r="B139" s="0" t="n">
        <f aca="false">SUMIFS(Sensitivities!$I$5:$I$100,Sensitivities!$B$5:$B$100,"Risk_IRCurve",Sensitivities!$C$5:$C$100,$B$123,Sensitivities!$E$5:$E$100,$A139)</f>
        <v>7198.27811544539</v>
      </c>
      <c r="C139" s="0" t="n">
        <f aca="false">INDEX(Parameters!$G$5:$G$689,MATCH(Inputs!$B$4&amp;"|IR|"&amp;"delta_rw"&amp;"|"&amp;$B$124&amp;"|"&amp;$A139,Parameters!$A$5:$A$689,0))</f>
        <v>92</v>
      </c>
      <c r="D139" s="0" t="n">
        <f aca="false">C139*B139*$B$128</f>
        <v>662241.586620976</v>
      </c>
      <c r="E139" s="0" t="n">
        <f aca="false">SIMM_Delta!$B$14*$D$139*$D$133</f>
        <v>0</v>
      </c>
      <c r="F139" s="0" t="n">
        <f aca="false">SIMM_Delta!$C$14*$D$139*$D$134</f>
        <v>0</v>
      </c>
      <c r="G139" s="0" t="n">
        <f aca="false">SIMM_Delta!$D$14*$D$139*$D$135</f>
        <v>0</v>
      </c>
      <c r="H139" s="0" t="n">
        <f aca="false">SIMM_Delta!$E$14*$D$139*$D$136</f>
        <v>-17911901717.752</v>
      </c>
      <c r="I139" s="0" t="n">
        <f aca="false">SIMM_Delta!$F$14*$D$139*$D$137</f>
        <v>7325431780.95421</v>
      </c>
      <c r="J139" s="0" t="n">
        <f aca="false">SIMM_Delta!$G$14*$D$139*$D$138</f>
        <v>-6397765933.09532</v>
      </c>
      <c r="K139" s="0" t="n">
        <f aca="false">SIMM_Delta!$H$14*$D$139*$D$139</f>
        <v>438563919050.268</v>
      </c>
      <c r="L139" s="0" t="n">
        <f aca="false">SIMM_Delta!$I$14*$D$139*$D$140</f>
        <v>0</v>
      </c>
      <c r="M139" s="0" t="n">
        <f aca="false">SIMM_Delta!$J$14*$D$139*$D$141</f>
        <v>0</v>
      </c>
      <c r="N139" s="0" t="n">
        <f aca="false">SIMM_Delta!$K$14*$D$139*$D$142</f>
        <v>0</v>
      </c>
      <c r="O139" s="0" t="n">
        <f aca="false">SIMM_Delta!$L$14*$D$139*$D$143</f>
        <v>0</v>
      </c>
      <c r="P139" s="0" t="n">
        <f aca="false">SIMM_Delta!$M$14*$D$139*$D$144</f>
        <v>0</v>
      </c>
    </row>
    <row r="140" customFormat="false" ht="15" hidden="false" customHeight="false" outlineLevel="0" collapsed="false">
      <c r="A140" s="0" t="str">
        <f aca="false">Inputs!$I$14</f>
        <v>5y</v>
      </c>
      <c r="B140" s="0" t="n">
        <f aca="false">SUMIFS(Sensitivities!$I$5:$I$100,Sensitivities!$B$5:$B$100,"Risk_IRCurve",Sensitivities!$C$5:$C$100,$B$123,Sensitivities!$E$5:$E$100,$A140)</f>
        <v>0</v>
      </c>
      <c r="C140" s="0" t="n">
        <f aca="false">INDEX(Parameters!$G$5:$G$689,MATCH(Inputs!$B$4&amp;"|IR|"&amp;"delta_rw"&amp;"|"&amp;$B$124&amp;"|"&amp;$A140,Parameters!$A$5:$A$689,0))</f>
        <v>88</v>
      </c>
      <c r="D140" s="0" t="n">
        <f aca="false">C140*B140*$B$128</f>
        <v>0</v>
      </c>
      <c r="E140" s="0" t="n">
        <f aca="false">SIMM_Delta!$B$15*$D$140*$D$133</f>
        <v>0</v>
      </c>
      <c r="F140" s="0" t="n">
        <f aca="false">SIMM_Delta!$C$15*$D$140*$D$134</f>
        <v>0</v>
      </c>
      <c r="G140" s="0" t="n">
        <f aca="false">SIMM_Delta!$D$15*$D$140*$D$135</f>
        <v>0</v>
      </c>
      <c r="H140" s="0" t="n">
        <f aca="false">SIMM_Delta!$E$15*$D$140*$D$136</f>
        <v>-0</v>
      </c>
      <c r="I140" s="0" t="n">
        <f aca="false">SIMM_Delta!$F$15*$D$140*$D$137</f>
        <v>0</v>
      </c>
      <c r="J140" s="0" t="n">
        <f aca="false">SIMM_Delta!$G$15*$D$140*$D$138</f>
        <v>-0</v>
      </c>
      <c r="K140" s="0" t="n">
        <f aca="false">SIMM_Delta!$H$15*$D$140*$D$139</f>
        <v>0</v>
      </c>
      <c r="L140" s="0" t="n">
        <f aca="false">SIMM_Delta!$I$15*$D$140*$D$140</f>
        <v>0</v>
      </c>
      <c r="M140" s="0" t="n">
        <f aca="false">SIMM_Delta!$J$15*$D$140*$D$141</f>
        <v>0</v>
      </c>
      <c r="N140" s="0" t="n">
        <f aca="false">SIMM_Delta!$K$15*$D$140*$D$142</f>
        <v>0</v>
      </c>
      <c r="O140" s="0" t="n">
        <f aca="false">SIMM_Delta!$L$15*$D$140*$D$143</f>
        <v>0</v>
      </c>
      <c r="P140" s="0" t="n">
        <f aca="false">SIMM_Delta!$M$15*$D$140*$D$144</f>
        <v>0</v>
      </c>
    </row>
    <row r="141" customFormat="false" ht="15" hidden="false" customHeight="false" outlineLevel="0" collapsed="false">
      <c r="A141" s="0" t="str">
        <f aca="false">Inputs!$J$14</f>
        <v>10y</v>
      </c>
      <c r="B141" s="0" t="n">
        <f aca="false">SUMIFS(Sensitivities!$I$5:$I$100,Sensitivities!$B$5:$B$100,"Risk_IRCurve",Sensitivities!$C$5:$C$100,$B$123,Sensitivities!$E$5:$E$100,$A141)</f>
        <v>0</v>
      </c>
      <c r="C141" s="0" t="n">
        <f aca="false">INDEX(Parameters!$G$5:$G$689,MATCH(Inputs!$B$4&amp;"|IR|"&amp;"delta_rw"&amp;"|"&amp;$B$124&amp;"|"&amp;$A141,Parameters!$A$5:$A$689,0))</f>
        <v>88</v>
      </c>
      <c r="D141" s="0" t="n">
        <f aca="false">C141*B141*$B$128</f>
        <v>0</v>
      </c>
      <c r="E141" s="0" t="n">
        <f aca="false">SIMM_Delta!$B$16*$D$141*$D$133</f>
        <v>0</v>
      </c>
      <c r="F141" s="0" t="n">
        <f aca="false">SIMM_Delta!$C$16*$D$141*$D$134</f>
        <v>0</v>
      </c>
      <c r="G141" s="0" t="n">
        <f aca="false">SIMM_Delta!$D$16*$D$141*$D$135</f>
        <v>0</v>
      </c>
      <c r="H141" s="0" t="n">
        <f aca="false">SIMM_Delta!$E$16*$D$141*$D$136</f>
        <v>-0</v>
      </c>
      <c r="I141" s="0" t="n">
        <f aca="false">SIMM_Delta!$F$16*$D$141*$D$137</f>
        <v>0</v>
      </c>
      <c r="J141" s="0" t="n">
        <f aca="false">SIMM_Delta!$G$16*$D$141*$D$138</f>
        <v>-0</v>
      </c>
      <c r="K141" s="0" t="n">
        <f aca="false">SIMM_Delta!$H$16*$D$141*$D$139</f>
        <v>0</v>
      </c>
      <c r="L141" s="0" t="n">
        <f aca="false">SIMM_Delta!$I$16*$D$141*$D$140</f>
        <v>0</v>
      </c>
      <c r="M141" s="0" t="n">
        <f aca="false">SIMM_Delta!$J$16*$D$141*$D$141</f>
        <v>0</v>
      </c>
      <c r="N141" s="0" t="n">
        <f aca="false">SIMM_Delta!$K$16*$D$141*$D$142</f>
        <v>0</v>
      </c>
      <c r="O141" s="0" t="n">
        <f aca="false">SIMM_Delta!$L$16*$D$141*$D$143</f>
        <v>0</v>
      </c>
      <c r="P141" s="0" t="n">
        <f aca="false">SIMM_Delta!$M$16*$D$141*$D$144</f>
        <v>0</v>
      </c>
    </row>
    <row r="142" customFormat="false" ht="15" hidden="false" customHeight="false" outlineLevel="0" collapsed="false">
      <c r="A142" s="0" t="str">
        <f aca="false">Inputs!$K$14</f>
        <v>15y</v>
      </c>
      <c r="B142" s="0" t="n">
        <f aca="false">SUMIFS(Sensitivities!$I$5:$I$100,Sensitivities!$B$5:$B$100,"Risk_IRCurve",Sensitivities!$C$5:$C$100,$B$123,Sensitivities!$E$5:$E$100,$A142)</f>
        <v>0</v>
      </c>
      <c r="C142" s="0" t="n">
        <f aca="false">INDEX(Parameters!$G$5:$G$689,MATCH(Inputs!$B$4&amp;"|IR|"&amp;"delta_rw"&amp;"|"&amp;$B$124&amp;"|"&amp;$A142,Parameters!$A$5:$A$689,0))</f>
        <v>98</v>
      </c>
      <c r="D142" s="0" t="n">
        <f aca="false">C142*B142*$B$128</f>
        <v>0</v>
      </c>
      <c r="E142" s="0" t="n">
        <f aca="false">SIMM_Delta!$B$17*$D$142*$D$133</f>
        <v>0</v>
      </c>
      <c r="F142" s="0" t="n">
        <f aca="false">SIMM_Delta!$C$17*$D$142*$D$134</f>
        <v>0</v>
      </c>
      <c r="G142" s="0" t="n">
        <f aca="false">SIMM_Delta!$D$17*$D$142*$D$135</f>
        <v>0</v>
      </c>
      <c r="H142" s="0" t="n">
        <f aca="false">SIMM_Delta!$E$17*$D$142*$D$136</f>
        <v>-0</v>
      </c>
      <c r="I142" s="0" t="n">
        <f aca="false">SIMM_Delta!$F$17*$D$142*$D$137</f>
        <v>0</v>
      </c>
      <c r="J142" s="0" t="n">
        <f aca="false">SIMM_Delta!$G$17*$D$142*$D$138</f>
        <v>-0</v>
      </c>
      <c r="K142" s="0" t="n">
        <f aca="false">SIMM_Delta!$H$17*$D$142*$D$139</f>
        <v>0</v>
      </c>
      <c r="L142" s="0" t="n">
        <f aca="false">SIMM_Delta!$I$17*$D$142*$D$140</f>
        <v>0</v>
      </c>
      <c r="M142" s="0" t="n">
        <f aca="false">SIMM_Delta!$J$17*$D$142*$D$141</f>
        <v>0</v>
      </c>
      <c r="N142" s="0" t="n">
        <f aca="false">SIMM_Delta!$K$17*$D$142*$D$142</f>
        <v>0</v>
      </c>
      <c r="O142" s="0" t="n">
        <f aca="false">SIMM_Delta!$L$17*$D$142*$D$143</f>
        <v>0</v>
      </c>
      <c r="P142" s="0" t="n">
        <f aca="false">SIMM_Delta!$M$17*$D$142*$D$144</f>
        <v>0</v>
      </c>
    </row>
    <row r="143" customFormat="false" ht="15" hidden="false" customHeight="false" outlineLevel="0" collapsed="false">
      <c r="A143" s="0" t="str">
        <f aca="false">Inputs!$L$14</f>
        <v>20y</v>
      </c>
      <c r="B143" s="0" t="n">
        <f aca="false">SUMIFS(Sensitivities!$I$5:$I$100,Sensitivities!$B$5:$B$100,"Risk_IRCurve",Sensitivities!$C$5:$C$100,$B$123,Sensitivities!$E$5:$E$100,$A143)</f>
        <v>0</v>
      </c>
      <c r="C143" s="0" t="n">
        <f aca="false">INDEX(Parameters!$G$5:$G$689,MATCH(Inputs!$B$4&amp;"|IR|"&amp;"delta_rw"&amp;"|"&amp;$B$124&amp;"|"&amp;$A143,Parameters!$A$5:$A$689,0))</f>
        <v>101</v>
      </c>
      <c r="D143" s="0" t="n">
        <f aca="false">C143*B143*$B$128</f>
        <v>0</v>
      </c>
      <c r="E143" s="0" t="n">
        <f aca="false">SIMM_Delta!$B$18*$D$143*$D$133</f>
        <v>0</v>
      </c>
      <c r="F143" s="0" t="n">
        <f aca="false">SIMM_Delta!$C$18*$D$143*$D$134</f>
        <v>0</v>
      </c>
      <c r="G143" s="0" t="n">
        <f aca="false">SIMM_Delta!$D$18*$D$143*$D$135</f>
        <v>0</v>
      </c>
      <c r="H143" s="0" t="n">
        <f aca="false">SIMM_Delta!$E$18*$D$143*$D$136</f>
        <v>-0</v>
      </c>
      <c r="I143" s="0" t="n">
        <f aca="false">SIMM_Delta!$F$18*$D$143*$D$137</f>
        <v>0</v>
      </c>
      <c r="J143" s="0" t="n">
        <f aca="false">SIMM_Delta!$G$18*$D$143*$D$138</f>
        <v>-0</v>
      </c>
      <c r="K143" s="0" t="n">
        <f aca="false">SIMM_Delta!$H$18*$D$143*$D$139</f>
        <v>0</v>
      </c>
      <c r="L143" s="0" t="n">
        <f aca="false">SIMM_Delta!$I$18*$D$143*$D$140</f>
        <v>0</v>
      </c>
      <c r="M143" s="0" t="n">
        <f aca="false">SIMM_Delta!$J$18*$D$143*$D$141</f>
        <v>0</v>
      </c>
      <c r="N143" s="0" t="n">
        <f aca="false">SIMM_Delta!$K$18*$D$143*$D$142</f>
        <v>0</v>
      </c>
      <c r="O143" s="0" t="n">
        <f aca="false">SIMM_Delta!$L$18*$D$143*$D$143</f>
        <v>0</v>
      </c>
      <c r="P143" s="0" t="n">
        <f aca="false">SIMM_Delta!$M$18*$D$143*$D$144</f>
        <v>0</v>
      </c>
    </row>
    <row r="144" customFormat="false" ht="15" hidden="false" customHeight="false" outlineLevel="0" collapsed="false">
      <c r="A144" s="0" t="str">
        <f aca="false">Inputs!$M$14</f>
        <v>30y</v>
      </c>
      <c r="B144" s="0" t="n">
        <f aca="false">SUMIFS(Sensitivities!$I$5:$I$100,Sensitivities!$B$5:$B$100,"Risk_IRCurve",Sensitivities!$C$5:$C$100,$B$123,Sensitivities!$E$5:$E$100,$A144)</f>
        <v>0</v>
      </c>
      <c r="C144" s="0" t="n">
        <f aca="false">INDEX(Parameters!$G$5:$G$689,MATCH(Inputs!$B$4&amp;"|IR|"&amp;"delta_rw"&amp;"|"&amp;$B$124&amp;"|"&amp;$A144,Parameters!$A$5:$A$689,0))</f>
        <v>96</v>
      </c>
      <c r="D144" s="0" t="n">
        <f aca="false">C144*B144*$B$128</f>
        <v>0</v>
      </c>
      <c r="E144" s="0" t="n">
        <f aca="false">SIMM_Delta!$B$19*$D$144*$D$133</f>
        <v>0</v>
      </c>
      <c r="F144" s="0" t="n">
        <f aca="false">SIMM_Delta!$C$19*$D$144*$D$134</f>
        <v>0</v>
      </c>
      <c r="G144" s="0" t="n">
        <f aca="false">SIMM_Delta!$D$19*$D$144*$D$135</f>
        <v>0</v>
      </c>
      <c r="H144" s="0" t="n">
        <f aca="false">SIMM_Delta!$E$19*$D$144*$D$136</f>
        <v>-0</v>
      </c>
      <c r="I144" s="0" t="n">
        <f aca="false">SIMM_Delta!$F$19*$D$144*$D$137</f>
        <v>0</v>
      </c>
      <c r="J144" s="0" t="n">
        <f aca="false">SIMM_Delta!$G$19*$D$144*$D$138</f>
        <v>-0</v>
      </c>
      <c r="K144" s="0" t="n">
        <f aca="false">SIMM_Delta!$H$19*$D$144*$D$139</f>
        <v>0</v>
      </c>
      <c r="L144" s="0" t="n">
        <f aca="false">SIMM_Delta!$I$19*$D$144*$D$140</f>
        <v>0</v>
      </c>
      <c r="M144" s="0" t="n">
        <f aca="false">SIMM_Delta!$J$19*$D$144*$D$141</f>
        <v>0</v>
      </c>
      <c r="N144" s="0" t="n">
        <f aca="false">SIMM_Delta!$K$19*$D$144*$D$142</f>
        <v>0</v>
      </c>
      <c r="O144" s="0" t="n">
        <f aca="false">SIMM_Delta!$L$19*$D$144*$D$143</f>
        <v>0</v>
      </c>
      <c r="P144" s="0" t="n">
        <f aca="false">SIMM_Delta!$M$19*$D$144*$D$144</f>
        <v>0</v>
      </c>
    </row>
    <row r="148" customFormat="false" ht="15" hidden="false" customHeight="false" outlineLevel="0" collapsed="false">
      <c r="A148" s="1" t="s">
        <v>422</v>
      </c>
    </row>
    <row r="149" customFormat="false" ht="15" hidden="false" customHeight="false" outlineLevel="0" collapsed="false">
      <c r="A149" s="1" t="s">
        <v>43</v>
      </c>
      <c r="B149" s="1" t="str">
        <f aca="false">Inputs!$B$13</f>
        <v>USD</v>
      </c>
      <c r="C149" s="1" t="str">
        <f aca="false">Inputs!$C$13</f>
        <v>EUR</v>
      </c>
      <c r="D149" s="1" t="str">
        <f aca="false">Inputs!$D$13</f>
        <v>GBP</v>
      </c>
      <c r="E149" s="1" t="str">
        <f aca="false">Inputs!$E$13</f>
        <v>JPY</v>
      </c>
      <c r="F149" s="1" t="str">
        <f aca="false">Inputs!$F$13</f>
        <v>MXN</v>
      </c>
    </row>
    <row r="150" customFormat="false" ht="15" hidden="false" customHeight="false" outlineLevel="0" collapsed="false">
      <c r="A150" s="1" t="s">
        <v>257</v>
      </c>
      <c r="B150" s="0" t="n">
        <f aca="false">$B$29</f>
        <v>808937.048870217</v>
      </c>
      <c r="C150" s="0" t="n">
        <f aca="false">$B$54</f>
        <v>1351537.68258669</v>
      </c>
      <c r="D150" s="0" t="n">
        <f aca="false">$B$79</f>
        <v>971143.530279385</v>
      </c>
      <c r="E150" s="0" t="n">
        <f aca="false">$B$104</f>
        <v>708220.885275296</v>
      </c>
      <c r="F150" s="0" t="n">
        <f aca="false">$B$129</f>
        <v>637216.457642944</v>
      </c>
    </row>
    <row r="151" customFormat="false" ht="15" hidden="false" customHeight="false" outlineLevel="0" collapsed="false">
      <c r="A151" s="1" t="s">
        <v>417</v>
      </c>
      <c r="B151" s="0" t="n">
        <f aca="false">$B$31</f>
        <v>693429.60308686</v>
      </c>
      <c r="C151" s="0" t="n">
        <f aca="false">$B$56</f>
        <v>-1306486.32913907</v>
      </c>
      <c r="D151" s="0" t="n">
        <f aca="false">$B$81</f>
        <v>971143.530279385</v>
      </c>
      <c r="E151" s="0" t="n">
        <f aca="false">$B$106</f>
        <v>-703893.535195773</v>
      </c>
      <c r="F151" s="0" t="n">
        <f aca="false">$B$131</f>
        <v>623385.116646776</v>
      </c>
    </row>
    <row r="152" customFormat="false" ht="15" hidden="false" customHeight="false" outlineLevel="0" collapsed="false">
      <c r="A152" s="1" t="s">
        <v>415</v>
      </c>
      <c r="B152" s="0" t="n">
        <f aca="false">$B$28</f>
        <v>1</v>
      </c>
      <c r="C152" s="0" t="n">
        <f aca="false">$B$53</f>
        <v>1</v>
      </c>
      <c r="D152" s="0" t="n">
        <f aca="false">$B$78</f>
        <v>1</v>
      </c>
      <c r="E152" s="0" t="n">
        <f aca="false">$B$103</f>
        <v>1</v>
      </c>
      <c r="F152" s="0" t="n">
        <f aca="false">$B$128</f>
        <v>1</v>
      </c>
    </row>
    <row r="153" customFormat="false" ht="15" hidden="false" customHeight="false" outlineLevel="0" collapsed="false">
      <c r="A153" s="1" t="s">
        <v>423</v>
      </c>
    </row>
    <row r="154" customFormat="false" ht="15" hidden="false" customHeight="false" outlineLevel="0" collapsed="false">
      <c r="A154" s="0" t="str">
        <f aca="false">Inputs!$B$13</f>
        <v>USD</v>
      </c>
      <c r="C154" s="0" t="n">
        <f aca="false">$B$160*MIN(B$152,C$152)/MAX(B$152,C$152)*B$151*C$151</f>
        <v>-317084703828.659</v>
      </c>
      <c r="D154" s="0" t="n">
        <f aca="false">$B$160*MIN(B$152,D$152)/MAX(B$152,D$152)*B$151*D$151</f>
        <v>235696885459.702</v>
      </c>
      <c r="E154" s="0" t="n">
        <f aca="false">$B$160*MIN(B$152,E$152)/MAX(B$152,E$152)*B$151*E$151</f>
        <v>-170835215154.174</v>
      </c>
      <c r="F154" s="0" t="n">
        <f aca="false">$B$160*MIN(B$152,F$152)/MAX(B$152,F$152)*B$151*F$151</f>
        <v>151295792902.32</v>
      </c>
    </row>
    <row r="155" customFormat="false" ht="15" hidden="false" customHeight="false" outlineLevel="0" collapsed="false">
      <c r="A155" s="0" t="str">
        <f aca="false">Inputs!$C$13</f>
        <v>EUR</v>
      </c>
      <c r="B155" s="0" t="n">
        <f aca="false">$B$160*MIN(C$152,B$152)/MAX(C$152,B$152)*C$151*B$151</f>
        <v>-317084703828.659</v>
      </c>
      <c r="D155" s="0" t="n">
        <f aca="false">$B$160*MIN(C$152,D$152)/MAX(C$152,D$152)*C$151*D$151</f>
        <v>-444075011079.654</v>
      </c>
      <c r="E155" s="0" t="n">
        <f aca="false">$B$160*MIN(C$152,E$152)/MAX(C$152,E$152)*C$151*E$151</f>
        <v>321869548315.927</v>
      </c>
      <c r="F155" s="0" t="n">
        <f aca="false">$B$160*MIN(C$152,F$152)/MAX(C$152,F$152)*C$151*F$151</f>
        <v>-285055446440.722</v>
      </c>
    </row>
    <row r="156" customFormat="false" ht="15" hidden="false" customHeight="false" outlineLevel="0" collapsed="false">
      <c r="A156" s="0" t="str">
        <f aca="false">Inputs!$D$13</f>
        <v>GBP</v>
      </c>
      <c r="B156" s="0" t="n">
        <f aca="false">$B$160*MIN(D$152,B$152)/MAX(D$152,B$152)*D$151*B$151</f>
        <v>235696885459.702</v>
      </c>
      <c r="C156" s="0" t="n">
        <f aca="false">$B$160*MIN(D$152,C$152)/MAX(D$152,C$152)*D$151*C$151</f>
        <v>-444075011079.654</v>
      </c>
      <c r="E156" s="0" t="n">
        <f aca="false">$B$160*MIN(D$152,E$152)/MAX(D$152,E$152)*D$151*E$151</f>
        <v>-239253578448.801</v>
      </c>
      <c r="F156" s="0" t="n">
        <f aca="false">$B$160*MIN(D$152,F$152)/MAX(D$152,F$152)*D$151*F$151</f>
        <v>211888748016.392</v>
      </c>
    </row>
    <row r="157" customFormat="false" ht="15" hidden="false" customHeight="false" outlineLevel="0" collapsed="false">
      <c r="A157" s="0" t="str">
        <f aca="false">Inputs!$E$13</f>
        <v>JPY</v>
      </c>
      <c r="B157" s="0" t="n">
        <f aca="false">$B$160*MIN(E$152,B$152)/MAX(E$152,B$152)*E$151*B$151</f>
        <v>-170835215154.174</v>
      </c>
      <c r="C157" s="0" t="n">
        <f aca="false">$B$160*MIN(E$152,C$152)/MAX(E$152,C$152)*E$151*C$151</f>
        <v>321869548315.927</v>
      </c>
      <c r="D157" s="0" t="n">
        <f aca="false">$B$160*MIN(E$152,D$152)/MAX(E$152,D$152)*E$151*D$151</f>
        <v>-239253578448.801</v>
      </c>
      <c r="F157" s="0" t="n">
        <f aca="false">$B$160*MIN(E$152,F$152)/MAX(E$152,F$152)*E$151*F$151</f>
        <v>-153578863740.725</v>
      </c>
    </row>
    <row r="158" customFormat="false" ht="15" hidden="false" customHeight="false" outlineLevel="0" collapsed="false">
      <c r="A158" s="0" t="str">
        <f aca="false">Inputs!$F$13</f>
        <v>MXN</v>
      </c>
      <c r="B158" s="0" t="n">
        <f aca="false">$B$160*MIN(F$152,B$152)/MAX(F$152,B$152)*F$151*B$151</f>
        <v>151295792902.32</v>
      </c>
      <c r="C158" s="0" t="n">
        <f aca="false">$B$160*MIN(F$152,C$152)/MAX(F$152,C$152)*F$151*C$151</f>
        <v>-285055446440.722</v>
      </c>
      <c r="D158" s="0" t="n">
        <f aca="false">$B$160*MIN(F$152,D$152)/MAX(F$152,D$152)*F$151*D$151</f>
        <v>211888748016.392</v>
      </c>
      <c r="E158" s="0" t="n">
        <f aca="false">$B$160*MIN(F$152,E$152)/MAX(F$152,E$152)*F$151*E$151</f>
        <v>-153578863740.725</v>
      </c>
    </row>
    <row r="159" customFormat="false" ht="15" hidden="false" customHeight="false" outlineLevel="0" collapsed="false">
      <c r="A159" s="1" t="s">
        <v>144</v>
      </c>
    </row>
    <row r="160" customFormat="false" ht="15" hidden="false" customHeight="false" outlineLevel="0" collapsed="false">
      <c r="A160" s="1" t="s">
        <v>424</v>
      </c>
      <c r="B160" s="0" t="n">
        <f aca="false">INDEX(Parameters!$G$5:$G$689,MATCH(Inputs!$B$4&amp;"|IR|"&amp;"gamma"&amp;"|"&amp;""&amp;"|"&amp;"",Parameters!$A$5:$A$689,0))</f>
        <v>0.35</v>
      </c>
    </row>
    <row r="161" customFormat="false" ht="15" hidden="false" customHeight="false" outlineLevel="0" collapsed="false">
      <c r="A161" s="1" t="s">
        <v>425</v>
      </c>
      <c r="B161" s="0" t="n">
        <f aca="false">SUMPRODUCT(B150:F150,B150:F150)</f>
        <v>4331774649121.3</v>
      </c>
    </row>
    <row r="162" customFormat="false" ht="15" hidden="false" customHeight="false" outlineLevel="0" collapsed="false">
      <c r="A162" s="1" t="s">
        <v>426</v>
      </c>
      <c r="B162" s="0" t="n">
        <f aca="false">SUM(B154:F158)</f>
        <v>-1378263687996.79</v>
      </c>
    </row>
    <row r="163" customFormat="false" ht="15" hidden="false" customHeight="false" outlineLevel="0" collapsed="false">
      <c r="A163" s="1" t="s">
        <v>427</v>
      </c>
      <c r="B163" s="0" t="n">
        <f aca="false">SQRT(MAX(0,B161+B162))</f>
        <v>1718578.18010253</v>
      </c>
    </row>
    <row r="167" customFormat="false" ht="15" hidden="false" customHeight="false" outlineLevel="0" collapsed="false">
      <c r="A167" s="1" t="s">
        <v>428</v>
      </c>
    </row>
    <row r="168" customFormat="false" ht="15" hidden="false" customHeight="false" outlineLevel="0" collapsed="false">
      <c r="A168" s="1" t="s">
        <v>429</v>
      </c>
      <c r="B168" s="0" t="str">
        <f aca="false">IF(ISNUMBER(MATCH(Inputs!$B$4&amp;"|FX|high_vol_member|high|"&amp;Inputs!$B$5,Parameters!$A$5:$A$689,0)),"high","regular")</f>
        <v>regular</v>
      </c>
    </row>
    <row r="169" customFormat="false" ht="15" hidden="false" customHeight="false" outlineLevel="0" collapsed="false">
      <c r="A169" s="1" t="s">
        <v>430</v>
      </c>
      <c r="B169" s="0" t="str">
        <f aca="false">IF($B$168="high","delta_corr_calc_high","delta_corr_calc_regular")</f>
        <v>delta_corr_calc_regular</v>
      </c>
    </row>
    <row r="170" customFormat="false" ht="15" hidden="false" customHeight="false" outlineLevel="0" collapsed="false">
      <c r="A170" s="1" t="s">
        <v>431</v>
      </c>
      <c r="B170" s="1" t="s">
        <v>419</v>
      </c>
      <c r="C170" s="1" t="s">
        <v>432</v>
      </c>
      <c r="D170" s="1" t="s">
        <v>420</v>
      </c>
      <c r="E170" s="1" t="s">
        <v>433</v>
      </c>
      <c r="F170" s="1" t="s">
        <v>434</v>
      </c>
      <c r="G170" s="1" t="s">
        <v>415</v>
      </c>
      <c r="H170" s="1" t="s">
        <v>421</v>
      </c>
      <c r="J170" s="1" t="str">
        <f aca="false">Inputs!$B$16</f>
        <v>EUR</v>
      </c>
      <c r="K170" s="1" t="str">
        <f aca="false">Inputs!$C$16</f>
        <v>GBP</v>
      </c>
      <c r="L170" s="1" t="str">
        <f aca="false">Inputs!$D$16</f>
        <v>JPY</v>
      </c>
      <c r="M170" s="1" t="str">
        <f aca="false">Inputs!$E$16</f>
        <v>MXN</v>
      </c>
    </row>
    <row r="171" customFormat="false" ht="15" hidden="false" customHeight="false" outlineLevel="0" collapsed="false">
      <c r="A171" s="0" t="str">
        <f aca="false">Inputs!$B$16</f>
        <v>EUR</v>
      </c>
      <c r="B171" s="0" t="n">
        <f aca="false">SUMIFS(Sensitivities!$I$5:$I$100,Sensitivities!$B$5:$B$100,"Risk_FX",Sensitivities!$C$5:$C$100,$A171)</f>
        <v>569326.634240497</v>
      </c>
      <c r="C171" s="0" t="str">
        <f aca="false">IF(ISNUMBER(MATCH(Inputs!$B$4&amp;"|FX|high_vol_member|high|"&amp;$A171,Parameters!$A$5:$A$689,0)),"high","regular")</f>
        <v>regular</v>
      </c>
      <c r="D171" s="0" t="n">
        <f aca="false">INDEX(Parameters!$G$5:$G$689,MATCH(Inputs!$B$4&amp;"|FX|"&amp;"delta_rw"&amp;"|"&amp;$C171&amp;"|"&amp;$B$168,Parameters!$A$5:$A$689,0))</f>
        <v>7.4</v>
      </c>
      <c r="E171" s="0" t="n">
        <f aca="false">IF(ISNUMBER(MATCH(Inputs!$B$4&amp;"|FX|ct_category_member|Category 1|"&amp;$A171,Parameters!$A$5:$A$689,0)),1,IF(ISNUMBER(MATCH(Inputs!$B$4&amp;"|FX|ct_category_member|Category 2|"&amp;$A171,Parameters!$A$5:$A$689,0)),2,3))</f>
        <v>1</v>
      </c>
      <c r="F171" s="0" t="n">
        <f aca="false">INDEX(Parameters!$G$5:$G$689,MATCH(Inputs!$B$4&amp;"|FX|"&amp;"delta_ct"&amp;"|"&amp;"Category "&amp;$E171&amp;"|"&amp;"",Parameters!$A$5:$A$689,0))</f>
        <v>2100</v>
      </c>
      <c r="G171" s="0" t="n">
        <f aca="false">MAX(1,SQRT(ABS(B171)/Inputs!$B$9/F171))</f>
        <v>1</v>
      </c>
      <c r="H171" s="0" t="n">
        <f aca="false">D171*B171*G171</f>
        <v>4213017.09337968</v>
      </c>
      <c r="J171" s="0" t="n">
        <f aca="false">$H171^2</f>
        <v>17749513029109.3</v>
      </c>
      <c r="K171" s="0" t="n">
        <f aca="false">INDEX(Parameters!$G$5:$G$689,MATCH(Inputs!$B$4&amp;"|FX|"&amp;$B$169&amp;"|"&amp;$C171&amp;"|"&amp;$C172,Parameters!$A$5:$A$689,0))*MIN($G171,$G172)/MAX($G171,$G172)*$H171*$H172</f>
        <v>-2683431331639.55</v>
      </c>
      <c r="L171" s="0" t="n">
        <f aca="false">INDEX(Parameters!$G$5:$G$689,MATCH(Inputs!$B$4&amp;"|FX|"&amp;$B$169&amp;"|"&amp;$C171&amp;"|"&amp;$C173,Parameters!$A$5:$A$689,0))*MIN($G171,$G173)/MAX($G171,$G173)*$H171*$H173</f>
        <v>-3259375568181.64</v>
      </c>
      <c r="M171" s="0" t="n">
        <f aca="false">INDEX(Parameters!$G$5:$G$689,MATCH(Inputs!$B$4&amp;"|FX|"&amp;$B$169&amp;"|"&amp;$C171&amp;"|"&amp;$C174,Parameters!$A$5:$A$689,0))*MIN($G171,$G174)/MAX($G171,$G174)*$H171*$H174</f>
        <v>1631566050534.77</v>
      </c>
    </row>
    <row r="172" customFormat="false" ht="15" hidden="false" customHeight="false" outlineLevel="0" collapsed="false">
      <c r="A172" s="0" t="str">
        <f aca="false">Inputs!$C$16</f>
        <v>GBP</v>
      </c>
      <c r="B172" s="0" t="n">
        <f aca="false">SUMIFS(Sensitivities!$I$5:$I$100,Sensitivities!$B$5:$B$100,"Risk_FX",Sensitivities!$C$5:$C$100,$A172)</f>
        <v>-172145.447117599</v>
      </c>
      <c r="C172" s="0" t="str">
        <f aca="false">IF(ISNUMBER(MATCH(Inputs!$B$4&amp;"|FX|high_vol_member|high|"&amp;$A172,Parameters!$A$5:$A$689,0)),"high","regular")</f>
        <v>regular</v>
      </c>
      <c r="D172" s="0" t="n">
        <f aca="false">INDEX(Parameters!$G$5:$G$689,MATCH(Inputs!$B$4&amp;"|FX|"&amp;"delta_rw"&amp;"|"&amp;$C172&amp;"|"&amp;$B$168,Parameters!$A$5:$A$689,0))</f>
        <v>7.4</v>
      </c>
      <c r="E172" s="0" t="n">
        <f aca="false">IF(ISNUMBER(MATCH(Inputs!$B$4&amp;"|FX|ct_category_member|Category 1|"&amp;$A172,Parameters!$A$5:$A$689,0)),1,IF(ISNUMBER(MATCH(Inputs!$B$4&amp;"|FX|ct_category_member|Category 2|"&amp;$A172,Parameters!$A$5:$A$689,0)),2,3))</f>
        <v>1</v>
      </c>
      <c r="F172" s="0" t="n">
        <f aca="false">INDEX(Parameters!$G$5:$G$689,MATCH(Inputs!$B$4&amp;"|FX|"&amp;"delta_ct"&amp;"|"&amp;"Category "&amp;$E172&amp;"|"&amp;"",Parameters!$A$5:$A$689,0))</f>
        <v>2100</v>
      </c>
      <c r="G172" s="0" t="n">
        <f aca="false">MAX(1,SQRT(ABS(B172)/Inputs!$B$9/F172))</f>
        <v>1</v>
      </c>
      <c r="H172" s="0" t="n">
        <f aca="false">D172*B172*G172</f>
        <v>-1273876.30867023</v>
      </c>
      <c r="J172" s="0" t="n">
        <f aca="false">INDEX(Parameters!$G$5:$G$689,MATCH(Inputs!$B$4&amp;"|FX|"&amp;$B$169&amp;"|"&amp;$C172&amp;"|"&amp;$C171,Parameters!$A$5:$A$689,0))*MIN($G172,$G171)/MAX($G172,$G171)*$H172*$H171</f>
        <v>-2683431331639.55</v>
      </c>
      <c r="K172" s="0" t="n">
        <f aca="false">$H172^2</f>
        <v>1622760849791.3</v>
      </c>
      <c r="L172" s="0" t="n">
        <f aca="false">INDEX(Parameters!$G$5:$G$689,MATCH(Inputs!$B$4&amp;"|FX|"&amp;$B$169&amp;"|"&amp;$C172&amp;"|"&amp;$C173,Parameters!$A$5:$A$689,0))*MIN($G172,$G173)/MAX($G172,$G173)*$H172*$H173</f>
        <v>985526814949.241</v>
      </c>
      <c r="M172" s="0" t="n">
        <f aca="false">INDEX(Parameters!$G$5:$G$689,MATCH(Inputs!$B$4&amp;"|FX|"&amp;$B$169&amp;"|"&amp;$C172&amp;"|"&amp;$C174,Parameters!$A$5:$A$689,0))*MIN($G172,$G174)/MAX($G172,$G174)*$H172*$H174</f>
        <v>-493331332804.919</v>
      </c>
    </row>
    <row r="173" customFormat="false" ht="15" hidden="false" customHeight="false" outlineLevel="0" collapsed="false">
      <c r="A173" s="0" t="str">
        <f aca="false">Inputs!$D$16</f>
        <v>JPY</v>
      </c>
      <c r="B173" s="0" t="n">
        <f aca="false">SUMIFS(Sensitivities!$I$5:$I$100,Sensitivities!$B$5:$B$100,"Risk_FX",Sensitivities!$C$5:$C$100,$A173)</f>
        <v>-209092.98400641</v>
      </c>
      <c r="C173" s="0" t="str">
        <f aca="false">IF(ISNUMBER(MATCH(Inputs!$B$4&amp;"|FX|high_vol_member|high|"&amp;$A173,Parameters!$A$5:$A$689,0)),"high","regular")</f>
        <v>regular</v>
      </c>
      <c r="D173" s="0" t="n">
        <f aca="false">INDEX(Parameters!$G$5:$G$689,MATCH(Inputs!$B$4&amp;"|FX|"&amp;"delta_rw"&amp;"|"&amp;$C173&amp;"|"&amp;$B$168,Parameters!$A$5:$A$689,0))</f>
        <v>7.4</v>
      </c>
      <c r="E173" s="0" t="n">
        <f aca="false">IF(ISNUMBER(MATCH(Inputs!$B$4&amp;"|FX|ct_category_member|Category 1|"&amp;$A173,Parameters!$A$5:$A$689,0)),1,IF(ISNUMBER(MATCH(Inputs!$B$4&amp;"|FX|ct_category_member|Category 2|"&amp;$A173,Parameters!$A$5:$A$689,0)),2,3))</f>
        <v>1</v>
      </c>
      <c r="F173" s="0" t="n">
        <f aca="false">INDEX(Parameters!$G$5:$G$689,MATCH(Inputs!$B$4&amp;"|FX|"&amp;"delta_ct"&amp;"|"&amp;"Category "&amp;$E173&amp;"|"&amp;"",Parameters!$A$5:$A$689,0))</f>
        <v>2100</v>
      </c>
      <c r="G173" s="0" t="n">
        <f aca="false">MAX(1,SQRT(ABS(B173)/Inputs!$B$9/F173))</f>
        <v>1</v>
      </c>
      <c r="H173" s="0" t="n">
        <f aca="false">D173*B173*G173</f>
        <v>-1547288.08164743</v>
      </c>
      <c r="J173" s="0" t="n">
        <f aca="false">INDEX(Parameters!$G$5:$G$689,MATCH(Inputs!$B$4&amp;"|FX|"&amp;$B$169&amp;"|"&amp;$C173&amp;"|"&amp;$C171,Parameters!$A$5:$A$689,0))*MIN($G173,$G171)/MAX($G173,$G171)*$H173*$H171</f>
        <v>-3259375568181.64</v>
      </c>
      <c r="K173" s="0" t="n">
        <f aca="false">INDEX(Parameters!$G$5:$G$689,MATCH(Inputs!$B$4&amp;"|FX|"&amp;$B$169&amp;"|"&amp;$C173&amp;"|"&amp;$C172,Parameters!$A$5:$A$689,0))*MIN($G173,$G172)/MAX($G173,$G172)*$H173*$H172</f>
        <v>985526814949.241</v>
      </c>
      <c r="L173" s="0" t="n">
        <f aca="false">$H173^2</f>
        <v>2394100407608.2</v>
      </c>
      <c r="M173" s="0" t="n">
        <f aca="false">INDEX(Parameters!$G$5:$G$689,MATCH(Inputs!$B$4&amp;"|FX|"&amp;$B$169&amp;"|"&amp;$C173&amp;"|"&amp;$C174,Parameters!$A$5:$A$689,0))*MIN($G173,$G174)/MAX($G173,$G174)*$H173*$H174</f>
        <v>-599214920912.62</v>
      </c>
    </row>
    <row r="174" customFormat="false" ht="15" hidden="false" customHeight="false" outlineLevel="0" collapsed="false">
      <c r="A174" s="0" t="str">
        <f aca="false">Inputs!$E$16</f>
        <v>MXN</v>
      </c>
      <c r="B174" s="0" t="n">
        <f aca="false">SUMIFS(Sensitivities!$I$5:$I$100,Sensitivities!$B$5:$B$100,"Risk_FX",Sensitivities!$C$5:$C$100,$A174)</f>
        <v>104666.985124451</v>
      </c>
      <c r="C174" s="0" t="str">
        <f aca="false">IF(ISNUMBER(MATCH(Inputs!$B$4&amp;"|FX|high_vol_member|high|"&amp;$A174,Parameters!$A$5:$A$689,0)),"high","regular")</f>
        <v>regular</v>
      </c>
      <c r="D174" s="0" t="n">
        <f aca="false">INDEX(Parameters!$G$5:$G$689,MATCH(Inputs!$B$4&amp;"|FX|"&amp;"delta_rw"&amp;"|"&amp;$C174&amp;"|"&amp;$B$168,Parameters!$A$5:$A$689,0))</f>
        <v>7.4</v>
      </c>
      <c r="E174" s="0" t="n">
        <f aca="false">IF(ISNUMBER(MATCH(Inputs!$B$4&amp;"|FX|ct_category_member|Category 1|"&amp;$A174,Parameters!$A$5:$A$689,0)),1,IF(ISNUMBER(MATCH(Inputs!$B$4&amp;"|FX|ct_category_member|Category 2|"&amp;$A174,Parameters!$A$5:$A$689,0)),2,3))</f>
        <v>2</v>
      </c>
      <c r="F174" s="0" t="n">
        <f aca="false">INDEX(Parameters!$G$5:$G$689,MATCH(Inputs!$B$4&amp;"|FX|"&amp;"delta_ct"&amp;"|"&amp;"Category "&amp;$E174&amp;"|"&amp;"",Parameters!$A$5:$A$689,0))</f>
        <v>710</v>
      </c>
      <c r="G174" s="0" t="n">
        <f aca="false">MAX(1,SQRT(ABS(B174)/Inputs!$B$9/F174))</f>
        <v>1</v>
      </c>
      <c r="H174" s="0" t="n">
        <f aca="false">D174*B174*G174</f>
        <v>774535.689920938</v>
      </c>
      <c r="J174" s="0" t="n">
        <f aca="false">INDEX(Parameters!$G$5:$G$689,MATCH(Inputs!$B$4&amp;"|FX|"&amp;$B$169&amp;"|"&amp;$C174&amp;"|"&amp;$C171,Parameters!$A$5:$A$689,0))*MIN($G174,$G171)/MAX($G174,$G171)*$H174*$H171</f>
        <v>1631566050534.77</v>
      </c>
      <c r="K174" s="0" t="n">
        <f aca="false">INDEX(Parameters!$G$5:$G$689,MATCH(Inputs!$B$4&amp;"|FX|"&amp;$B$169&amp;"|"&amp;$C174&amp;"|"&amp;$C172,Parameters!$A$5:$A$689,0))*MIN($G174,$G172)/MAX($G174,$G172)*$H174*$H172</f>
        <v>-493331332804.919</v>
      </c>
      <c r="L174" s="0" t="n">
        <f aca="false">INDEX(Parameters!$G$5:$G$689,MATCH(Inputs!$B$4&amp;"|FX|"&amp;$B$169&amp;"|"&amp;$C174&amp;"|"&amp;$C173,Parameters!$A$5:$A$689,0))*MIN($G174,$G173)/MAX($G174,$G173)*$H174*$H173</f>
        <v>-599214920912.62</v>
      </c>
      <c r="M174" s="0" t="n">
        <f aca="false">$H174^2</f>
        <v>599905534961.304</v>
      </c>
    </row>
    <row r="175" customFormat="false" ht="15" hidden="false" customHeight="false" outlineLevel="0" collapsed="false">
      <c r="A175" s="1" t="s">
        <v>435</v>
      </c>
      <c r="B175" s="0" t="n">
        <f aca="false">SQRT(MAX(0,SUM(J171:M174)))</f>
        <v>3678282.10518996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15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2734375" defaultRowHeight="15" customHeight="false" zeroHeight="false" outlineLevelRow="0" outlineLevelCol="0"/>
  <cols>
    <col collapsed="false" customWidth="true" hidden="false" outlineLevel="0" max="1" min="1" style="0" width="46"/>
  </cols>
  <sheetData>
    <row r="1" customFormat="false" ht="15" hidden="false" customHeight="false" outlineLevel="0" collapsed="false">
      <c r="A1" s="1" t="s">
        <v>436</v>
      </c>
    </row>
    <row r="3" customFormat="false" ht="15" hidden="false" customHeight="false" outlineLevel="0" collapsed="false">
      <c r="A3" s="1" t="s">
        <v>437</v>
      </c>
      <c r="B3" s="0" t="n">
        <f aca="false">INDEX(Parameters!$G$5:$G$689,MATCH(Inputs!$B$4&amp;"|IR|"&amp;"vega_rw"&amp;"|"&amp;""&amp;"|"&amp;"",Parameters!$A$5:$A$689,0))</f>
        <v>0.2</v>
      </c>
    </row>
    <row r="4" customFormat="false" ht="15" hidden="false" customHeight="false" outlineLevel="0" collapsed="false">
      <c r="A4" s="1" t="s">
        <v>438</v>
      </c>
      <c r="B4" s="0" t="n">
        <f aca="false">INDEX(Parameters!$G$5:$G$689,MATCH(Inputs!$B$4&amp;"|IR|"&amp;"gamma"&amp;"|"&amp;""&amp;"|"&amp;"",Parameters!$A$5:$A$689,0))</f>
        <v>0.35</v>
      </c>
    </row>
    <row r="8" customFormat="false" ht="15" hidden="false" customHeight="false" outlineLevel="0" collapsed="false">
      <c r="A8" s="1" t="s">
        <v>43</v>
      </c>
      <c r="B8" s="0" t="str">
        <f aca="false">Inputs!$B$13</f>
        <v>USD</v>
      </c>
    </row>
    <row r="9" customFormat="false" ht="15" hidden="false" customHeight="false" outlineLevel="0" collapsed="false">
      <c r="A9" s="1" t="s">
        <v>412</v>
      </c>
      <c r="B9" s="0" t="str">
        <f aca="false">IF(ISNUMBER(MATCH(Inputs!$B$4&amp;"|IR|ct_group_member|regular_well_traded|"&amp;$B$8,Parameters!$A$5:$A$689,0)),"regular_well_traded",IF(ISNUMBER(MATCH(Inputs!$B$4&amp;"|IR|ct_group_member|regular_less_well_traded|"&amp;$B$8,Parameters!$A$5:$A$689,0)),"regular_less_well_traded",IF(ISNUMBER(MATCH(Inputs!$B$4&amp;"|IR|ct_group_member|low|"&amp;$B$8,Parameters!$A$5:$A$689,0)),"low","high")))</f>
        <v>regular_well_traded</v>
      </c>
    </row>
    <row r="10" customFormat="false" ht="15" hidden="false" customHeight="false" outlineLevel="0" collapsed="false">
      <c r="A10" s="1" t="s">
        <v>439</v>
      </c>
      <c r="B10" s="0" t="n">
        <f aca="false">INDEX(Parameters!$G$5:$G$689,MATCH(Inputs!$B$4&amp;"|IR|"&amp;"vega_ct"&amp;"|"&amp;$B$9&amp;"|"&amp;"",Parameters!$A$5:$A$689,0))</f>
        <v>3800</v>
      </c>
    </row>
    <row r="11" customFormat="false" ht="15" hidden="false" customHeight="false" outlineLevel="0" collapsed="false">
      <c r="A11" s="1" t="s">
        <v>440</v>
      </c>
      <c r="B11" s="0" t="n">
        <f aca="false">SUM(B17:B28)</f>
        <v>638647.77101936</v>
      </c>
    </row>
    <row r="12" customFormat="false" ht="15" hidden="false" customHeight="false" outlineLevel="0" collapsed="false">
      <c r="A12" s="1" t="s">
        <v>441</v>
      </c>
      <c r="B12" s="0" t="n">
        <f aca="false">MAX(1,SQRT(ABS($B$11)/Inputs!$B$9/$B$10))</f>
        <v>1</v>
      </c>
    </row>
    <row r="13" customFormat="false" ht="15" hidden="false" customHeight="false" outlineLevel="0" collapsed="false">
      <c r="A13" s="1" t="s">
        <v>257</v>
      </c>
      <c r="B13" s="0" t="n">
        <f aca="false">SQRT(MAX(0,SUM(D17:O28)))</f>
        <v>127729.554203872</v>
      </c>
    </row>
    <row r="14" customFormat="false" ht="15" hidden="false" customHeight="false" outlineLevel="0" collapsed="false">
      <c r="A14" s="1" t="s">
        <v>442</v>
      </c>
      <c r="B14" s="0" t="n">
        <f aca="false">SUM(C17:C28)</f>
        <v>127729.554203872</v>
      </c>
    </row>
    <row r="15" customFormat="false" ht="15" hidden="false" customHeight="false" outlineLevel="0" collapsed="false">
      <c r="A15" s="1" t="s">
        <v>417</v>
      </c>
      <c r="B15" s="0" t="n">
        <f aca="false">MAX(-$B$13,MIN($B$13,$B$14))</f>
        <v>127729.554203872</v>
      </c>
    </row>
    <row r="16" customFormat="false" ht="15" hidden="false" customHeight="false" outlineLevel="0" collapsed="false">
      <c r="A16" s="1" t="s">
        <v>418</v>
      </c>
      <c r="B16" s="1" t="s">
        <v>443</v>
      </c>
      <c r="C16" s="1" t="s">
        <v>444</v>
      </c>
      <c r="D16" s="1" t="str">
        <f aca="false">Inputs!$B$14</f>
        <v>2w</v>
      </c>
      <c r="E16" s="1" t="str">
        <f aca="false">Inputs!$C$14</f>
        <v>1m</v>
      </c>
      <c r="F16" s="1" t="str">
        <f aca="false">Inputs!$D$14</f>
        <v>3m</v>
      </c>
      <c r="G16" s="1" t="str">
        <f aca="false">Inputs!$E$14</f>
        <v>6m</v>
      </c>
      <c r="H16" s="1" t="str">
        <f aca="false">Inputs!$F$14</f>
        <v>1y</v>
      </c>
      <c r="I16" s="1" t="str">
        <f aca="false">Inputs!$G$14</f>
        <v>2y</v>
      </c>
      <c r="J16" s="1" t="str">
        <f aca="false">Inputs!$H$14</f>
        <v>3y</v>
      </c>
      <c r="K16" s="1" t="str">
        <f aca="false">Inputs!$I$14</f>
        <v>5y</v>
      </c>
      <c r="L16" s="1" t="str">
        <f aca="false">Inputs!$J$14</f>
        <v>10y</v>
      </c>
      <c r="M16" s="1" t="str">
        <f aca="false">Inputs!$K$14</f>
        <v>15y</v>
      </c>
      <c r="N16" s="1" t="str">
        <f aca="false">Inputs!$L$14</f>
        <v>20y</v>
      </c>
      <c r="O16" s="1" t="str">
        <f aca="false">Inputs!$M$14</f>
        <v>30y</v>
      </c>
    </row>
    <row r="17" customFormat="false" ht="15" hidden="false" customHeight="false" outlineLevel="0" collapsed="false">
      <c r="A17" s="0" t="str">
        <f aca="false">Inputs!$B$14</f>
        <v>2w</v>
      </c>
      <c r="B17" s="0" t="n">
        <f aca="false">SUMIFS(Sensitivities!$I$5:$I$100,Sensitivities!$B$5:$B$100,"Risk_IRVol",Sensitivities!$C$5:$C$100,$B$8,Sensitivities!$E$5:$E$100,$A17)</f>
        <v>0</v>
      </c>
      <c r="C17" s="0" t="n">
        <f aca="false">$B$3*B17*$B$12</f>
        <v>0</v>
      </c>
      <c r="D17" s="0" t="n">
        <f aca="false">SIMM_Delta!$B$8*$C$17*$C$17</f>
        <v>0</v>
      </c>
      <c r="E17" s="0" t="n">
        <f aca="false">SIMM_Delta!$C$8*$C$17*$C$18</f>
        <v>0</v>
      </c>
      <c r="F17" s="0" t="n">
        <f aca="false">SIMM_Delta!$D$8*$C$17*$C$19</f>
        <v>0</v>
      </c>
      <c r="G17" s="0" t="n">
        <f aca="false">SIMM_Delta!$E$8*$C$17*$C$20</f>
        <v>0</v>
      </c>
      <c r="H17" s="0" t="n">
        <f aca="false">SIMM_Delta!$F$8*$C$17*$C$21</f>
        <v>0</v>
      </c>
      <c r="I17" s="0" t="n">
        <f aca="false">SIMM_Delta!$G$8*$C$17*$C$22</f>
        <v>0</v>
      </c>
      <c r="J17" s="0" t="n">
        <f aca="false">SIMM_Delta!$H$8*$C$17*$C$23</f>
        <v>0</v>
      </c>
      <c r="K17" s="0" t="n">
        <f aca="false">SIMM_Delta!$I$8*$C$17*$C$24</f>
        <v>0</v>
      </c>
      <c r="L17" s="0" t="n">
        <f aca="false">SIMM_Delta!$J$8*$C$17*$C$25</f>
        <v>0</v>
      </c>
      <c r="M17" s="0" t="n">
        <f aca="false">SIMM_Delta!$K$8*$C$17*$C$26</f>
        <v>0</v>
      </c>
      <c r="N17" s="0" t="n">
        <f aca="false">SIMM_Delta!$L$8*$C$17*$C$27</f>
        <v>0</v>
      </c>
      <c r="O17" s="0" t="n">
        <f aca="false">SIMM_Delta!$M$8*$C$17*$C$28</f>
        <v>0</v>
      </c>
    </row>
    <row r="18" customFormat="false" ht="15" hidden="false" customHeight="false" outlineLevel="0" collapsed="false">
      <c r="A18" s="0" t="str">
        <f aca="false">Inputs!$C$14</f>
        <v>1m</v>
      </c>
      <c r="B18" s="0" t="n">
        <f aca="false">SUMIFS(Sensitivities!$I$5:$I$100,Sensitivities!$B$5:$B$100,"Risk_IRVol",Sensitivities!$C$5:$C$100,$B$8,Sensitivities!$E$5:$E$100,$A18)</f>
        <v>0</v>
      </c>
      <c r="C18" s="0" t="n">
        <f aca="false">$B$3*B18*$B$12</f>
        <v>0</v>
      </c>
      <c r="D18" s="0" t="n">
        <f aca="false">SIMM_Delta!$B$9*$C$18*$C$17</f>
        <v>0</v>
      </c>
      <c r="E18" s="0" t="n">
        <f aca="false">SIMM_Delta!$C$9*$C$18*$C$18</f>
        <v>0</v>
      </c>
      <c r="F18" s="0" t="n">
        <f aca="false">SIMM_Delta!$D$9*$C$18*$C$19</f>
        <v>0</v>
      </c>
      <c r="G18" s="0" t="n">
        <f aca="false">SIMM_Delta!$E$9*$C$18*$C$20</f>
        <v>0</v>
      </c>
      <c r="H18" s="0" t="n">
        <f aca="false">SIMM_Delta!$F$9*$C$18*$C$21</f>
        <v>0</v>
      </c>
      <c r="I18" s="0" t="n">
        <f aca="false">SIMM_Delta!$G$9*$C$18*$C$22</f>
        <v>0</v>
      </c>
      <c r="J18" s="0" t="n">
        <f aca="false">SIMM_Delta!$H$9*$C$18*$C$23</f>
        <v>0</v>
      </c>
      <c r="K18" s="0" t="n">
        <f aca="false">SIMM_Delta!$I$9*$C$18*$C$24</f>
        <v>0</v>
      </c>
      <c r="L18" s="0" t="n">
        <f aca="false">SIMM_Delta!$J$9*$C$18*$C$25</f>
        <v>0</v>
      </c>
      <c r="M18" s="0" t="n">
        <f aca="false">SIMM_Delta!$K$9*$C$18*$C$26</f>
        <v>0</v>
      </c>
      <c r="N18" s="0" t="n">
        <f aca="false">SIMM_Delta!$L$9*$C$18*$C$27</f>
        <v>0</v>
      </c>
      <c r="O18" s="0" t="n">
        <f aca="false">SIMM_Delta!$M$9*$C$18*$C$28</f>
        <v>0</v>
      </c>
    </row>
    <row r="19" customFormat="false" ht="15" hidden="false" customHeight="false" outlineLevel="0" collapsed="false">
      <c r="A19" s="0" t="str">
        <f aca="false">Inputs!$D$14</f>
        <v>3m</v>
      </c>
      <c r="B19" s="0" t="n">
        <f aca="false">SUMIFS(Sensitivities!$I$5:$I$100,Sensitivities!$B$5:$B$100,"Risk_IRVol",Sensitivities!$C$5:$C$100,$B$8,Sensitivities!$E$5:$E$100,$A19)</f>
        <v>0</v>
      </c>
      <c r="C19" s="0" t="n">
        <f aca="false">$B$3*B19*$B$12</f>
        <v>0</v>
      </c>
      <c r="D19" s="0" t="n">
        <f aca="false">SIMM_Delta!$B$10*$C$19*$C$17</f>
        <v>0</v>
      </c>
      <c r="E19" s="0" t="n">
        <f aca="false">SIMM_Delta!$C$10*$C$19*$C$18</f>
        <v>0</v>
      </c>
      <c r="F19" s="0" t="n">
        <f aca="false">SIMM_Delta!$D$10*$C$19*$C$19</f>
        <v>0</v>
      </c>
      <c r="G19" s="0" t="n">
        <f aca="false">SIMM_Delta!$E$10*$C$19*$C$20</f>
        <v>0</v>
      </c>
      <c r="H19" s="0" t="n">
        <f aca="false">SIMM_Delta!$F$10*$C$19*$C$21</f>
        <v>0</v>
      </c>
      <c r="I19" s="0" t="n">
        <f aca="false">SIMM_Delta!$G$10*$C$19*$C$22</f>
        <v>0</v>
      </c>
      <c r="J19" s="0" t="n">
        <f aca="false">SIMM_Delta!$H$10*$C$19*$C$23</f>
        <v>0</v>
      </c>
      <c r="K19" s="0" t="n">
        <f aca="false">SIMM_Delta!$I$10*$C$19*$C$24</f>
        <v>0</v>
      </c>
      <c r="L19" s="0" t="n">
        <f aca="false">SIMM_Delta!$J$10*$C$19*$C$25</f>
        <v>0</v>
      </c>
      <c r="M19" s="0" t="n">
        <f aca="false">SIMM_Delta!$K$10*$C$19*$C$26</f>
        <v>0</v>
      </c>
      <c r="N19" s="0" t="n">
        <f aca="false">SIMM_Delta!$L$10*$C$19*$C$27</f>
        <v>0</v>
      </c>
      <c r="O19" s="0" t="n">
        <f aca="false">SIMM_Delta!$M$10*$C$19*$C$28</f>
        <v>0</v>
      </c>
    </row>
    <row r="20" customFormat="false" ht="15" hidden="false" customHeight="false" outlineLevel="0" collapsed="false">
      <c r="A20" s="0" t="str">
        <f aca="false">Inputs!$E$14</f>
        <v>6m</v>
      </c>
      <c r="B20" s="0" t="n">
        <f aca="false">SUMIFS(Sensitivities!$I$5:$I$100,Sensitivities!$B$5:$B$100,"Risk_IRVol",Sensitivities!$C$5:$C$100,$B$8,Sensitivities!$E$5:$E$100,$A20)</f>
        <v>0</v>
      </c>
      <c r="C20" s="0" t="n">
        <f aca="false">$B$3*B20*$B$12</f>
        <v>0</v>
      </c>
      <c r="D20" s="0" t="n">
        <f aca="false">SIMM_Delta!$B$11*$C$20*$C$17</f>
        <v>0</v>
      </c>
      <c r="E20" s="0" t="n">
        <f aca="false">SIMM_Delta!$C$11*$C$20*$C$18</f>
        <v>0</v>
      </c>
      <c r="F20" s="0" t="n">
        <f aca="false">SIMM_Delta!$D$11*$C$20*$C$19</f>
        <v>0</v>
      </c>
      <c r="G20" s="0" t="n">
        <f aca="false">SIMM_Delta!$E$11*$C$20*$C$20</f>
        <v>0</v>
      </c>
      <c r="H20" s="0" t="n">
        <f aca="false">SIMM_Delta!$F$11*$C$20*$C$21</f>
        <v>0</v>
      </c>
      <c r="I20" s="0" t="n">
        <f aca="false">SIMM_Delta!$G$11*$C$20*$C$22</f>
        <v>0</v>
      </c>
      <c r="J20" s="0" t="n">
        <f aca="false">SIMM_Delta!$H$11*$C$20*$C$23</f>
        <v>0</v>
      </c>
      <c r="K20" s="0" t="n">
        <f aca="false">SIMM_Delta!$I$11*$C$20*$C$24</f>
        <v>0</v>
      </c>
      <c r="L20" s="0" t="n">
        <f aca="false">SIMM_Delta!$J$11*$C$20*$C$25</f>
        <v>0</v>
      </c>
      <c r="M20" s="0" t="n">
        <f aca="false">SIMM_Delta!$K$11*$C$20*$C$26</f>
        <v>0</v>
      </c>
      <c r="N20" s="0" t="n">
        <f aca="false">SIMM_Delta!$L$11*$C$20*$C$27</f>
        <v>0</v>
      </c>
      <c r="O20" s="0" t="n">
        <f aca="false">SIMM_Delta!$M$11*$C$20*$C$28</f>
        <v>0</v>
      </c>
    </row>
    <row r="21" customFormat="false" ht="15" hidden="false" customHeight="false" outlineLevel="0" collapsed="false">
      <c r="A21" s="0" t="str">
        <f aca="false">Inputs!$F$14</f>
        <v>1y</v>
      </c>
      <c r="B21" s="0" t="n">
        <f aca="false">SUMIFS(Sensitivities!$I$5:$I$100,Sensitivities!$B$5:$B$100,"Risk_IRVol",Sensitivities!$C$5:$C$100,$B$8,Sensitivities!$E$5:$E$100,$A21)</f>
        <v>638647.77101936</v>
      </c>
      <c r="C21" s="0" t="n">
        <f aca="false">$B$3*B21*$B$12</f>
        <v>127729.554203872</v>
      </c>
      <c r="D21" s="0" t="n">
        <f aca="false">SIMM_Delta!$B$12*$C$21*$C$17</f>
        <v>0</v>
      </c>
      <c r="E21" s="0" t="n">
        <f aca="false">SIMM_Delta!$C$12*$C$21*$C$18</f>
        <v>0</v>
      </c>
      <c r="F21" s="0" t="n">
        <f aca="false">SIMM_Delta!$D$12*$C$21*$C$19</f>
        <v>0</v>
      </c>
      <c r="G21" s="0" t="n">
        <f aca="false">SIMM_Delta!$E$12*$C$21*$C$20</f>
        <v>0</v>
      </c>
      <c r="H21" s="0" t="n">
        <f aca="false">SIMM_Delta!$F$12*$C$21*$C$21</f>
        <v>16314839017.1199</v>
      </c>
      <c r="I21" s="0" t="n">
        <f aca="false">SIMM_Delta!$G$12*$C$21*$C$22</f>
        <v>0</v>
      </c>
      <c r="J21" s="0" t="n">
        <f aca="false">SIMM_Delta!$H$12*$C$21*$C$23</f>
        <v>0</v>
      </c>
      <c r="K21" s="0" t="n">
        <f aca="false">SIMM_Delta!$I$12*$C$21*$C$24</f>
        <v>0</v>
      </c>
      <c r="L21" s="0" t="n">
        <f aca="false">SIMM_Delta!$J$12*$C$21*$C$25</f>
        <v>0</v>
      </c>
      <c r="M21" s="0" t="n">
        <f aca="false">SIMM_Delta!$K$12*$C$21*$C$26</f>
        <v>0</v>
      </c>
      <c r="N21" s="0" t="n">
        <f aca="false">SIMM_Delta!$L$12*$C$21*$C$27</f>
        <v>0</v>
      </c>
      <c r="O21" s="0" t="n">
        <f aca="false">SIMM_Delta!$M$12*$C$21*$C$28</f>
        <v>0</v>
      </c>
    </row>
    <row r="22" customFormat="false" ht="15" hidden="false" customHeight="false" outlineLevel="0" collapsed="false">
      <c r="A22" s="0" t="str">
        <f aca="false">Inputs!$G$14</f>
        <v>2y</v>
      </c>
      <c r="B22" s="0" t="n">
        <f aca="false">SUMIFS(Sensitivities!$I$5:$I$100,Sensitivities!$B$5:$B$100,"Risk_IRVol",Sensitivities!$C$5:$C$100,$B$8,Sensitivities!$E$5:$E$100,$A22)</f>
        <v>0</v>
      </c>
      <c r="C22" s="0" t="n">
        <f aca="false">$B$3*B22*$B$12</f>
        <v>0</v>
      </c>
      <c r="D22" s="0" t="n">
        <f aca="false">SIMM_Delta!$B$13*$C$22*$C$17</f>
        <v>0</v>
      </c>
      <c r="E22" s="0" t="n">
        <f aca="false">SIMM_Delta!$C$13*$C$22*$C$18</f>
        <v>0</v>
      </c>
      <c r="F22" s="0" t="n">
        <f aca="false">SIMM_Delta!$D$13*$C$22*$C$19</f>
        <v>0</v>
      </c>
      <c r="G22" s="0" t="n">
        <f aca="false">SIMM_Delta!$E$13*$C$22*$C$20</f>
        <v>0</v>
      </c>
      <c r="H22" s="0" t="n">
        <f aca="false">SIMM_Delta!$F$13*$C$22*$C$21</f>
        <v>0</v>
      </c>
      <c r="I22" s="0" t="n">
        <f aca="false">SIMM_Delta!$G$13*$C$22*$C$22</f>
        <v>0</v>
      </c>
      <c r="J22" s="0" t="n">
        <f aca="false">SIMM_Delta!$H$13*$C$22*$C$23</f>
        <v>0</v>
      </c>
      <c r="K22" s="0" t="n">
        <f aca="false">SIMM_Delta!$I$13*$C$22*$C$24</f>
        <v>0</v>
      </c>
      <c r="L22" s="0" t="n">
        <f aca="false">SIMM_Delta!$J$13*$C$22*$C$25</f>
        <v>0</v>
      </c>
      <c r="M22" s="0" t="n">
        <f aca="false">SIMM_Delta!$K$13*$C$22*$C$26</f>
        <v>0</v>
      </c>
      <c r="N22" s="0" t="n">
        <f aca="false">SIMM_Delta!$L$13*$C$22*$C$27</f>
        <v>0</v>
      </c>
      <c r="O22" s="0" t="n">
        <f aca="false">SIMM_Delta!$M$13*$C$22*$C$28</f>
        <v>0</v>
      </c>
    </row>
    <row r="23" customFormat="false" ht="15" hidden="false" customHeight="false" outlineLevel="0" collapsed="false">
      <c r="A23" s="0" t="str">
        <f aca="false">Inputs!$H$14</f>
        <v>3y</v>
      </c>
      <c r="B23" s="0" t="n">
        <f aca="false">SUMIFS(Sensitivities!$I$5:$I$100,Sensitivities!$B$5:$B$100,"Risk_IRVol",Sensitivities!$C$5:$C$100,$B$8,Sensitivities!$E$5:$E$100,$A23)</f>
        <v>0</v>
      </c>
      <c r="C23" s="0" t="n">
        <f aca="false">$B$3*B23*$B$12</f>
        <v>0</v>
      </c>
      <c r="D23" s="0" t="n">
        <f aca="false">SIMM_Delta!$B$14*$C$23*$C$17</f>
        <v>0</v>
      </c>
      <c r="E23" s="0" t="n">
        <f aca="false">SIMM_Delta!$C$14*$C$23*$C$18</f>
        <v>0</v>
      </c>
      <c r="F23" s="0" t="n">
        <f aca="false">SIMM_Delta!$D$14*$C$23*$C$19</f>
        <v>0</v>
      </c>
      <c r="G23" s="0" t="n">
        <f aca="false">SIMM_Delta!$E$14*$C$23*$C$20</f>
        <v>0</v>
      </c>
      <c r="H23" s="0" t="n">
        <f aca="false">SIMM_Delta!$F$14*$C$23*$C$21</f>
        <v>0</v>
      </c>
      <c r="I23" s="0" t="n">
        <f aca="false">SIMM_Delta!$G$14*$C$23*$C$22</f>
        <v>0</v>
      </c>
      <c r="J23" s="0" t="n">
        <f aca="false">SIMM_Delta!$H$14*$C$23*$C$23</f>
        <v>0</v>
      </c>
      <c r="K23" s="0" t="n">
        <f aca="false">SIMM_Delta!$I$14*$C$23*$C$24</f>
        <v>0</v>
      </c>
      <c r="L23" s="0" t="n">
        <f aca="false">SIMM_Delta!$J$14*$C$23*$C$25</f>
        <v>0</v>
      </c>
      <c r="M23" s="0" t="n">
        <f aca="false">SIMM_Delta!$K$14*$C$23*$C$26</f>
        <v>0</v>
      </c>
      <c r="N23" s="0" t="n">
        <f aca="false">SIMM_Delta!$L$14*$C$23*$C$27</f>
        <v>0</v>
      </c>
      <c r="O23" s="0" t="n">
        <f aca="false">SIMM_Delta!$M$14*$C$23*$C$28</f>
        <v>0</v>
      </c>
    </row>
    <row r="24" customFormat="false" ht="15" hidden="false" customHeight="false" outlineLevel="0" collapsed="false">
      <c r="A24" s="0" t="str">
        <f aca="false">Inputs!$I$14</f>
        <v>5y</v>
      </c>
      <c r="B24" s="0" t="n">
        <f aca="false">SUMIFS(Sensitivities!$I$5:$I$100,Sensitivities!$B$5:$B$100,"Risk_IRVol",Sensitivities!$C$5:$C$100,$B$8,Sensitivities!$E$5:$E$100,$A24)</f>
        <v>0</v>
      </c>
      <c r="C24" s="0" t="n">
        <f aca="false">$B$3*B24*$B$12</f>
        <v>0</v>
      </c>
      <c r="D24" s="0" t="n">
        <f aca="false">SIMM_Delta!$B$15*$C$24*$C$17</f>
        <v>0</v>
      </c>
      <c r="E24" s="0" t="n">
        <f aca="false">SIMM_Delta!$C$15*$C$24*$C$18</f>
        <v>0</v>
      </c>
      <c r="F24" s="0" t="n">
        <f aca="false">SIMM_Delta!$D$15*$C$24*$C$19</f>
        <v>0</v>
      </c>
      <c r="G24" s="0" t="n">
        <f aca="false">SIMM_Delta!$E$15*$C$24*$C$20</f>
        <v>0</v>
      </c>
      <c r="H24" s="0" t="n">
        <f aca="false">SIMM_Delta!$F$15*$C$24*$C$21</f>
        <v>0</v>
      </c>
      <c r="I24" s="0" t="n">
        <f aca="false">SIMM_Delta!$G$15*$C$24*$C$22</f>
        <v>0</v>
      </c>
      <c r="J24" s="0" t="n">
        <f aca="false">SIMM_Delta!$H$15*$C$24*$C$23</f>
        <v>0</v>
      </c>
      <c r="K24" s="0" t="n">
        <f aca="false">SIMM_Delta!$I$15*$C$24*$C$24</f>
        <v>0</v>
      </c>
      <c r="L24" s="0" t="n">
        <f aca="false">SIMM_Delta!$J$15*$C$24*$C$25</f>
        <v>0</v>
      </c>
      <c r="M24" s="0" t="n">
        <f aca="false">SIMM_Delta!$K$15*$C$24*$C$26</f>
        <v>0</v>
      </c>
      <c r="N24" s="0" t="n">
        <f aca="false">SIMM_Delta!$L$15*$C$24*$C$27</f>
        <v>0</v>
      </c>
      <c r="O24" s="0" t="n">
        <f aca="false">SIMM_Delta!$M$15*$C$24*$C$28</f>
        <v>0</v>
      </c>
    </row>
    <row r="25" customFormat="false" ht="15" hidden="false" customHeight="false" outlineLevel="0" collapsed="false">
      <c r="A25" s="0" t="str">
        <f aca="false">Inputs!$J$14</f>
        <v>10y</v>
      </c>
      <c r="B25" s="0" t="n">
        <f aca="false">SUMIFS(Sensitivities!$I$5:$I$100,Sensitivities!$B$5:$B$100,"Risk_IRVol",Sensitivities!$C$5:$C$100,$B$8,Sensitivities!$E$5:$E$100,$A25)</f>
        <v>0</v>
      </c>
      <c r="C25" s="0" t="n">
        <f aca="false">$B$3*B25*$B$12</f>
        <v>0</v>
      </c>
      <c r="D25" s="0" t="n">
        <f aca="false">SIMM_Delta!$B$16*$C$25*$C$17</f>
        <v>0</v>
      </c>
      <c r="E25" s="0" t="n">
        <f aca="false">SIMM_Delta!$C$16*$C$25*$C$18</f>
        <v>0</v>
      </c>
      <c r="F25" s="0" t="n">
        <f aca="false">SIMM_Delta!$D$16*$C$25*$C$19</f>
        <v>0</v>
      </c>
      <c r="G25" s="0" t="n">
        <f aca="false">SIMM_Delta!$E$16*$C$25*$C$20</f>
        <v>0</v>
      </c>
      <c r="H25" s="0" t="n">
        <f aca="false">SIMM_Delta!$F$16*$C$25*$C$21</f>
        <v>0</v>
      </c>
      <c r="I25" s="0" t="n">
        <f aca="false">SIMM_Delta!$G$16*$C$25*$C$22</f>
        <v>0</v>
      </c>
      <c r="J25" s="0" t="n">
        <f aca="false">SIMM_Delta!$H$16*$C$25*$C$23</f>
        <v>0</v>
      </c>
      <c r="K25" s="0" t="n">
        <f aca="false">SIMM_Delta!$I$16*$C$25*$C$24</f>
        <v>0</v>
      </c>
      <c r="L25" s="0" t="n">
        <f aca="false">SIMM_Delta!$J$16*$C$25*$C$25</f>
        <v>0</v>
      </c>
      <c r="M25" s="0" t="n">
        <f aca="false">SIMM_Delta!$K$16*$C$25*$C$26</f>
        <v>0</v>
      </c>
      <c r="N25" s="0" t="n">
        <f aca="false">SIMM_Delta!$L$16*$C$25*$C$27</f>
        <v>0</v>
      </c>
      <c r="O25" s="0" t="n">
        <f aca="false">SIMM_Delta!$M$16*$C$25*$C$28</f>
        <v>0</v>
      </c>
    </row>
    <row r="26" customFormat="false" ht="15" hidden="false" customHeight="false" outlineLevel="0" collapsed="false">
      <c r="A26" s="0" t="str">
        <f aca="false">Inputs!$K$14</f>
        <v>15y</v>
      </c>
      <c r="B26" s="0" t="n">
        <f aca="false">SUMIFS(Sensitivities!$I$5:$I$100,Sensitivities!$B$5:$B$100,"Risk_IRVol",Sensitivities!$C$5:$C$100,$B$8,Sensitivities!$E$5:$E$100,$A26)</f>
        <v>0</v>
      </c>
      <c r="C26" s="0" t="n">
        <f aca="false">$B$3*B26*$B$12</f>
        <v>0</v>
      </c>
      <c r="D26" s="0" t="n">
        <f aca="false">SIMM_Delta!$B$17*$C$26*$C$17</f>
        <v>0</v>
      </c>
      <c r="E26" s="0" t="n">
        <f aca="false">SIMM_Delta!$C$17*$C$26*$C$18</f>
        <v>0</v>
      </c>
      <c r="F26" s="0" t="n">
        <f aca="false">SIMM_Delta!$D$17*$C$26*$C$19</f>
        <v>0</v>
      </c>
      <c r="G26" s="0" t="n">
        <f aca="false">SIMM_Delta!$E$17*$C$26*$C$20</f>
        <v>0</v>
      </c>
      <c r="H26" s="0" t="n">
        <f aca="false">SIMM_Delta!$F$17*$C$26*$C$21</f>
        <v>0</v>
      </c>
      <c r="I26" s="0" t="n">
        <f aca="false">SIMM_Delta!$G$17*$C$26*$C$22</f>
        <v>0</v>
      </c>
      <c r="J26" s="0" t="n">
        <f aca="false">SIMM_Delta!$H$17*$C$26*$C$23</f>
        <v>0</v>
      </c>
      <c r="K26" s="0" t="n">
        <f aca="false">SIMM_Delta!$I$17*$C$26*$C$24</f>
        <v>0</v>
      </c>
      <c r="L26" s="0" t="n">
        <f aca="false">SIMM_Delta!$J$17*$C$26*$C$25</f>
        <v>0</v>
      </c>
      <c r="M26" s="0" t="n">
        <f aca="false">SIMM_Delta!$K$17*$C$26*$C$26</f>
        <v>0</v>
      </c>
      <c r="N26" s="0" t="n">
        <f aca="false">SIMM_Delta!$L$17*$C$26*$C$27</f>
        <v>0</v>
      </c>
      <c r="O26" s="0" t="n">
        <f aca="false">SIMM_Delta!$M$17*$C$26*$C$28</f>
        <v>0</v>
      </c>
    </row>
    <row r="27" customFormat="false" ht="15" hidden="false" customHeight="false" outlineLevel="0" collapsed="false">
      <c r="A27" s="0" t="str">
        <f aca="false">Inputs!$L$14</f>
        <v>20y</v>
      </c>
      <c r="B27" s="0" t="n">
        <f aca="false">SUMIFS(Sensitivities!$I$5:$I$100,Sensitivities!$B$5:$B$100,"Risk_IRVol",Sensitivities!$C$5:$C$100,$B$8,Sensitivities!$E$5:$E$100,$A27)</f>
        <v>0</v>
      </c>
      <c r="C27" s="0" t="n">
        <f aca="false">$B$3*B27*$B$12</f>
        <v>0</v>
      </c>
      <c r="D27" s="0" t="n">
        <f aca="false">SIMM_Delta!$B$18*$C$27*$C$17</f>
        <v>0</v>
      </c>
      <c r="E27" s="0" t="n">
        <f aca="false">SIMM_Delta!$C$18*$C$27*$C$18</f>
        <v>0</v>
      </c>
      <c r="F27" s="0" t="n">
        <f aca="false">SIMM_Delta!$D$18*$C$27*$C$19</f>
        <v>0</v>
      </c>
      <c r="G27" s="0" t="n">
        <f aca="false">SIMM_Delta!$E$18*$C$27*$C$20</f>
        <v>0</v>
      </c>
      <c r="H27" s="0" t="n">
        <f aca="false">SIMM_Delta!$F$18*$C$27*$C$21</f>
        <v>0</v>
      </c>
      <c r="I27" s="0" t="n">
        <f aca="false">SIMM_Delta!$G$18*$C$27*$C$22</f>
        <v>0</v>
      </c>
      <c r="J27" s="0" t="n">
        <f aca="false">SIMM_Delta!$H$18*$C$27*$C$23</f>
        <v>0</v>
      </c>
      <c r="K27" s="0" t="n">
        <f aca="false">SIMM_Delta!$I$18*$C$27*$C$24</f>
        <v>0</v>
      </c>
      <c r="L27" s="0" t="n">
        <f aca="false">SIMM_Delta!$J$18*$C$27*$C$25</f>
        <v>0</v>
      </c>
      <c r="M27" s="0" t="n">
        <f aca="false">SIMM_Delta!$K$18*$C$27*$C$26</f>
        <v>0</v>
      </c>
      <c r="N27" s="0" t="n">
        <f aca="false">SIMM_Delta!$L$18*$C$27*$C$27</f>
        <v>0</v>
      </c>
      <c r="O27" s="0" t="n">
        <f aca="false">SIMM_Delta!$M$18*$C$27*$C$28</f>
        <v>0</v>
      </c>
    </row>
    <row r="28" customFormat="false" ht="15" hidden="false" customHeight="false" outlineLevel="0" collapsed="false">
      <c r="A28" s="0" t="str">
        <f aca="false">Inputs!$M$14</f>
        <v>30y</v>
      </c>
      <c r="B28" s="0" t="n">
        <f aca="false">SUMIFS(Sensitivities!$I$5:$I$100,Sensitivities!$B$5:$B$100,"Risk_IRVol",Sensitivities!$C$5:$C$100,$B$8,Sensitivities!$E$5:$E$100,$A28)</f>
        <v>0</v>
      </c>
      <c r="C28" s="0" t="n">
        <f aca="false">$B$3*B28*$B$12</f>
        <v>0</v>
      </c>
      <c r="D28" s="0" t="n">
        <f aca="false">SIMM_Delta!$B$19*$C$28*$C$17</f>
        <v>0</v>
      </c>
      <c r="E28" s="0" t="n">
        <f aca="false">SIMM_Delta!$C$19*$C$28*$C$18</f>
        <v>0</v>
      </c>
      <c r="F28" s="0" t="n">
        <f aca="false">SIMM_Delta!$D$19*$C$28*$C$19</f>
        <v>0</v>
      </c>
      <c r="G28" s="0" t="n">
        <f aca="false">SIMM_Delta!$E$19*$C$28*$C$20</f>
        <v>0</v>
      </c>
      <c r="H28" s="0" t="n">
        <f aca="false">SIMM_Delta!$F$19*$C$28*$C$21</f>
        <v>0</v>
      </c>
      <c r="I28" s="0" t="n">
        <f aca="false">SIMM_Delta!$G$19*$C$28*$C$22</f>
        <v>0</v>
      </c>
      <c r="J28" s="0" t="n">
        <f aca="false">SIMM_Delta!$H$19*$C$28*$C$23</f>
        <v>0</v>
      </c>
      <c r="K28" s="0" t="n">
        <f aca="false">SIMM_Delta!$I$19*$C$28*$C$24</f>
        <v>0</v>
      </c>
      <c r="L28" s="0" t="n">
        <f aca="false">SIMM_Delta!$J$19*$C$28*$C$25</f>
        <v>0</v>
      </c>
      <c r="M28" s="0" t="n">
        <f aca="false">SIMM_Delta!$K$19*$C$28*$C$26</f>
        <v>0</v>
      </c>
      <c r="N28" s="0" t="n">
        <f aca="false">SIMM_Delta!$L$19*$C$28*$C$27</f>
        <v>0</v>
      </c>
      <c r="O28" s="0" t="n">
        <f aca="false">SIMM_Delta!$M$19*$C$28*$C$28</f>
        <v>0</v>
      </c>
    </row>
    <row r="32" customFormat="false" ht="15" hidden="false" customHeight="false" outlineLevel="0" collapsed="false">
      <c r="A32" s="1" t="s">
        <v>43</v>
      </c>
      <c r="B32" s="0" t="str">
        <f aca="false">Inputs!$C$13</f>
        <v>EUR</v>
      </c>
    </row>
    <row r="33" customFormat="false" ht="15" hidden="false" customHeight="false" outlineLevel="0" collapsed="false">
      <c r="A33" s="1" t="s">
        <v>412</v>
      </c>
      <c r="B33" s="0" t="str">
        <f aca="false">IF(ISNUMBER(MATCH(Inputs!$B$4&amp;"|IR|ct_group_member|regular_well_traded|"&amp;$B$32,Parameters!$A$5:$A$689,0)),"regular_well_traded",IF(ISNUMBER(MATCH(Inputs!$B$4&amp;"|IR|ct_group_member|regular_less_well_traded|"&amp;$B$32,Parameters!$A$5:$A$689,0)),"regular_less_well_traded",IF(ISNUMBER(MATCH(Inputs!$B$4&amp;"|IR|ct_group_member|low|"&amp;$B$32,Parameters!$A$5:$A$689,0)),"low","high")))</f>
        <v>regular_well_traded</v>
      </c>
    </row>
    <row r="34" customFormat="false" ht="15" hidden="false" customHeight="false" outlineLevel="0" collapsed="false">
      <c r="A34" s="1" t="s">
        <v>439</v>
      </c>
      <c r="B34" s="0" t="n">
        <f aca="false">INDEX(Parameters!$G$5:$G$689,MATCH(Inputs!$B$4&amp;"|IR|"&amp;"vega_ct"&amp;"|"&amp;$B$33&amp;"|"&amp;"",Parameters!$A$5:$A$689,0))</f>
        <v>3800</v>
      </c>
    </row>
    <row r="35" customFormat="false" ht="15" hidden="false" customHeight="false" outlineLevel="0" collapsed="false">
      <c r="A35" s="1" t="s">
        <v>440</v>
      </c>
      <c r="B35" s="0" t="n">
        <f aca="false">SUM(B41:B52)</f>
        <v>2115912.01731549</v>
      </c>
    </row>
    <row r="36" customFormat="false" ht="15" hidden="false" customHeight="false" outlineLevel="0" collapsed="false">
      <c r="A36" s="1" t="s">
        <v>441</v>
      </c>
      <c r="B36" s="0" t="n">
        <f aca="false">MAX(1,SQRT(ABS($B$35)/Inputs!$B$9/$B$34))</f>
        <v>1</v>
      </c>
    </row>
    <row r="37" customFormat="false" ht="15" hidden="false" customHeight="false" outlineLevel="0" collapsed="false">
      <c r="A37" s="1" t="s">
        <v>257</v>
      </c>
      <c r="B37" s="0" t="n">
        <f aca="false">SQRT(MAX(0,SUM(D41:O52)))</f>
        <v>419996.543321242</v>
      </c>
    </row>
    <row r="38" customFormat="false" ht="15" hidden="false" customHeight="false" outlineLevel="0" collapsed="false">
      <c r="A38" s="1" t="s">
        <v>442</v>
      </c>
      <c r="B38" s="0" t="n">
        <f aca="false">SUM(C41:C52)</f>
        <v>423182.403463098</v>
      </c>
    </row>
    <row r="39" customFormat="false" ht="15" hidden="false" customHeight="false" outlineLevel="0" collapsed="false">
      <c r="A39" s="1" t="s">
        <v>417</v>
      </c>
      <c r="B39" s="0" t="n">
        <f aca="false">MAX(-$B$37,MIN($B$37,$B$38))</f>
        <v>419996.543321242</v>
      </c>
    </row>
    <row r="40" customFormat="false" ht="15" hidden="false" customHeight="false" outlineLevel="0" collapsed="false">
      <c r="A40" s="1" t="s">
        <v>418</v>
      </c>
      <c r="B40" s="1" t="s">
        <v>443</v>
      </c>
      <c r="C40" s="1" t="s">
        <v>444</v>
      </c>
      <c r="D40" s="1" t="str">
        <f aca="false">Inputs!$B$14</f>
        <v>2w</v>
      </c>
      <c r="E40" s="1" t="str">
        <f aca="false">Inputs!$C$14</f>
        <v>1m</v>
      </c>
      <c r="F40" s="1" t="str">
        <f aca="false">Inputs!$D$14</f>
        <v>3m</v>
      </c>
      <c r="G40" s="1" t="str">
        <f aca="false">Inputs!$E$14</f>
        <v>6m</v>
      </c>
      <c r="H40" s="1" t="str">
        <f aca="false">Inputs!$F$14</f>
        <v>1y</v>
      </c>
      <c r="I40" s="1" t="str">
        <f aca="false">Inputs!$G$14</f>
        <v>2y</v>
      </c>
      <c r="J40" s="1" t="str">
        <f aca="false">Inputs!$H$14</f>
        <v>3y</v>
      </c>
      <c r="K40" s="1" t="str">
        <f aca="false">Inputs!$I$14</f>
        <v>5y</v>
      </c>
      <c r="L40" s="1" t="str">
        <f aca="false">Inputs!$J$14</f>
        <v>10y</v>
      </c>
      <c r="M40" s="1" t="str">
        <f aca="false">Inputs!$K$14</f>
        <v>15y</v>
      </c>
      <c r="N40" s="1" t="str">
        <f aca="false">Inputs!$L$14</f>
        <v>20y</v>
      </c>
      <c r="O40" s="1" t="str">
        <f aca="false">Inputs!$M$14</f>
        <v>30y</v>
      </c>
    </row>
    <row r="41" customFormat="false" ht="15" hidden="false" customHeight="false" outlineLevel="0" collapsed="false">
      <c r="A41" s="0" t="str">
        <f aca="false">Inputs!$B$14</f>
        <v>2w</v>
      </c>
      <c r="B41" s="0" t="n">
        <f aca="false">SUMIFS(Sensitivities!$I$5:$I$100,Sensitivities!$B$5:$B$100,"Risk_IRVol",Sensitivities!$C$5:$C$100,$B$32,Sensitivities!$E$5:$E$100,$A41)</f>
        <v>0</v>
      </c>
      <c r="C41" s="0" t="n">
        <f aca="false">$B$3*B41*$B$36</f>
        <v>0</v>
      </c>
      <c r="D41" s="0" t="n">
        <f aca="false">SIMM_Delta!$B$8*$C$41*$C$41</f>
        <v>0</v>
      </c>
      <c r="E41" s="0" t="n">
        <f aca="false">SIMM_Delta!$C$8*$C$41*$C$42</f>
        <v>0</v>
      </c>
      <c r="F41" s="0" t="n">
        <f aca="false">SIMM_Delta!$D$8*$C$41*$C$43</f>
        <v>0</v>
      </c>
      <c r="G41" s="0" t="n">
        <f aca="false">SIMM_Delta!$E$8*$C$41*$C$44</f>
        <v>0</v>
      </c>
      <c r="H41" s="0" t="n">
        <f aca="false">SIMM_Delta!$F$8*$C$41*$C$45</f>
        <v>0</v>
      </c>
      <c r="I41" s="0" t="n">
        <f aca="false">SIMM_Delta!$G$8*$C$41*$C$46</f>
        <v>0</v>
      </c>
      <c r="J41" s="0" t="n">
        <f aca="false">SIMM_Delta!$H$8*$C$41*$C$47</f>
        <v>0</v>
      </c>
      <c r="K41" s="0" t="n">
        <f aca="false">SIMM_Delta!$I$8*$C$41*$C$48</f>
        <v>0</v>
      </c>
      <c r="L41" s="0" t="n">
        <f aca="false">SIMM_Delta!$J$8*$C$41*$C$49</f>
        <v>0</v>
      </c>
      <c r="M41" s="0" t="n">
        <f aca="false">SIMM_Delta!$K$8*$C$41*$C$50</f>
        <v>0</v>
      </c>
      <c r="N41" s="0" t="n">
        <f aca="false">SIMM_Delta!$L$8*$C$41*$C$51</f>
        <v>0</v>
      </c>
      <c r="O41" s="0" t="n">
        <f aca="false">SIMM_Delta!$M$8*$C$41*$C$52</f>
        <v>0</v>
      </c>
    </row>
    <row r="42" customFormat="false" ht="15" hidden="false" customHeight="false" outlineLevel="0" collapsed="false">
      <c r="A42" s="0" t="str">
        <f aca="false">Inputs!$C$14</f>
        <v>1m</v>
      </c>
      <c r="B42" s="0" t="n">
        <f aca="false">SUMIFS(Sensitivities!$I$5:$I$100,Sensitivities!$B$5:$B$100,"Risk_IRVol",Sensitivities!$C$5:$C$100,$B$32,Sensitivities!$E$5:$E$100,$A42)</f>
        <v>0</v>
      </c>
      <c r="C42" s="0" t="n">
        <f aca="false">$B$3*B42*$B$36</f>
        <v>0</v>
      </c>
      <c r="D42" s="0" t="n">
        <f aca="false">SIMM_Delta!$B$9*$C$42*$C$41</f>
        <v>0</v>
      </c>
      <c r="E42" s="0" t="n">
        <f aca="false">SIMM_Delta!$C$9*$C$42*$C$42</f>
        <v>0</v>
      </c>
      <c r="F42" s="0" t="n">
        <f aca="false">SIMM_Delta!$D$9*$C$42*$C$43</f>
        <v>0</v>
      </c>
      <c r="G42" s="0" t="n">
        <f aca="false">SIMM_Delta!$E$9*$C$42*$C$44</f>
        <v>0</v>
      </c>
      <c r="H42" s="0" t="n">
        <f aca="false">SIMM_Delta!$F$9*$C$42*$C$45</f>
        <v>0</v>
      </c>
      <c r="I42" s="0" t="n">
        <f aca="false">SIMM_Delta!$G$9*$C$42*$C$46</f>
        <v>0</v>
      </c>
      <c r="J42" s="0" t="n">
        <f aca="false">SIMM_Delta!$H$9*$C$42*$C$47</f>
        <v>0</v>
      </c>
      <c r="K42" s="0" t="n">
        <f aca="false">SIMM_Delta!$I$9*$C$42*$C$48</f>
        <v>0</v>
      </c>
      <c r="L42" s="0" t="n">
        <f aca="false">SIMM_Delta!$J$9*$C$42*$C$49</f>
        <v>0</v>
      </c>
      <c r="M42" s="0" t="n">
        <f aca="false">SIMM_Delta!$K$9*$C$42*$C$50</f>
        <v>0</v>
      </c>
      <c r="N42" s="0" t="n">
        <f aca="false">SIMM_Delta!$L$9*$C$42*$C$51</f>
        <v>0</v>
      </c>
      <c r="O42" s="0" t="n">
        <f aca="false">SIMM_Delta!$M$9*$C$42*$C$52</f>
        <v>0</v>
      </c>
    </row>
    <row r="43" customFormat="false" ht="15" hidden="false" customHeight="false" outlineLevel="0" collapsed="false">
      <c r="A43" s="0" t="str">
        <f aca="false">Inputs!$D$14</f>
        <v>3m</v>
      </c>
      <c r="B43" s="0" t="n">
        <f aca="false">SUMIFS(Sensitivities!$I$5:$I$100,Sensitivities!$B$5:$B$100,"Risk_IRVol",Sensitivities!$C$5:$C$100,$B$32,Sensitivities!$E$5:$E$100,$A43)</f>
        <v>0</v>
      </c>
      <c r="C43" s="0" t="n">
        <f aca="false">$B$3*B43*$B$36</f>
        <v>0</v>
      </c>
      <c r="D43" s="0" t="n">
        <f aca="false">SIMM_Delta!$B$10*$C$43*$C$41</f>
        <v>0</v>
      </c>
      <c r="E43" s="0" t="n">
        <f aca="false">SIMM_Delta!$C$10*$C$43*$C$42</f>
        <v>0</v>
      </c>
      <c r="F43" s="0" t="n">
        <f aca="false">SIMM_Delta!$D$10*$C$43*$C$43</f>
        <v>0</v>
      </c>
      <c r="G43" s="0" t="n">
        <f aca="false">SIMM_Delta!$E$10*$C$43*$C$44</f>
        <v>0</v>
      </c>
      <c r="H43" s="0" t="n">
        <f aca="false">SIMM_Delta!$F$10*$C$43*$C$45</f>
        <v>0</v>
      </c>
      <c r="I43" s="0" t="n">
        <f aca="false">SIMM_Delta!$G$10*$C$43*$C$46</f>
        <v>0</v>
      </c>
      <c r="J43" s="0" t="n">
        <f aca="false">SIMM_Delta!$H$10*$C$43*$C$47</f>
        <v>0</v>
      </c>
      <c r="K43" s="0" t="n">
        <f aca="false">SIMM_Delta!$I$10*$C$43*$C$48</f>
        <v>0</v>
      </c>
      <c r="L43" s="0" t="n">
        <f aca="false">SIMM_Delta!$J$10*$C$43*$C$49</f>
        <v>0</v>
      </c>
      <c r="M43" s="0" t="n">
        <f aca="false">SIMM_Delta!$K$10*$C$43*$C$50</f>
        <v>0</v>
      </c>
      <c r="N43" s="0" t="n">
        <f aca="false">SIMM_Delta!$L$10*$C$43*$C$51</f>
        <v>0</v>
      </c>
      <c r="O43" s="0" t="n">
        <f aca="false">SIMM_Delta!$M$10*$C$43*$C$52</f>
        <v>0</v>
      </c>
    </row>
    <row r="44" customFormat="false" ht="15" hidden="false" customHeight="false" outlineLevel="0" collapsed="false">
      <c r="A44" s="0" t="str">
        <f aca="false">Inputs!$E$14</f>
        <v>6m</v>
      </c>
      <c r="B44" s="0" t="n">
        <f aca="false">SUMIFS(Sensitivities!$I$5:$I$100,Sensitivities!$B$5:$B$100,"Risk_IRVol",Sensitivities!$C$5:$C$100,$B$32,Sensitivities!$E$5:$E$100,$A44)</f>
        <v>0</v>
      </c>
      <c r="C44" s="0" t="n">
        <f aca="false">$B$3*B44*$B$36</f>
        <v>0</v>
      </c>
      <c r="D44" s="0" t="n">
        <f aca="false">SIMM_Delta!$B$11*$C$44*$C$41</f>
        <v>0</v>
      </c>
      <c r="E44" s="0" t="n">
        <f aca="false">SIMM_Delta!$C$11*$C$44*$C$42</f>
        <v>0</v>
      </c>
      <c r="F44" s="0" t="n">
        <f aca="false">SIMM_Delta!$D$11*$C$44*$C$43</f>
        <v>0</v>
      </c>
      <c r="G44" s="0" t="n">
        <f aca="false">SIMM_Delta!$E$11*$C$44*$C$44</f>
        <v>0</v>
      </c>
      <c r="H44" s="0" t="n">
        <f aca="false">SIMM_Delta!$F$11*$C$44*$C$45</f>
        <v>0</v>
      </c>
      <c r="I44" s="0" t="n">
        <f aca="false">SIMM_Delta!$G$11*$C$44*$C$46</f>
        <v>0</v>
      </c>
      <c r="J44" s="0" t="n">
        <f aca="false">SIMM_Delta!$H$11*$C$44*$C$47</f>
        <v>0</v>
      </c>
      <c r="K44" s="0" t="n">
        <f aca="false">SIMM_Delta!$I$11*$C$44*$C$48</f>
        <v>0</v>
      </c>
      <c r="L44" s="0" t="n">
        <f aca="false">SIMM_Delta!$J$11*$C$44*$C$49</f>
        <v>0</v>
      </c>
      <c r="M44" s="0" t="n">
        <f aca="false">SIMM_Delta!$K$11*$C$44*$C$50</f>
        <v>0</v>
      </c>
      <c r="N44" s="0" t="n">
        <f aca="false">SIMM_Delta!$L$11*$C$44*$C$51</f>
        <v>0</v>
      </c>
      <c r="O44" s="0" t="n">
        <f aca="false">SIMM_Delta!$M$11*$C$44*$C$52</f>
        <v>0</v>
      </c>
    </row>
    <row r="45" customFormat="false" ht="15" hidden="false" customHeight="false" outlineLevel="0" collapsed="false">
      <c r="A45" s="0" t="str">
        <f aca="false">Inputs!$F$14</f>
        <v>1y</v>
      </c>
      <c r="B45" s="0" t="n">
        <f aca="false">SUMIFS(Sensitivities!$I$5:$I$100,Sensitivities!$B$5:$B$100,"Risk_IRVol",Sensitivities!$C$5:$C$100,$B$32,Sensitivities!$E$5:$E$100,$A45)</f>
        <v>0</v>
      </c>
      <c r="C45" s="0" t="n">
        <f aca="false">$B$3*B45*$B$36</f>
        <v>0</v>
      </c>
      <c r="D45" s="0" t="n">
        <f aca="false">SIMM_Delta!$B$12*$C$45*$C$41</f>
        <v>0</v>
      </c>
      <c r="E45" s="0" t="n">
        <f aca="false">SIMM_Delta!$C$12*$C$45*$C$42</f>
        <v>0</v>
      </c>
      <c r="F45" s="0" t="n">
        <f aca="false">SIMM_Delta!$D$12*$C$45*$C$43</f>
        <v>0</v>
      </c>
      <c r="G45" s="0" t="n">
        <f aca="false">SIMM_Delta!$E$12*$C$45*$C$44</f>
        <v>0</v>
      </c>
      <c r="H45" s="0" t="n">
        <f aca="false">SIMM_Delta!$F$12*$C$45*$C$45</f>
        <v>0</v>
      </c>
      <c r="I45" s="0" t="n">
        <f aca="false">SIMM_Delta!$G$12*$C$45*$C$46</f>
        <v>0</v>
      </c>
      <c r="J45" s="0" t="n">
        <f aca="false">SIMM_Delta!$H$12*$C$45*$C$47</f>
        <v>0</v>
      </c>
      <c r="K45" s="0" t="n">
        <f aca="false">SIMM_Delta!$I$12*$C$45*$C$48</f>
        <v>0</v>
      </c>
      <c r="L45" s="0" t="n">
        <f aca="false">SIMM_Delta!$J$12*$C$45*$C$49</f>
        <v>0</v>
      </c>
      <c r="M45" s="0" t="n">
        <f aca="false">SIMM_Delta!$K$12*$C$45*$C$50</f>
        <v>0</v>
      </c>
      <c r="N45" s="0" t="n">
        <f aca="false">SIMM_Delta!$L$12*$C$45*$C$51</f>
        <v>0</v>
      </c>
      <c r="O45" s="0" t="n">
        <f aca="false">SIMM_Delta!$M$12*$C$45*$C$52</f>
        <v>0</v>
      </c>
    </row>
    <row r="46" customFormat="false" ht="15" hidden="false" customHeight="false" outlineLevel="0" collapsed="false">
      <c r="A46" s="0" t="str">
        <f aca="false">Inputs!$G$14</f>
        <v>2y</v>
      </c>
      <c r="B46" s="0" t="n">
        <f aca="false">SUMIFS(Sensitivities!$I$5:$I$100,Sensitivities!$B$5:$B$100,"Risk_IRVol",Sensitivities!$C$5:$C$100,$B$32,Sensitivities!$E$5:$E$100,$A46)</f>
        <v>0</v>
      </c>
      <c r="C46" s="0" t="n">
        <f aca="false">$B$3*B46*$B$36</f>
        <v>0</v>
      </c>
      <c r="D46" s="0" t="n">
        <f aca="false">SIMM_Delta!$B$13*$C$46*$C$41</f>
        <v>0</v>
      </c>
      <c r="E46" s="0" t="n">
        <f aca="false">SIMM_Delta!$C$13*$C$46*$C$42</f>
        <v>0</v>
      </c>
      <c r="F46" s="0" t="n">
        <f aca="false">SIMM_Delta!$D$13*$C$46*$C$43</f>
        <v>0</v>
      </c>
      <c r="G46" s="0" t="n">
        <f aca="false">SIMM_Delta!$E$13*$C$46*$C$44</f>
        <v>0</v>
      </c>
      <c r="H46" s="0" t="n">
        <f aca="false">SIMM_Delta!$F$13*$C$46*$C$45</f>
        <v>0</v>
      </c>
      <c r="I46" s="0" t="n">
        <f aca="false">SIMM_Delta!$G$13*$C$46*$C$46</f>
        <v>0</v>
      </c>
      <c r="J46" s="0" t="n">
        <f aca="false">SIMM_Delta!$H$13*$C$46*$C$47</f>
        <v>0</v>
      </c>
      <c r="K46" s="0" t="n">
        <f aca="false">SIMM_Delta!$I$13*$C$46*$C$48</f>
        <v>0</v>
      </c>
      <c r="L46" s="0" t="n">
        <f aca="false">SIMM_Delta!$J$13*$C$46*$C$49</f>
        <v>0</v>
      </c>
      <c r="M46" s="0" t="n">
        <f aca="false">SIMM_Delta!$K$13*$C$46*$C$50</f>
        <v>0</v>
      </c>
      <c r="N46" s="0" t="n">
        <f aca="false">SIMM_Delta!$L$13*$C$46*$C$51</f>
        <v>0</v>
      </c>
      <c r="O46" s="0" t="n">
        <f aca="false">SIMM_Delta!$M$13*$C$46*$C$52</f>
        <v>0</v>
      </c>
    </row>
    <row r="47" customFormat="false" ht="15" hidden="false" customHeight="false" outlineLevel="0" collapsed="false">
      <c r="A47" s="0" t="str">
        <f aca="false">Inputs!$H$14</f>
        <v>3y</v>
      </c>
      <c r="B47" s="0" t="n">
        <f aca="false">SUMIFS(Sensitivities!$I$5:$I$100,Sensitivities!$B$5:$B$100,"Risk_IRVol",Sensitivities!$C$5:$C$100,$B$32,Sensitivities!$E$5:$E$100,$A47)</f>
        <v>1057956.00865774</v>
      </c>
      <c r="C47" s="0" t="n">
        <f aca="false">$B$3*B47*$B$36</f>
        <v>211591.201731549</v>
      </c>
      <c r="D47" s="0" t="n">
        <f aca="false">SIMM_Delta!$B$14*$C$47*$C$41</f>
        <v>0</v>
      </c>
      <c r="E47" s="0" t="n">
        <f aca="false">SIMM_Delta!$C$14*$C$47*$C$42</f>
        <v>0</v>
      </c>
      <c r="F47" s="0" t="n">
        <f aca="false">SIMM_Delta!$D$14*$C$47*$C$43</f>
        <v>0</v>
      </c>
      <c r="G47" s="0" t="n">
        <f aca="false">SIMM_Delta!$E$14*$C$47*$C$44</f>
        <v>0</v>
      </c>
      <c r="H47" s="0" t="n">
        <f aca="false">SIMM_Delta!$F$14*$C$47*$C$45</f>
        <v>0</v>
      </c>
      <c r="I47" s="0" t="n">
        <f aca="false">SIMM_Delta!$G$14*$C$47*$C$46</f>
        <v>0</v>
      </c>
      <c r="J47" s="0" t="n">
        <f aca="false">SIMM_Delta!$H$14*$C$47*$C$47</f>
        <v>44770836650.201</v>
      </c>
      <c r="K47" s="0" t="n">
        <f aca="false">SIMM_Delta!$I$14*$C$47*$C$48</f>
        <v>43427711550.695</v>
      </c>
      <c r="L47" s="0" t="n">
        <f aca="false">SIMM_Delta!$J$14*$C$47*$C$49</f>
        <v>0</v>
      </c>
      <c r="M47" s="0" t="n">
        <f aca="false">SIMM_Delta!$K$14*$C$47*$C$50</f>
        <v>0</v>
      </c>
      <c r="N47" s="0" t="n">
        <f aca="false">SIMM_Delta!$L$14*$C$47*$C$51</f>
        <v>0</v>
      </c>
      <c r="O47" s="0" t="n">
        <f aca="false">SIMM_Delta!$M$14*$C$47*$C$52</f>
        <v>0</v>
      </c>
    </row>
    <row r="48" customFormat="false" ht="15" hidden="false" customHeight="false" outlineLevel="0" collapsed="false">
      <c r="A48" s="0" t="str">
        <f aca="false">Inputs!$I$14</f>
        <v>5y</v>
      </c>
      <c r="B48" s="0" t="n">
        <f aca="false">SUMIFS(Sensitivities!$I$5:$I$100,Sensitivities!$B$5:$B$100,"Risk_IRVol",Sensitivities!$C$5:$C$100,$B$32,Sensitivities!$E$5:$E$100,$A48)</f>
        <v>1057956.00865774</v>
      </c>
      <c r="C48" s="0" t="n">
        <f aca="false">$B$3*B48*$B$36</f>
        <v>211591.201731549</v>
      </c>
      <c r="D48" s="0" t="n">
        <f aca="false">SIMM_Delta!$B$15*$C$48*$C$41</f>
        <v>0</v>
      </c>
      <c r="E48" s="0" t="n">
        <f aca="false">SIMM_Delta!$C$15*$C$48*$C$42</f>
        <v>0</v>
      </c>
      <c r="F48" s="0" t="n">
        <f aca="false">SIMM_Delta!$D$15*$C$48*$C$43</f>
        <v>0</v>
      </c>
      <c r="G48" s="0" t="n">
        <f aca="false">SIMM_Delta!$E$15*$C$48*$C$44</f>
        <v>0</v>
      </c>
      <c r="H48" s="0" t="n">
        <f aca="false">SIMM_Delta!$F$15*$C$48*$C$45</f>
        <v>0</v>
      </c>
      <c r="I48" s="0" t="n">
        <f aca="false">SIMM_Delta!$G$15*$C$48*$C$46</f>
        <v>0</v>
      </c>
      <c r="J48" s="0" t="n">
        <f aca="false">SIMM_Delta!$H$15*$C$48*$C$47</f>
        <v>43427711550.695</v>
      </c>
      <c r="K48" s="0" t="n">
        <f aca="false">SIMM_Delta!$I$15*$C$48*$C$48</f>
        <v>44770836650.201</v>
      </c>
      <c r="L48" s="0" t="n">
        <f aca="false">SIMM_Delta!$J$15*$C$48*$C$49</f>
        <v>0</v>
      </c>
      <c r="M48" s="0" t="n">
        <f aca="false">SIMM_Delta!$K$15*$C$48*$C$50</f>
        <v>0</v>
      </c>
      <c r="N48" s="0" t="n">
        <f aca="false">SIMM_Delta!$L$15*$C$48*$C$51</f>
        <v>0</v>
      </c>
      <c r="O48" s="0" t="n">
        <f aca="false">SIMM_Delta!$M$15*$C$48*$C$52</f>
        <v>0</v>
      </c>
    </row>
    <row r="49" customFormat="false" ht="15" hidden="false" customHeight="false" outlineLevel="0" collapsed="false">
      <c r="A49" s="0" t="str">
        <f aca="false">Inputs!$J$14</f>
        <v>10y</v>
      </c>
      <c r="B49" s="0" t="n">
        <f aca="false">SUMIFS(Sensitivities!$I$5:$I$100,Sensitivities!$B$5:$B$100,"Risk_IRVol",Sensitivities!$C$5:$C$100,$B$32,Sensitivities!$E$5:$E$100,$A49)</f>
        <v>0</v>
      </c>
      <c r="C49" s="0" t="n">
        <f aca="false">$B$3*B49*$B$36</f>
        <v>0</v>
      </c>
      <c r="D49" s="0" t="n">
        <f aca="false">SIMM_Delta!$B$16*$C$49*$C$41</f>
        <v>0</v>
      </c>
      <c r="E49" s="0" t="n">
        <f aca="false">SIMM_Delta!$C$16*$C$49*$C$42</f>
        <v>0</v>
      </c>
      <c r="F49" s="0" t="n">
        <f aca="false">SIMM_Delta!$D$16*$C$49*$C$43</f>
        <v>0</v>
      </c>
      <c r="G49" s="0" t="n">
        <f aca="false">SIMM_Delta!$E$16*$C$49*$C$44</f>
        <v>0</v>
      </c>
      <c r="H49" s="0" t="n">
        <f aca="false">SIMM_Delta!$F$16*$C$49*$C$45</f>
        <v>0</v>
      </c>
      <c r="I49" s="0" t="n">
        <f aca="false">SIMM_Delta!$G$16*$C$49*$C$46</f>
        <v>0</v>
      </c>
      <c r="J49" s="0" t="n">
        <f aca="false">SIMM_Delta!$H$16*$C$49*$C$47</f>
        <v>0</v>
      </c>
      <c r="K49" s="0" t="n">
        <f aca="false">SIMM_Delta!$I$16*$C$49*$C$48</f>
        <v>0</v>
      </c>
      <c r="L49" s="0" t="n">
        <f aca="false">SIMM_Delta!$J$16*$C$49*$C$49</f>
        <v>0</v>
      </c>
      <c r="M49" s="0" t="n">
        <f aca="false">SIMM_Delta!$K$16*$C$49*$C$50</f>
        <v>0</v>
      </c>
      <c r="N49" s="0" t="n">
        <f aca="false">SIMM_Delta!$L$16*$C$49*$C$51</f>
        <v>0</v>
      </c>
      <c r="O49" s="0" t="n">
        <f aca="false">SIMM_Delta!$M$16*$C$49*$C$52</f>
        <v>0</v>
      </c>
    </row>
    <row r="50" customFormat="false" ht="15" hidden="false" customHeight="false" outlineLevel="0" collapsed="false">
      <c r="A50" s="0" t="str">
        <f aca="false">Inputs!$K$14</f>
        <v>15y</v>
      </c>
      <c r="B50" s="0" t="n">
        <f aca="false">SUMIFS(Sensitivities!$I$5:$I$100,Sensitivities!$B$5:$B$100,"Risk_IRVol",Sensitivities!$C$5:$C$100,$B$32,Sensitivities!$E$5:$E$100,$A50)</f>
        <v>0</v>
      </c>
      <c r="C50" s="0" t="n">
        <f aca="false">$B$3*B50*$B$36</f>
        <v>0</v>
      </c>
      <c r="D50" s="0" t="n">
        <f aca="false">SIMM_Delta!$B$17*$C$50*$C$41</f>
        <v>0</v>
      </c>
      <c r="E50" s="0" t="n">
        <f aca="false">SIMM_Delta!$C$17*$C$50*$C$42</f>
        <v>0</v>
      </c>
      <c r="F50" s="0" t="n">
        <f aca="false">SIMM_Delta!$D$17*$C$50*$C$43</f>
        <v>0</v>
      </c>
      <c r="G50" s="0" t="n">
        <f aca="false">SIMM_Delta!$E$17*$C$50*$C$44</f>
        <v>0</v>
      </c>
      <c r="H50" s="0" t="n">
        <f aca="false">SIMM_Delta!$F$17*$C$50*$C$45</f>
        <v>0</v>
      </c>
      <c r="I50" s="0" t="n">
        <f aca="false">SIMM_Delta!$G$17*$C$50*$C$46</f>
        <v>0</v>
      </c>
      <c r="J50" s="0" t="n">
        <f aca="false">SIMM_Delta!$H$17*$C$50*$C$47</f>
        <v>0</v>
      </c>
      <c r="K50" s="0" t="n">
        <f aca="false">SIMM_Delta!$I$17*$C$50*$C$48</f>
        <v>0</v>
      </c>
      <c r="L50" s="0" t="n">
        <f aca="false">SIMM_Delta!$J$17*$C$50*$C$49</f>
        <v>0</v>
      </c>
      <c r="M50" s="0" t="n">
        <f aca="false">SIMM_Delta!$K$17*$C$50*$C$50</f>
        <v>0</v>
      </c>
      <c r="N50" s="0" t="n">
        <f aca="false">SIMM_Delta!$L$17*$C$50*$C$51</f>
        <v>0</v>
      </c>
      <c r="O50" s="0" t="n">
        <f aca="false">SIMM_Delta!$M$17*$C$50*$C$52</f>
        <v>0</v>
      </c>
    </row>
    <row r="51" customFormat="false" ht="15" hidden="false" customHeight="false" outlineLevel="0" collapsed="false">
      <c r="A51" s="0" t="str">
        <f aca="false">Inputs!$L$14</f>
        <v>20y</v>
      </c>
      <c r="B51" s="0" t="n">
        <f aca="false">SUMIFS(Sensitivities!$I$5:$I$100,Sensitivities!$B$5:$B$100,"Risk_IRVol",Sensitivities!$C$5:$C$100,$B$32,Sensitivities!$E$5:$E$100,$A51)</f>
        <v>0</v>
      </c>
      <c r="C51" s="0" t="n">
        <f aca="false">$B$3*B51*$B$36</f>
        <v>0</v>
      </c>
      <c r="D51" s="0" t="n">
        <f aca="false">SIMM_Delta!$B$18*$C$51*$C$41</f>
        <v>0</v>
      </c>
      <c r="E51" s="0" t="n">
        <f aca="false">SIMM_Delta!$C$18*$C$51*$C$42</f>
        <v>0</v>
      </c>
      <c r="F51" s="0" t="n">
        <f aca="false">SIMM_Delta!$D$18*$C$51*$C$43</f>
        <v>0</v>
      </c>
      <c r="G51" s="0" t="n">
        <f aca="false">SIMM_Delta!$E$18*$C$51*$C$44</f>
        <v>0</v>
      </c>
      <c r="H51" s="0" t="n">
        <f aca="false">SIMM_Delta!$F$18*$C$51*$C$45</f>
        <v>0</v>
      </c>
      <c r="I51" s="0" t="n">
        <f aca="false">SIMM_Delta!$G$18*$C$51*$C$46</f>
        <v>0</v>
      </c>
      <c r="J51" s="0" t="n">
        <f aca="false">SIMM_Delta!$H$18*$C$51*$C$47</f>
        <v>0</v>
      </c>
      <c r="K51" s="0" t="n">
        <f aca="false">SIMM_Delta!$I$18*$C$51*$C$48</f>
        <v>0</v>
      </c>
      <c r="L51" s="0" t="n">
        <f aca="false">SIMM_Delta!$J$18*$C$51*$C$49</f>
        <v>0</v>
      </c>
      <c r="M51" s="0" t="n">
        <f aca="false">SIMM_Delta!$K$18*$C$51*$C$50</f>
        <v>0</v>
      </c>
      <c r="N51" s="0" t="n">
        <f aca="false">SIMM_Delta!$L$18*$C$51*$C$51</f>
        <v>0</v>
      </c>
      <c r="O51" s="0" t="n">
        <f aca="false">SIMM_Delta!$M$18*$C$51*$C$52</f>
        <v>0</v>
      </c>
    </row>
    <row r="52" customFormat="false" ht="15" hidden="false" customHeight="false" outlineLevel="0" collapsed="false">
      <c r="A52" s="0" t="str">
        <f aca="false">Inputs!$M$14</f>
        <v>30y</v>
      </c>
      <c r="B52" s="0" t="n">
        <f aca="false">SUMIFS(Sensitivities!$I$5:$I$100,Sensitivities!$B$5:$B$100,"Risk_IRVol",Sensitivities!$C$5:$C$100,$B$32,Sensitivities!$E$5:$E$100,$A52)</f>
        <v>0</v>
      </c>
      <c r="C52" s="0" t="n">
        <f aca="false">$B$3*B52*$B$36</f>
        <v>0</v>
      </c>
      <c r="D52" s="0" t="n">
        <f aca="false">SIMM_Delta!$B$19*$C$52*$C$41</f>
        <v>0</v>
      </c>
      <c r="E52" s="0" t="n">
        <f aca="false">SIMM_Delta!$C$19*$C$52*$C$42</f>
        <v>0</v>
      </c>
      <c r="F52" s="0" t="n">
        <f aca="false">SIMM_Delta!$D$19*$C$52*$C$43</f>
        <v>0</v>
      </c>
      <c r="G52" s="0" t="n">
        <f aca="false">SIMM_Delta!$E$19*$C$52*$C$44</f>
        <v>0</v>
      </c>
      <c r="H52" s="0" t="n">
        <f aca="false">SIMM_Delta!$F$19*$C$52*$C$45</f>
        <v>0</v>
      </c>
      <c r="I52" s="0" t="n">
        <f aca="false">SIMM_Delta!$G$19*$C$52*$C$46</f>
        <v>0</v>
      </c>
      <c r="J52" s="0" t="n">
        <f aca="false">SIMM_Delta!$H$19*$C$52*$C$47</f>
        <v>0</v>
      </c>
      <c r="K52" s="0" t="n">
        <f aca="false">SIMM_Delta!$I$19*$C$52*$C$48</f>
        <v>0</v>
      </c>
      <c r="L52" s="0" t="n">
        <f aca="false">SIMM_Delta!$J$19*$C$52*$C$49</f>
        <v>0</v>
      </c>
      <c r="M52" s="0" t="n">
        <f aca="false">SIMM_Delta!$K$19*$C$52*$C$50</f>
        <v>0</v>
      </c>
      <c r="N52" s="0" t="n">
        <f aca="false">SIMM_Delta!$L$19*$C$52*$C$51</f>
        <v>0</v>
      </c>
      <c r="O52" s="0" t="n">
        <f aca="false">SIMM_Delta!$M$19*$C$52*$C$52</f>
        <v>0</v>
      </c>
    </row>
    <row r="56" customFormat="false" ht="15" hidden="false" customHeight="false" outlineLevel="0" collapsed="false">
      <c r="A56" s="1" t="s">
        <v>43</v>
      </c>
      <c r="B56" s="0" t="str">
        <f aca="false">Inputs!$D$13</f>
        <v>GBP</v>
      </c>
    </row>
    <row r="57" customFormat="false" ht="15" hidden="false" customHeight="false" outlineLevel="0" collapsed="false">
      <c r="A57" s="1" t="s">
        <v>412</v>
      </c>
      <c r="B57" s="0" t="str">
        <f aca="false">IF(ISNUMBER(MATCH(Inputs!$B$4&amp;"|IR|ct_group_member|regular_well_traded|"&amp;$B$56,Parameters!$A$5:$A$689,0)),"regular_well_traded",IF(ISNUMBER(MATCH(Inputs!$B$4&amp;"|IR|ct_group_member|regular_less_well_traded|"&amp;$B$56,Parameters!$A$5:$A$689,0)),"regular_less_well_traded",IF(ISNUMBER(MATCH(Inputs!$B$4&amp;"|IR|ct_group_member|low|"&amp;$B$56,Parameters!$A$5:$A$689,0)),"low","high")))</f>
        <v>regular_well_traded</v>
      </c>
    </row>
    <row r="58" customFormat="false" ht="15" hidden="false" customHeight="false" outlineLevel="0" collapsed="false">
      <c r="A58" s="1" t="s">
        <v>439</v>
      </c>
      <c r="B58" s="0" t="n">
        <f aca="false">INDEX(Parameters!$G$5:$G$689,MATCH(Inputs!$B$4&amp;"|IR|"&amp;"vega_ct"&amp;"|"&amp;$B$57&amp;"|"&amp;"",Parameters!$A$5:$A$689,0))</f>
        <v>3800</v>
      </c>
    </row>
    <row r="59" customFormat="false" ht="15" hidden="false" customHeight="false" outlineLevel="0" collapsed="false">
      <c r="A59" s="1" t="s">
        <v>440</v>
      </c>
      <c r="B59" s="0" t="n">
        <f aca="false">SUM(B65:B76)</f>
        <v>-1031428.13073434</v>
      </c>
    </row>
    <row r="60" customFormat="false" ht="15" hidden="false" customHeight="false" outlineLevel="0" collapsed="false">
      <c r="A60" s="1" t="s">
        <v>441</v>
      </c>
      <c r="B60" s="0" t="n">
        <f aca="false">MAX(1,SQRT(ABS($B$59)/Inputs!$B$9/$B$58))</f>
        <v>1</v>
      </c>
    </row>
    <row r="61" customFormat="false" ht="15" hidden="false" customHeight="false" outlineLevel="0" collapsed="false">
      <c r="A61" s="1" t="s">
        <v>257</v>
      </c>
      <c r="B61" s="0" t="n">
        <f aca="false">SQRT(MAX(0,SUM(D65:O76)))</f>
        <v>206285.626146868</v>
      </c>
    </row>
    <row r="62" customFormat="false" ht="15" hidden="false" customHeight="false" outlineLevel="0" collapsed="false">
      <c r="A62" s="1" t="s">
        <v>442</v>
      </c>
      <c r="B62" s="0" t="n">
        <f aca="false">SUM(C65:C76)</f>
        <v>-206285.626146868</v>
      </c>
    </row>
    <row r="63" customFormat="false" ht="15" hidden="false" customHeight="false" outlineLevel="0" collapsed="false">
      <c r="A63" s="1" t="s">
        <v>417</v>
      </c>
      <c r="B63" s="0" t="n">
        <f aca="false">MAX(-$B$61,MIN($B$61,$B$62))</f>
        <v>-206285.626146868</v>
      </c>
    </row>
    <row r="64" customFormat="false" ht="15" hidden="false" customHeight="false" outlineLevel="0" collapsed="false">
      <c r="A64" s="1" t="s">
        <v>418</v>
      </c>
      <c r="B64" s="1" t="s">
        <v>443</v>
      </c>
      <c r="C64" s="1" t="s">
        <v>444</v>
      </c>
      <c r="D64" s="1" t="str">
        <f aca="false">Inputs!$B$14</f>
        <v>2w</v>
      </c>
      <c r="E64" s="1" t="str">
        <f aca="false">Inputs!$C$14</f>
        <v>1m</v>
      </c>
      <c r="F64" s="1" t="str">
        <f aca="false">Inputs!$D$14</f>
        <v>3m</v>
      </c>
      <c r="G64" s="1" t="str">
        <f aca="false">Inputs!$E$14</f>
        <v>6m</v>
      </c>
      <c r="H64" s="1" t="str">
        <f aca="false">Inputs!$F$14</f>
        <v>1y</v>
      </c>
      <c r="I64" s="1" t="str">
        <f aca="false">Inputs!$G$14</f>
        <v>2y</v>
      </c>
      <c r="J64" s="1" t="str">
        <f aca="false">Inputs!$H$14</f>
        <v>3y</v>
      </c>
      <c r="K64" s="1" t="str">
        <f aca="false">Inputs!$I$14</f>
        <v>5y</v>
      </c>
      <c r="L64" s="1" t="str">
        <f aca="false">Inputs!$J$14</f>
        <v>10y</v>
      </c>
      <c r="M64" s="1" t="str">
        <f aca="false">Inputs!$K$14</f>
        <v>15y</v>
      </c>
      <c r="N64" s="1" t="str">
        <f aca="false">Inputs!$L$14</f>
        <v>20y</v>
      </c>
      <c r="O64" s="1" t="str">
        <f aca="false">Inputs!$M$14</f>
        <v>30y</v>
      </c>
    </row>
    <row r="65" customFormat="false" ht="15" hidden="false" customHeight="false" outlineLevel="0" collapsed="false">
      <c r="A65" s="0" t="str">
        <f aca="false">Inputs!$B$14</f>
        <v>2w</v>
      </c>
      <c r="B65" s="0" t="n">
        <f aca="false">SUMIFS(Sensitivities!$I$5:$I$100,Sensitivities!$B$5:$B$100,"Risk_IRVol",Sensitivities!$C$5:$C$100,$B$56,Sensitivities!$E$5:$E$100,$A65)</f>
        <v>0</v>
      </c>
      <c r="C65" s="0" t="n">
        <f aca="false">$B$3*B65*$B$60</f>
        <v>0</v>
      </c>
      <c r="D65" s="0" t="n">
        <f aca="false">SIMM_Delta!$B$8*$C$65*$C$65</f>
        <v>0</v>
      </c>
      <c r="E65" s="0" t="n">
        <f aca="false">SIMM_Delta!$C$8*$C$65*$C$66</f>
        <v>0</v>
      </c>
      <c r="F65" s="0" t="n">
        <f aca="false">SIMM_Delta!$D$8*$C$65*$C$67</f>
        <v>0</v>
      </c>
      <c r="G65" s="0" t="n">
        <f aca="false">SIMM_Delta!$E$8*$C$65*$C$68</f>
        <v>0</v>
      </c>
      <c r="H65" s="0" t="n">
        <f aca="false">SIMM_Delta!$F$8*$C$65*$C$69</f>
        <v>0</v>
      </c>
      <c r="I65" s="0" t="n">
        <f aca="false">SIMM_Delta!$G$8*$C$65*$C$70</f>
        <v>0</v>
      </c>
      <c r="J65" s="0" t="n">
        <f aca="false">SIMM_Delta!$H$8*$C$65*$C$71</f>
        <v>0</v>
      </c>
      <c r="K65" s="0" t="n">
        <f aca="false">SIMM_Delta!$I$8*$C$65*$C$72</f>
        <v>-0</v>
      </c>
      <c r="L65" s="0" t="n">
        <f aca="false">SIMM_Delta!$J$8*$C$65*$C$73</f>
        <v>0</v>
      </c>
      <c r="M65" s="0" t="n">
        <f aca="false">SIMM_Delta!$K$8*$C$65*$C$74</f>
        <v>0</v>
      </c>
      <c r="N65" s="0" t="n">
        <f aca="false">SIMM_Delta!$L$8*$C$65*$C$75</f>
        <v>0</v>
      </c>
      <c r="O65" s="0" t="n">
        <f aca="false">SIMM_Delta!$M$8*$C$65*$C$76</f>
        <v>0</v>
      </c>
    </row>
    <row r="66" customFormat="false" ht="15" hidden="false" customHeight="false" outlineLevel="0" collapsed="false">
      <c r="A66" s="0" t="str">
        <f aca="false">Inputs!$C$14</f>
        <v>1m</v>
      </c>
      <c r="B66" s="0" t="n">
        <f aca="false">SUMIFS(Sensitivities!$I$5:$I$100,Sensitivities!$B$5:$B$100,"Risk_IRVol",Sensitivities!$C$5:$C$100,$B$56,Sensitivities!$E$5:$E$100,$A66)</f>
        <v>0</v>
      </c>
      <c r="C66" s="0" t="n">
        <f aca="false">$B$3*B66*$B$60</f>
        <v>0</v>
      </c>
      <c r="D66" s="0" t="n">
        <f aca="false">SIMM_Delta!$B$9*$C$66*$C$65</f>
        <v>0</v>
      </c>
      <c r="E66" s="0" t="n">
        <f aca="false">SIMM_Delta!$C$9*$C$66*$C$66</f>
        <v>0</v>
      </c>
      <c r="F66" s="0" t="n">
        <f aca="false">SIMM_Delta!$D$9*$C$66*$C$67</f>
        <v>0</v>
      </c>
      <c r="G66" s="0" t="n">
        <f aca="false">SIMM_Delta!$E$9*$C$66*$C$68</f>
        <v>0</v>
      </c>
      <c r="H66" s="0" t="n">
        <f aca="false">SIMM_Delta!$F$9*$C$66*$C$69</f>
        <v>0</v>
      </c>
      <c r="I66" s="0" t="n">
        <f aca="false">SIMM_Delta!$G$9*$C$66*$C$70</f>
        <v>0</v>
      </c>
      <c r="J66" s="0" t="n">
        <f aca="false">SIMM_Delta!$H$9*$C$66*$C$71</f>
        <v>0</v>
      </c>
      <c r="K66" s="0" t="n">
        <f aca="false">SIMM_Delta!$I$9*$C$66*$C$72</f>
        <v>-0</v>
      </c>
      <c r="L66" s="0" t="n">
        <f aca="false">SIMM_Delta!$J$9*$C$66*$C$73</f>
        <v>0</v>
      </c>
      <c r="M66" s="0" t="n">
        <f aca="false">SIMM_Delta!$K$9*$C$66*$C$74</f>
        <v>0</v>
      </c>
      <c r="N66" s="0" t="n">
        <f aca="false">SIMM_Delta!$L$9*$C$66*$C$75</f>
        <v>0</v>
      </c>
      <c r="O66" s="0" t="n">
        <f aca="false">SIMM_Delta!$M$9*$C$66*$C$76</f>
        <v>0</v>
      </c>
    </row>
    <row r="67" customFormat="false" ht="15" hidden="false" customHeight="false" outlineLevel="0" collapsed="false">
      <c r="A67" s="0" t="str">
        <f aca="false">Inputs!$D$14</f>
        <v>3m</v>
      </c>
      <c r="B67" s="0" t="n">
        <f aca="false">SUMIFS(Sensitivities!$I$5:$I$100,Sensitivities!$B$5:$B$100,"Risk_IRVol",Sensitivities!$C$5:$C$100,$B$56,Sensitivities!$E$5:$E$100,$A67)</f>
        <v>0</v>
      </c>
      <c r="C67" s="0" t="n">
        <f aca="false">$B$3*B67*$B$60</f>
        <v>0</v>
      </c>
      <c r="D67" s="0" t="n">
        <f aca="false">SIMM_Delta!$B$10*$C$67*$C$65</f>
        <v>0</v>
      </c>
      <c r="E67" s="0" t="n">
        <f aca="false">SIMM_Delta!$C$10*$C$67*$C$66</f>
        <v>0</v>
      </c>
      <c r="F67" s="0" t="n">
        <f aca="false">SIMM_Delta!$D$10*$C$67*$C$67</f>
        <v>0</v>
      </c>
      <c r="G67" s="0" t="n">
        <f aca="false">SIMM_Delta!$E$10*$C$67*$C$68</f>
        <v>0</v>
      </c>
      <c r="H67" s="0" t="n">
        <f aca="false">SIMM_Delta!$F$10*$C$67*$C$69</f>
        <v>0</v>
      </c>
      <c r="I67" s="0" t="n">
        <f aca="false">SIMM_Delta!$G$10*$C$67*$C$70</f>
        <v>0</v>
      </c>
      <c r="J67" s="0" t="n">
        <f aca="false">SIMM_Delta!$H$10*$C$67*$C$71</f>
        <v>0</v>
      </c>
      <c r="K67" s="0" t="n">
        <f aca="false">SIMM_Delta!$I$10*$C$67*$C$72</f>
        <v>-0</v>
      </c>
      <c r="L67" s="0" t="n">
        <f aca="false">SIMM_Delta!$J$10*$C$67*$C$73</f>
        <v>0</v>
      </c>
      <c r="M67" s="0" t="n">
        <f aca="false">SIMM_Delta!$K$10*$C$67*$C$74</f>
        <v>0</v>
      </c>
      <c r="N67" s="0" t="n">
        <f aca="false">SIMM_Delta!$L$10*$C$67*$C$75</f>
        <v>0</v>
      </c>
      <c r="O67" s="0" t="n">
        <f aca="false">SIMM_Delta!$M$10*$C$67*$C$76</f>
        <v>0</v>
      </c>
    </row>
    <row r="68" customFormat="false" ht="15" hidden="false" customHeight="false" outlineLevel="0" collapsed="false">
      <c r="A68" s="0" t="str">
        <f aca="false">Inputs!$E$14</f>
        <v>6m</v>
      </c>
      <c r="B68" s="0" t="n">
        <f aca="false">SUMIFS(Sensitivities!$I$5:$I$100,Sensitivities!$B$5:$B$100,"Risk_IRVol",Sensitivities!$C$5:$C$100,$B$56,Sensitivities!$E$5:$E$100,$A68)</f>
        <v>0</v>
      </c>
      <c r="C68" s="0" t="n">
        <f aca="false">$B$3*B68*$B$60</f>
        <v>0</v>
      </c>
      <c r="D68" s="0" t="n">
        <f aca="false">SIMM_Delta!$B$11*$C$68*$C$65</f>
        <v>0</v>
      </c>
      <c r="E68" s="0" t="n">
        <f aca="false">SIMM_Delta!$C$11*$C$68*$C$66</f>
        <v>0</v>
      </c>
      <c r="F68" s="0" t="n">
        <f aca="false">SIMM_Delta!$D$11*$C$68*$C$67</f>
        <v>0</v>
      </c>
      <c r="G68" s="0" t="n">
        <f aca="false">SIMM_Delta!$E$11*$C$68*$C$68</f>
        <v>0</v>
      </c>
      <c r="H68" s="0" t="n">
        <f aca="false">SIMM_Delta!$F$11*$C$68*$C$69</f>
        <v>0</v>
      </c>
      <c r="I68" s="0" t="n">
        <f aca="false">SIMM_Delta!$G$11*$C$68*$C$70</f>
        <v>0</v>
      </c>
      <c r="J68" s="0" t="n">
        <f aca="false">SIMM_Delta!$H$11*$C$68*$C$71</f>
        <v>0</v>
      </c>
      <c r="K68" s="0" t="n">
        <f aca="false">SIMM_Delta!$I$11*$C$68*$C$72</f>
        <v>-0</v>
      </c>
      <c r="L68" s="0" t="n">
        <f aca="false">SIMM_Delta!$J$11*$C$68*$C$73</f>
        <v>0</v>
      </c>
      <c r="M68" s="0" t="n">
        <f aca="false">SIMM_Delta!$K$11*$C$68*$C$74</f>
        <v>0</v>
      </c>
      <c r="N68" s="0" t="n">
        <f aca="false">SIMM_Delta!$L$11*$C$68*$C$75</f>
        <v>0</v>
      </c>
      <c r="O68" s="0" t="n">
        <f aca="false">SIMM_Delta!$M$11*$C$68*$C$76</f>
        <v>0</v>
      </c>
    </row>
    <row r="69" customFormat="false" ht="15" hidden="false" customHeight="false" outlineLevel="0" collapsed="false">
      <c r="A69" s="0" t="str">
        <f aca="false">Inputs!$F$14</f>
        <v>1y</v>
      </c>
      <c r="B69" s="0" t="n">
        <f aca="false">SUMIFS(Sensitivities!$I$5:$I$100,Sensitivities!$B$5:$B$100,"Risk_IRVol",Sensitivities!$C$5:$C$100,$B$56,Sensitivities!$E$5:$E$100,$A69)</f>
        <v>0</v>
      </c>
      <c r="C69" s="0" t="n">
        <f aca="false">$B$3*B69*$B$60</f>
        <v>0</v>
      </c>
      <c r="D69" s="0" t="n">
        <f aca="false">SIMM_Delta!$B$12*$C$69*$C$65</f>
        <v>0</v>
      </c>
      <c r="E69" s="0" t="n">
        <f aca="false">SIMM_Delta!$C$12*$C$69*$C$66</f>
        <v>0</v>
      </c>
      <c r="F69" s="0" t="n">
        <f aca="false">SIMM_Delta!$D$12*$C$69*$C$67</f>
        <v>0</v>
      </c>
      <c r="G69" s="0" t="n">
        <f aca="false">SIMM_Delta!$E$12*$C$69*$C$68</f>
        <v>0</v>
      </c>
      <c r="H69" s="0" t="n">
        <f aca="false">SIMM_Delta!$F$12*$C$69*$C$69</f>
        <v>0</v>
      </c>
      <c r="I69" s="0" t="n">
        <f aca="false">SIMM_Delta!$G$12*$C$69*$C$70</f>
        <v>0</v>
      </c>
      <c r="J69" s="0" t="n">
        <f aca="false">SIMM_Delta!$H$12*$C$69*$C$71</f>
        <v>0</v>
      </c>
      <c r="K69" s="0" t="n">
        <f aca="false">SIMM_Delta!$I$12*$C$69*$C$72</f>
        <v>-0</v>
      </c>
      <c r="L69" s="0" t="n">
        <f aca="false">SIMM_Delta!$J$12*$C$69*$C$73</f>
        <v>0</v>
      </c>
      <c r="M69" s="0" t="n">
        <f aca="false">SIMM_Delta!$K$12*$C$69*$C$74</f>
        <v>0</v>
      </c>
      <c r="N69" s="0" t="n">
        <f aca="false">SIMM_Delta!$L$12*$C$69*$C$75</f>
        <v>0</v>
      </c>
      <c r="O69" s="0" t="n">
        <f aca="false">SIMM_Delta!$M$12*$C$69*$C$76</f>
        <v>0</v>
      </c>
    </row>
    <row r="70" customFormat="false" ht="15" hidden="false" customHeight="false" outlineLevel="0" collapsed="false">
      <c r="A70" s="0" t="str">
        <f aca="false">Inputs!$G$14</f>
        <v>2y</v>
      </c>
      <c r="B70" s="0" t="n">
        <f aca="false">SUMIFS(Sensitivities!$I$5:$I$100,Sensitivities!$B$5:$B$100,"Risk_IRVol",Sensitivities!$C$5:$C$100,$B$56,Sensitivities!$E$5:$E$100,$A70)</f>
        <v>0</v>
      </c>
      <c r="C70" s="0" t="n">
        <f aca="false">$B$3*B70*$B$60</f>
        <v>0</v>
      </c>
      <c r="D70" s="0" t="n">
        <f aca="false">SIMM_Delta!$B$13*$C$70*$C$65</f>
        <v>0</v>
      </c>
      <c r="E70" s="0" t="n">
        <f aca="false">SIMM_Delta!$C$13*$C$70*$C$66</f>
        <v>0</v>
      </c>
      <c r="F70" s="0" t="n">
        <f aca="false">SIMM_Delta!$D$13*$C$70*$C$67</f>
        <v>0</v>
      </c>
      <c r="G70" s="0" t="n">
        <f aca="false">SIMM_Delta!$E$13*$C$70*$C$68</f>
        <v>0</v>
      </c>
      <c r="H70" s="0" t="n">
        <f aca="false">SIMM_Delta!$F$13*$C$70*$C$69</f>
        <v>0</v>
      </c>
      <c r="I70" s="0" t="n">
        <f aca="false">SIMM_Delta!$G$13*$C$70*$C$70</f>
        <v>0</v>
      </c>
      <c r="J70" s="0" t="n">
        <f aca="false">SIMM_Delta!$H$13*$C$70*$C$71</f>
        <v>0</v>
      </c>
      <c r="K70" s="0" t="n">
        <f aca="false">SIMM_Delta!$I$13*$C$70*$C$72</f>
        <v>-0</v>
      </c>
      <c r="L70" s="0" t="n">
        <f aca="false">SIMM_Delta!$J$13*$C$70*$C$73</f>
        <v>0</v>
      </c>
      <c r="M70" s="0" t="n">
        <f aca="false">SIMM_Delta!$K$13*$C$70*$C$74</f>
        <v>0</v>
      </c>
      <c r="N70" s="0" t="n">
        <f aca="false">SIMM_Delta!$L$13*$C$70*$C$75</f>
        <v>0</v>
      </c>
      <c r="O70" s="0" t="n">
        <f aca="false">SIMM_Delta!$M$13*$C$70*$C$76</f>
        <v>0</v>
      </c>
    </row>
    <row r="71" customFormat="false" ht="15" hidden="false" customHeight="false" outlineLevel="0" collapsed="false">
      <c r="A71" s="0" t="str">
        <f aca="false">Inputs!$H$14</f>
        <v>3y</v>
      </c>
      <c r="B71" s="0" t="n">
        <f aca="false">SUMIFS(Sensitivities!$I$5:$I$100,Sensitivities!$B$5:$B$100,"Risk_IRVol",Sensitivities!$C$5:$C$100,$B$56,Sensitivities!$E$5:$E$100,$A71)</f>
        <v>0</v>
      </c>
      <c r="C71" s="0" t="n">
        <f aca="false">$B$3*B71*$B$60</f>
        <v>0</v>
      </c>
      <c r="D71" s="0" t="n">
        <f aca="false">SIMM_Delta!$B$14*$C$71*$C$65</f>
        <v>0</v>
      </c>
      <c r="E71" s="0" t="n">
        <f aca="false">SIMM_Delta!$C$14*$C$71*$C$66</f>
        <v>0</v>
      </c>
      <c r="F71" s="0" t="n">
        <f aca="false">SIMM_Delta!$D$14*$C$71*$C$67</f>
        <v>0</v>
      </c>
      <c r="G71" s="0" t="n">
        <f aca="false">SIMM_Delta!$E$14*$C$71*$C$68</f>
        <v>0</v>
      </c>
      <c r="H71" s="0" t="n">
        <f aca="false">SIMM_Delta!$F$14*$C$71*$C$69</f>
        <v>0</v>
      </c>
      <c r="I71" s="0" t="n">
        <f aca="false">SIMM_Delta!$G$14*$C$71*$C$70</f>
        <v>0</v>
      </c>
      <c r="J71" s="0" t="n">
        <f aca="false">SIMM_Delta!$H$14*$C$71*$C$71</f>
        <v>0</v>
      </c>
      <c r="K71" s="0" t="n">
        <f aca="false">SIMM_Delta!$I$14*$C$71*$C$72</f>
        <v>-0</v>
      </c>
      <c r="L71" s="0" t="n">
        <f aca="false">SIMM_Delta!$J$14*$C$71*$C$73</f>
        <v>0</v>
      </c>
      <c r="M71" s="0" t="n">
        <f aca="false">SIMM_Delta!$K$14*$C$71*$C$74</f>
        <v>0</v>
      </c>
      <c r="N71" s="0" t="n">
        <f aca="false">SIMM_Delta!$L$14*$C$71*$C$75</f>
        <v>0</v>
      </c>
      <c r="O71" s="0" t="n">
        <f aca="false">SIMM_Delta!$M$14*$C$71*$C$76</f>
        <v>0</v>
      </c>
    </row>
    <row r="72" customFormat="false" ht="15" hidden="false" customHeight="false" outlineLevel="0" collapsed="false">
      <c r="A72" s="0" t="str">
        <f aca="false">Inputs!$I$14</f>
        <v>5y</v>
      </c>
      <c r="B72" s="0" t="n">
        <f aca="false">SUMIFS(Sensitivities!$I$5:$I$100,Sensitivities!$B$5:$B$100,"Risk_IRVol",Sensitivities!$C$5:$C$100,$B$56,Sensitivities!$E$5:$E$100,$A72)</f>
        <v>-1031428.13073434</v>
      </c>
      <c r="C72" s="0" t="n">
        <f aca="false">$B$3*B72*$B$60</f>
        <v>-206285.626146868</v>
      </c>
      <c r="D72" s="0" t="n">
        <f aca="false">SIMM_Delta!$B$15*$C$72*$C$65</f>
        <v>-0</v>
      </c>
      <c r="E72" s="0" t="n">
        <f aca="false">SIMM_Delta!$C$15*$C$72*$C$66</f>
        <v>-0</v>
      </c>
      <c r="F72" s="0" t="n">
        <f aca="false">SIMM_Delta!$D$15*$C$72*$C$67</f>
        <v>-0</v>
      </c>
      <c r="G72" s="0" t="n">
        <f aca="false">SIMM_Delta!$E$15*$C$72*$C$68</f>
        <v>-0</v>
      </c>
      <c r="H72" s="0" t="n">
        <f aca="false">SIMM_Delta!$F$15*$C$72*$C$69</f>
        <v>-0</v>
      </c>
      <c r="I72" s="0" t="n">
        <f aca="false">SIMM_Delta!$G$15*$C$72*$C$70</f>
        <v>-0</v>
      </c>
      <c r="J72" s="0" t="n">
        <f aca="false">SIMM_Delta!$H$15*$C$72*$C$71</f>
        <v>-0</v>
      </c>
      <c r="K72" s="0" t="n">
        <f aca="false">SIMM_Delta!$I$15*$C$72*$C$72</f>
        <v>42553759554.8055</v>
      </c>
      <c r="L72" s="0" t="n">
        <f aca="false">SIMM_Delta!$J$15*$C$72*$C$73</f>
        <v>-0</v>
      </c>
      <c r="M72" s="0" t="n">
        <f aca="false">SIMM_Delta!$K$15*$C$72*$C$74</f>
        <v>-0</v>
      </c>
      <c r="N72" s="0" t="n">
        <f aca="false">SIMM_Delta!$L$15*$C$72*$C$75</f>
        <v>-0</v>
      </c>
      <c r="O72" s="0" t="n">
        <f aca="false">SIMM_Delta!$M$15*$C$72*$C$76</f>
        <v>-0</v>
      </c>
    </row>
    <row r="73" customFormat="false" ht="15" hidden="false" customHeight="false" outlineLevel="0" collapsed="false">
      <c r="A73" s="0" t="str">
        <f aca="false">Inputs!$J$14</f>
        <v>10y</v>
      </c>
      <c r="B73" s="0" t="n">
        <f aca="false">SUMIFS(Sensitivities!$I$5:$I$100,Sensitivities!$B$5:$B$100,"Risk_IRVol",Sensitivities!$C$5:$C$100,$B$56,Sensitivities!$E$5:$E$100,$A73)</f>
        <v>0</v>
      </c>
      <c r="C73" s="0" t="n">
        <f aca="false">$B$3*B73*$B$60</f>
        <v>0</v>
      </c>
      <c r="D73" s="0" t="n">
        <f aca="false">SIMM_Delta!$B$16*$C$73*$C$65</f>
        <v>0</v>
      </c>
      <c r="E73" s="0" t="n">
        <f aca="false">SIMM_Delta!$C$16*$C$73*$C$66</f>
        <v>0</v>
      </c>
      <c r="F73" s="0" t="n">
        <f aca="false">SIMM_Delta!$D$16*$C$73*$C$67</f>
        <v>0</v>
      </c>
      <c r="G73" s="0" t="n">
        <f aca="false">SIMM_Delta!$E$16*$C$73*$C$68</f>
        <v>0</v>
      </c>
      <c r="H73" s="0" t="n">
        <f aca="false">SIMM_Delta!$F$16*$C$73*$C$69</f>
        <v>0</v>
      </c>
      <c r="I73" s="0" t="n">
        <f aca="false">SIMM_Delta!$G$16*$C$73*$C$70</f>
        <v>0</v>
      </c>
      <c r="J73" s="0" t="n">
        <f aca="false">SIMM_Delta!$H$16*$C$73*$C$71</f>
        <v>0</v>
      </c>
      <c r="K73" s="0" t="n">
        <f aca="false">SIMM_Delta!$I$16*$C$73*$C$72</f>
        <v>-0</v>
      </c>
      <c r="L73" s="0" t="n">
        <f aca="false">SIMM_Delta!$J$16*$C$73*$C$73</f>
        <v>0</v>
      </c>
      <c r="M73" s="0" t="n">
        <f aca="false">SIMM_Delta!$K$16*$C$73*$C$74</f>
        <v>0</v>
      </c>
      <c r="N73" s="0" t="n">
        <f aca="false">SIMM_Delta!$L$16*$C$73*$C$75</f>
        <v>0</v>
      </c>
      <c r="O73" s="0" t="n">
        <f aca="false">SIMM_Delta!$M$16*$C$73*$C$76</f>
        <v>0</v>
      </c>
    </row>
    <row r="74" customFormat="false" ht="15" hidden="false" customHeight="false" outlineLevel="0" collapsed="false">
      <c r="A74" s="0" t="str">
        <f aca="false">Inputs!$K$14</f>
        <v>15y</v>
      </c>
      <c r="B74" s="0" t="n">
        <f aca="false">SUMIFS(Sensitivities!$I$5:$I$100,Sensitivities!$B$5:$B$100,"Risk_IRVol",Sensitivities!$C$5:$C$100,$B$56,Sensitivities!$E$5:$E$100,$A74)</f>
        <v>0</v>
      </c>
      <c r="C74" s="0" t="n">
        <f aca="false">$B$3*B74*$B$60</f>
        <v>0</v>
      </c>
      <c r="D74" s="0" t="n">
        <f aca="false">SIMM_Delta!$B$17*$C$74*$C$65</f>
        <v>0</v>
      </c>
      <c r="E74" s="0" t="n">
        <f aca="false">SIMM_Delta!$C$17*$C$74*$C$66</f>
        <v>0</v>
      </c>
      <c r="F74" s="0" t="n">
        <f aca="false">SIMM_Delta!$D$17*$C$74*$C$67</f>
        <v>0</v>
      </c>
      <c r="G74" s="0" t="n">
        <f aca="false">SIMM_Delta!$E$17*$C$74*$C$68</f>
        <v>0</v>
      </c>
      <c r="H74" s="0" t="n">
        <f aca="false">SIMM_Delta!$F$17*$C$74*$C$69</f>
        <v>0</v>
      </c>
      <c r="I74" s="0" t="n">
        <f aca="false">SIMM_Delta!$G$17*$C$74*$C$70</f>
        <v>0</v>
      </c>
      <c r="J74" s="0" t="n">
        <f aca="false">SIMM_Delta!$H$17*$C$74*$C$71</f>
        <v>0</v>
      </c>
      <c r="K74" s="0" t="n">
        <f aca="false">SIMM_Delta!$I$17*$C$74*$C$72</f>
        <v>-0</v>
      </c>
      <c r="L74" s="0" t="n">
        <f aca="false">SIMM_Delta!$J$17*$C$74*$C$73</f>
        <v>0</v>
      </c>
      <c r="M74" s="0" t="n">
        <f aca="false">SIMM_Delta!$K$17*$C$74*$C$74</f>
        <v>0</v>
      </c>
      <c r="N74" s="0" t="n">
        <f aca="false">SIMM_Delta!$L$17*$C$74*$C$75</f>
        <v>0</v>
      </c>
      <c r="O74" s="0" t="n">
        <f aca="false">SIMM_Delta!$M$17*$C$74*$C$76</f>
        <v>0</v>
      </c>
    </row>
    <row r="75" customFormat="false" ht="15" hidden="false" customHeight="false" outlineLevel="0" collapsed="false">
      <c r="A75" s="0" t="str">
        <f aca="false">Inputs!$L$14</f>
        <v>20y</v>
      </c>
      <c r="B75" s="0" t="n">
        <f aca="false">SUMIFS(Sensitivities!$I$5:$I$100,Sensitivities!$B$5:$B$100,"Risk_IRVol",Sensitivities!$C$5:$C$100,$B$56,Sensitivities!$E$5:$E$100,$A75)</f>
        <v>0</v>
      </c>
      <c r="C75" s="0" t="n">
        <f aca="false">$B$3*B75*$B$60</f>
        <v>0</v>
      </c>
      <c r="D75" s="0" t="n">
        <f aca="false">SIMM_Delta!$B$18*$C$75*$C$65</f>
        <v>0</v>
      </c>
      <c r="E75" s="0" t="n">
        <f aca="false">SIMM_Delta!$C$18*$C$75*$C$66</f>
        <v>0</v>
      </c>
      <c r="F75" s="0" t="n">
        <f aca="false">SIMM_Delta!$D$18*$C$75*$C$67</f>
        <v>0</v>
      </c>
      <c r="G75" s="0" t="n">
        <f aca="false">SIMM_Delta!$E$18*$C$75*$C$68</f>
        <v>0</v>
      </c>
      <c r="H75" s="0" t="n">
        <f aca="false">SIMM_Delta!$F$18*$C$75*$C$69</f>
        <v>0</v>
      </c>
      <c r="I75" s="0" t="n">
        <f aca="false">SIMM_Delta!$G$18*$C$75*$C$70</f>
        <v>0</v>
      </c>
      <c r="J75" s="0" t="n">
        <f aca="false">SIMM_Delta!$H$18*$C$75*$C$71</f>
        <v>0</v>
      </c>
      <c r="K75" s="0" t="n">
        <f aca="false">SIMM_Delta!$I$18*$C$75*$C$72</f>
        <v>-0</v>
      </c>
      <c r="L75" s="0" t="n">
        <f aca="false">SIMM_Delta!$J$18*$C$75*$C$73</f>
        <v>0</v>
      </c>
      <c r="M75" s="0" t="n">
        <f aca="false">SIMM_Delta!$K$18*$C$75*$C$74</f>
        <v>0</v>
      </c>
      <c r="N75" s="0" t="n">
        <f aca="false">SIMM_Delta!$L$18*$C$75*$C$75</f>
        <v>0</v>
      </c>
      <c r="O75" s="0" t="n">
        <f aca="false">SIMM_Delta!$M$18*$C$75*$C$76</f>
        <v>0</v>
      </c>
    </row>
    <row r="76" customFormat="false" ht="15" hidden="false" customHeight="false" outlineLevel="0" collapsed="false">
      <c r="A76" s="0" t="str">
        <f aca="false">Inputs!$M$14</f>
        <v>30y</v>
      </c>
      <c r="B76" s="0" t="n">
        <f aca="false">SUMIFS(Sensitivities!$I$5:$I$100,Sensitivities!$B$5:$B$100,"Risk_IRVol",Sensitivities!$C$5:$C$100,$B$56,Sensitivities!$E$5:$E$100,$A76)</f>
        <v>0</v>
      </c>
      <c r="C76" s="0" t="n">
        <f aca="false">$B$3*B76*$B$60</f>
        <v>0</v>
      </c>
      <c r="D76" s="0" t="n">
        <f aca="false">SIMM_Delta!$B$19*$C$76*$C$65</f>
        <v>0</v>
      </c>
      <c r="E76" s="0" t="n">
        <f aca="false">SIMM_Delta!$C$19*$C$76*$C$66</f>
        <v>0</v>
      </c>
      <c r="F76" s="0" t="n">
        <f aca="false">SIMM_Delta!$D$19*$C$76*$C$67</f>
        <v>0</v>
      </c>
      <c r="G76" s="0" t="n">
        <f aca="false">SIMM_Delta!$E$19*$C$76*$C$68</f>
        <v>0</v>
      </c>
      <c r="H76" s="0" t="n">
        <f aca="false">SIMM_Delta!$F$19*$C$76*$C$69</f>
        <v>0</v>
      </c>
      <c r="I76" s="0" t="n">
        <f aca="false">SIMM_Delta!$G$19*$C$76*$C$70</f>
        <v>0</v>
      </c>
      <c r="J76" s="0" t="n">
        <f aca="false">SIMM_Delta!$H$19*$C$76*$C$71</f>
        <v>0</v>
      </c>
      <c r="K76" s="0" t="n">
        <f aca="false">SIMM_Delta!$I$19*$C$76*$C$72</f>
        <v>-0</v>
      </c>
      <c r="L76" s="0" t="n">
        <f aca="false">SIMM_Delta!$J$19*$C$76*$C$73</f>
        <v>0</v>
      </c>
      <c r="M76" s="0" t="n">
        <f aca="false">SIMM_Delta!$K$19*$C$76*$C$74</f>
        <v>0</v>
      </c>
      <c r="N76" s="0" t="n">
        <f aca="false">SIMM_Delta!$L$19*$C$76*$C$75</f>
        <v>0</v>
      </c>
      <c r="O76" s="0" t="n">
        <f aca="false">SIMM_Delta!$M$19*$C$76*$C$76</f>
        <v>0</v>
      </c>
    </row>
    <row r="80" customFormat="false" ht="15" hidden="false" customHeight="false" outlineLevel="0" collapsed="false">
      <c r="A80" s="1" t="s">
        <v>43</v>
      </c>
      <c r="B80" s="0" t="str">
        <f aca="false">Inputs!$E$13</f>
        <v>JPY</v>
      </c>
    </row>
    <row r="81" customFormat="false" ht="15" hidden="false" customHeight="false" outlineLevel="0" collapsed="false">
      <c r="A81" s="1" t="s">
        <v>412</v>
      </c>
      <c r="B81" s="0" t="str">
        <f aca="false">IF(ISNUMBER(MATCH(Inputs!$B$4&amp;"|IR|ct_group_member|regular_well_traded|"&amp;$B$80,Parameters!$A$5:$A$689,0)),"regular_well_traded",IF(ISNUMBER(MATCH(Inputs!$B$4&amp;"|IR|ct_group_member|regular_less_well_traded|"&amp;$B$80,Parameters!$A$5:$A$689,0)),"regular_less_well_traded",IF(ISNUMBER(MATCH(Inputs!$B$4&amp;"|IR|ct_group_member|low|"&amp;$B$80,Parameters!$A$5:$A$689,0)),"low","high")))</f>
        <v>low</v>
      </c>
    </row>
    <row r="82" customFormat="false" ht="15" hidden="false" customHeight="false" outlineLevel="0" collapsed="false">
      <c r="A82" s="1" t="s">
        <v>439</v>
      </c>
      <c r="B82" s="0" t="n">
        <f aca="false">INDEX(Parameters!$G$5:$G$689,MATCH(Inputs!$B$4&amp;"|IR|"&amp;"vega_ct"&amp;"|"&amp;$B$81&amp;"|"&amp;"",Parameters!$A$5:$A$689,0))</f>
        <v>1100</v>
      </c>
    </row>
    <row r="83" customFormat="false" ht="15" hidden="false" customHeight="false" outlineLevel="0" collapsed="false">
      <c r="A83" s="1" t="s">
        <v>440</v>
      </c>
      <c r="B83" s="0" t="n">
        <f aca="false">SUM(B89:B100)</f>
        <v>0</v>
      </c>
    </row>
    <row r="84" customFormat="false" ht="15" hidden="false" customHeight="false" outlineLevel="0" collapsed="false">
      <c r="A84" s="1" t="s">
        <v>441</v>
      </c>
      <c r="B84" s="0" t="n">
        <f aca="false">MAX(1,SQRT(ABS($B$83)/Inputs!$B$9/$B$82))</f>
        <v>1</v>
      </c>
    </row>
    <row r="85" customFormat="false" ht="15" hidden="false" customHeight="false" outlineLevel="0" collapsed="false">
      <c r="A85" s="1" t="s">
        <v>257</v>
      </c>
      <c r="B85" s="0" t="n">
        <f aca="false">SQRT(MAX(0,SUM(D89:O100)))</f>
        <v>0</v>
      </c>
    </row>
    <row r="86" customFormat="false" ht="15" hidden="false" customHeight="false" outlineLevel="0" collapsed="false">
      <c r="A86" s="1" t="s">
        <v>442</v>
      </c>
      <c r="B86" s="0" t="n">
        <f aca="false">SUM(C89:C100)</f>
        <v>0</v>
      </c>
    </row>
    <row r="87" customFormat="false" ht="15" hidden="false" customHeight="false" outlineLevel="0" collapsed="false">
      <c r="A87" s="1" t="s">
        <v>417</v>
      </c>
      <c r="B87" s="0" t="n">
        <f aca="false">MAX(-$B$85,MIN($B$85,$B$86))</f>
        <v>0</v>
      </c>
    </row>
    <row r="88" customFormat="false" ht="15" hidden="false" customHeight="false" outlineLevel="0" collapsed="false">
      <c r="A88" s="1" t="s">
        <v>418</v>
      </c>
      <c r="B88" s="1" t="s">
        <v>443</v>
      </c>
      <c r="C88" s="1" t="s">
        <v>444</v>
      </c>
      <c r="D88" s="1" t="str">
        <f aca="false">Inputs!$B$14</f>
        <v>2w</v>
      </c>
      <c r="E88" s="1" t="str">
        <f aca="false">Inputs!$C$14</f>
        <v>1m</v>
      </c>
      <c r="F88" s="1" t="str">
        <f aca="false">Inputs!$D$14</f>
        <v>3m</v>
      </c>
      <c r="G88" s="1" t="str">
        <f aca="false">Inputs!$E$14</f>
        <v>6m</v>
      </c>
      <c r="H88" s="1" t="str">
        <f aca="false">Inputs!$F$14</f>
        <v>1y</v>
      </c>
      <c r="I88" s="1" t="str">
        <f aca="false">Inputs!$G$14</f>
        <v>2y</v>
      </c>
      <c r="J88" s="1" t="str">
        <f aca="false">Inputs!$H$14</f>
        <v>3y</v>
      </c>
      <c r="K88" s="1" t="str">
        <f aca="false">Inputs!$I$14</f>
        <v>5y</v>
      </c>
      <c r="L88" s="1" t="str">
        <f aca="false">Inputs!$J$14</f>
        <v>10y</v>
      </c>
      <c r="M88" s="1" t="str">
        <f aca="false">Inputs!$K$14</f>
        <v>15y</v>
      </c>
      <c r="N88" s="1" t="str">
        <f aca="false">Inputs!$L$14</f>
        <v>20y</v>
      </c>
      <c r="O88" s="1" t="str">
        <f aca="false">Inputs!$M$14</f>
        <v>30y</v>
      </c>
    </row>
    <row r="89" customFormat="false" ht="15" hidden="false" customHeight="false" outlineLevel="0" collapsed="false">
      <c r="A89" s="0" t="str">
        <f aca="false">Inputs!$B$14</f>
        <v>2w</v>
      </c>
      <c r="B89" s="0" t="n">
        <f aca="false">SUMIFS(Sensitivities!$I$5:$I$100,Sensitivities!$B$5:$B$100,"Risk_IRVol",Sensitivities!$C$5:$C$100,$B$80,Sensitivities!$E$5:$E$100,$A89)</f>
        <v>0</v>
      </c>
      <c r="C89" s="0" t="n">
        <f aca="false">$B$3*B89*$B$84</f>
        <v>0</v>
      </c>
      <c r="D89" s="0" t="n">
        <f aca="false">SIMM_Delta!$B$8*$C$89*$C$89</f>
        <v>0</v>
      </c>
      <c r="E89" s="0" t="n">
        <f aca="false">SIMM_Delta!$C$8*$C$89*$C$90</f>
        <v>0</v>
      </c>
      <c r="F89" s="0" t="n">
        <f aca="false">SIMM_Delta!$D$8*$C$89*$C$91</f>
        <v>0</v>
      </c>
      <c r="G89" s="0" t="n">
        <f aca="false">SIMM_Delta!$E$8*$C$89*$C$92</f>
        <v>0</v>
      </c>
      <c r="H89" s="0" t="n">
        <f aca="false">SIMM_Delta!$F$8*$C$89*$C$93</f>
        <v>0</v>
      </c>
      <c r="I89" s="0" t="n">
        <f aca="false">SIMM_Delta!$G$8*$C$89*$C$94</f>
        <v>0</v>
      </c>
      <c r="J89" s="0" t="n">
        <f aca="false">SIMM_Delta!$H$8*$C$89*$C$95</f>
        <v>0</v>
      </c>
      <c r="K89" s="0" t="n">
        <f aca="false">SIMM_Delta!$I$8*$C$89*$C$96</f>
        <v>0</v>
      </c>
      <c r="L89" s="0" t="n">
        <f aca="false">SIMM_Delta!$J$8*$C$89*$C$97</f>
        <v>0</v>
      </c>
      <c r="M89" s="0" t="n">
        <f aca="false">SIMM_Delta!$K$8*$C$89*$C$98</f>
        <v>0</v>
      </c>
      <c r="N89" s="0" t="n">
        <f aca="false">SIMM_Delta!$L$8*$C$89*$C$99</f>
        <v>0</v>
      </c>
      <c r="O89" s="0" t="n">
        <f aca="false">SIMM_Delta!$M$8*$C$89*$C$100</f>
        <v>0</v>
      </c>
    </row>
    <row r="90" customFormat="false" ht="15" hidden="false" customHeight="false" outlineLevel="0" collapsed="false">
      <c r="A90" s="0" t="str">
        <f aca="false">Inputs!$C$14</f>
        <v>1m</v>
      </c>
      <c r="B90" s="0" t="n">
        <f aca="false">SUMIFS(Sensitivities!$I$5:$I$100,Sensitivities!$B$5:$B$100,"Risk_IRVol",Sensitivities!$C$5:$C$100,$B$80,Sensitivities!$E$5:$E$100,$A90)</f>
        <v>0</v>
      </c>
      <c r="C90" s="0" t="n">
        <f aca="false">$B$3*B90*$B$84</f>
        <v>0</v>
      </c>
      <c r="D90" s="0" t="n">
        <f aca="false">SIMM_Delta!$B$9*$C$90*$C$89</f>
        <v>0</v>
      </c>
      <c r="E90" s="0" t="n">
        <f aca="false">SIMM_Delta!$C$9*$C$90*$C$90</f>
        <v>0</v>
      </c>
      <c r="F90" s="0" t="n">
        <f aca="false">SIMM_Delta!$D$9*$C$90*$C$91</f>
        <v>0</v>
      </c>
      <c r="G90" s="0" t="n">
        <f aca="false">SIMM_Delta!$E$9*$C$90*$C$92</f>
        <v>0</v>
      </c>
      <c r="H90" s="0" t="n">
        <f aca="false">SIMM_Delta!$F$9*$C$90*$C$93</f>
        <v>0</v>
      </c>
      <c r="I90" s="0" t="n">
        <f aca="false">SIMM_Delta!$G$9*$C$90*$C$94</f>
        <v>0</v>
      </c>
      <c r="J90" s="0" t="n">
        <f aca="false">SIMM_Delta!$H$9*$C$90*$C$95</f>
        <v>0</v>
      </c>
      <c r="K90" s="0" t="n">
        <f aca="false">SIMM_Delta!$I$9*$C$90*$C$96</f>
        <v>0</v>
      </c>
      <c r="L90" s="0" t="n">
        <f aca="false">SIMM_Delta!$J$9*$C$90*$C$97</f>
        <v>0</v>
      </c>
      <c r="M90" s="0" t="n">
        <f aca="false">SIMM_Delta!$K$9*$C$90*$C$98</f>
        <v>0</v>
      </c>
      <c r="N90" s="0" t="n">
        <f aca="false">SIMM_Delta!$L$9*$C$90*$C$99</f>
        <v>0</v>
      </c>
      <c r="O90" s="0" t="n">
        <f aca="false">SIMM_Delta!$M$9*$C$90*$C$100</f>
        <v>0</v>
      </c>
    </row>
    <row r="91" customFormat="false" ht="15" hidden="false" customHeight="false" outlineLevel="0" collapsed="false">
      <c r="A91" s="0" t="str">
        <f aca="false">Inputs!$D$14</f>
        <v>3m</v>
      </c>
      <c r="B91" s="0" t="n">
        <f aca="false">SUMIFS(Sensitivities!$I$5:$I$100,Sensitivities!$B$5:$B$100,"Risk_IRVol",Sensitivities!$C$5:$C$100,$B$80,Sensitivities!$E$5:$E$100,$A91)</f>
        <v>0</v>
      </c>
      <c r="C91" s="0" t="n">
        <f aca="false">$B$3*B91*$B$84</f>
        <v>0</v>
      </c>
      <c r="D91" s="0" t="n">
        <f aca="false">SIMM_Delta!$B$10*$C$91*$C$89</f>
        <v>0</v>
      </c>
      <c r="E91" s="0" t="n">
        <f aca="false">SIMM_Delta!$C$10*$C$91*$C$90</f>
        <v>0</v>
      </c>
      <c r="F91" s="0" t="n">
        <f aca="false">SIMM_Delta!$D$10*$C$91*$C$91</f>
        <v>0</v>
      </c>
      <c r="G91" s="0" t="n">
        <f aca="false">SIMM_Delta!$E$10*$C$91*$C$92</f>
        <v>0</v>
      </c>
      <c r="H91" s="0" t="n">
        <f aca="false">SIMM_Delta!$F$10*$C$91*$C$93</f>
        <v>0</v>
      </c>
      <c r="I91" s="0" t="n">
        <f aca="false">SIMM_Delta!$G$10*$C$91*$C$94</f>
        <v>0</v>
      </c>
      <c r="J91" s="0" t="n">
        <f aca="false">SIMM_Delta!$H$10*$C$91*$C$95</f>
        <v>0</v>
      </c>
      <c r="K91" s="0" t="n">
        <f aca="false">SIMM_Delta!$I$10*$C$91*$C$96</f>
        <v>0</v>
      </c>
      <c r="L91" s="0" t="n">
        <f aca="false">SIMM_Delta!$J$10*$C$91*$C$97</f>
        <v>0</v>
      </c>
      <c r="M91" s="0" t="n">
        <f aca="false">SIMM_Delta!$K$10*$C$91*$C$98</f>
        <v>0</v>
      </c>
      <c r="N91" s="0" t="n">
        <f aca="false">SIMM_Delta!$L$10*$C$91*$C$99</f>
        <v>0</v>
      </c>
      <c r="O91" s="0" t="n">
        <f aca="false">SIMM_Delta!$M$10*$C$91*$C$100</f>
        <v>0</v>
      </c>
    </row>
    <row r="92" customFormat="false" ht="15" hidden="false" customHeight="false" outlineLevel="0" collapsed="false">
      <c r="A92" s="0" t="str">
        <f aca="false">Inputs!$E$14</f>
        <v>6m</v>
      </c>
      <c r="B92" s="0" t="n">
        <f aca="false">SUMIFS(Sensitivities!$I$5:$I$100,Sensitivities!$B$5:$B$100,"Risk_IRVol",Sensitivities!$C$5:$C$100,$B$80,Sensitivities!$E$5:$E$100,$A92)</f>
        <v>0</v>
      </c>
      <c r="C92" s="0" t="n">
        <f aca="false">$B$3*B92*$B$84</f>
        <v>0</v>
      </c>
      <c r="D92" s="0" t="n">
        <f aca="false">SIMM_Delta!$B$11*$C$92*$C$89</f>
        <v>0</v>
      </c>
      <c r="E92" s="0" t="n">
        <f aca="false">SIMM_Delta!$C$11*$C$92*$C$90</f>
        <v>0</v>
      </c>
      <c r="F92" s="0" t="n">
        <f aca="false">SIMM_Delta!$D$11*$C$92*$C$91</f>
        <v>0</v>
      </c>
      <c r="G92" s="0" t="n">
        <f aca="false">SIMM_Delta!$E$11*$C$92*$C$92</f>
        <v>0</v>
      </c>
      <c r="H92" s="0" t="n">
        <f aca="false">SIMM_Delta!$F$11*$C$92*$C$93</f>
        <v>0</v>
      </c>
      <c r="I92" s="0" t="n">
        <f aca="false">SIMM_Delta!$G$11*$C$92*$C$94</f>
        <v>0</v>
      </c>
      <c r="J92" s="0" t="n">
        <f aca="false">SIMM_Delta!$H$11*$C$92*$C$95</f>
        <v>0</v>
      </c>
      <c r="K92" s="0" t="n">
        <f aca="false">SIMM_Delta!$I$11*$C$92*$C$96</f>
        <v>0</v>
      </c>
      <c r="L92" s="0" t="n">
        <f aca="false">SIMM_Delta!$J$11*$C$92*$C$97</f>
        <v>0</v>
      </c>
      <c r="M92" s="0" t="n">
        <f aca="false">SIMM_Delta!$K$11*$C$92*$C$98</f>
        <v>0</v>
      </c>
      <c r="N92" s="0" t="n">
        <f aca="false">SIMM_Delta!$L$11*$C$92*$C$99</f>
        <v>0</v>
      </c>
      <c r="O92" s="0" t="n">
        <f aca="false">SIMM_Delta!$M$11*$C$92*$C$100</f>
        <v>0</v>
      </c>
    </row>
    <row r="93" customFormat="false" ht="15" hidden="false" customHeight="false" outlineLevel="0" collapsed="false">
      <c r="A93" s="0" t="str">
        <f aca="false">Inputs!$F$14</f>
        <v>1y</v>
      </c>
      <c r="B93" s="0" t="n">
        <f aca="false">SUMIFS(Sensitivities!$I$5:$I$100,Sensitivities!$B$5:$B$100,"Risk_IRVol",Sensitivities!$C$5:$C$100,$B$80,Sensitivities!$E$5:$E$100,$A93)</f>
        <v>0</v>
      </c>
      <c r="C93" s="0" t="n">
        <f aca="false">$B$3*B93*$B$84</f>
        <v>0</v>
      </c>
      <c r="D93" s="0" t="n">
        <f aca="false">SIMM_Delta!$B$12*$C$93*$C$89</f>
        <v>0</v>
      </c>
      <c r="E93" s="0" t="n">
        <f aca="false">SIMM_Delta!$C$12*$C$93*$C$90</f>
        <v>0</v>
      </c>
      <c r="F93" s="0" t="n">
        <f aca="false">SIMM_Delta!$D$12*$C$93*$C$91</f>
        <v>0</v>
      </c>
      <c r="G93" s="0" t="n">
        <f aca="false">SIMM_Delta!$E$12*$C$93*$C$92</f>
        <v>0</v>
      </c>
      <c r="H93" s="0" t="n">
        <f aca="false">SIMM_Delta!$F$12*$C$93*$C$93</f>
        <v>0</v>
      </c>
      <c r="I93" s="0" t="n">
        <f aca="false">SIMM_Delta!$G$12*$C$93*$C$94</f>
        <v>0</v>
      </c>
      <c r="J93" s="0" t="n">
        <f aca="false">SIMM_Delta!$H$12*$C$93*$C$95</f>
        <v>0</v>
      </c>
      <c r="K93" s="0" t="n">
        <f aca="false">SIMM_Delta!$I$12*$C$93*$C$96</f>
        <v>0</v>
      </c>
      <c r="L93" s="0" t="n">
        <f aca="false">SIMM_Delta!$J$12*$C$93*$C$97</f>
        <v>0</v>
      </c>
      <c r="M93" s="0" t="n">
        <f aca="false">SIMM_Delta!$K$12*$C$93*$C$98</f>
        <v>0</v>
      </c>
      <c r="N93" s="0" t="n">
        <f aca="false">SIMM_Delta!$L$12*$C$93*$C$99</f>
        <v>0</v>
      </c>
      <c r="O93" s="0" t="n">
        <f aca="false">SIMM_Delta!$M$12*$C$93*$C$100</f>
        <v>0</v>
      </c>
    </row>
    <row r="94" customFormat="false" ht="15" hidden="false" customHeight="false" outlineLevel="0" collapsed="false">
      <c r="A94" s="0" t="str">
        <f aca="false">Inputs!$G$14</f>
        <v>2y</v>
      </c>
      <c r="B94" s="0" t="n">
        <f aca="false">SUMIFS(Sensitivities!$I$5:$I$100,Sensitivities!$B$5:$B$100,"Risk_IRVol",Sensitivities!$C$5:$C$100,$B$80,Sensitivities!$E$5:$E$100,$A94)</f>
        <v>0</v>
      </c>
      <c r="C94" s="0" t="n">
        <f aca="false">$B$3*B94*$B$84</f>
        <v>0</v>
      </c>
      <c r="D94" s="0" t="n">
        <f aca="false">SIMM_Delta!$B$13*$C$94*$C$89</f>
        <v>0</v>
      </c>
      <c r="E94" s="0" t="n">
        <f aca="false">SIMM_Delta!$C$13*$C$94*$C$90</f>
        <v>0</v>
      </c>
      <c r="F94" s="0" t="n">
        <f aca="false">SIMM_Delta!$D$13*$C$94*$C$91</f>
        <v>0</v>
      </c>
      <c r="G94" s="0" t="n">
        <f aca="false">SIMM_Delta!$E$13*$C$94*$C$92</f>
        <v>0</v>
      </c>
      <c r="H94" s="0" t="n">
        <f aca="false">SIMM_Delta!$F$13*$C$94*$C$93</f>
        <v>0</v>
      </c>
      <c r="I94" s="0" t="n">
        <f aca="false">SIMM_Delta!$G$13*$C$94*$C$94</f>
        <v>0</v>
      </c>
      <c r="J94" s="0" t="n">
        <f aca="false">SIMM_Delta!$H$13*$C$94*$C$95</f>
        <v>0</v>
      </c>
      <c r="K94" s="0" t="n">
        <f aca="false">SIMM_Delta!$I$13*$C$94*$C$96</f>
        <v>0</v>
      </c>
      <c r="L94" s="0" t="n">
        <f aca="false">SIMM_Delta!$J$13*$C$94*$C$97</f>
        <v>0</v>
      </c>
      <c r="M94" s="0" t="n">
        <f aca="false">SIMM_Delta!$K$13*$C$94*$C$98</f>
        <v>0</v>
      </c>
      <c r="N94" s="0" t="n">
        <f aca="false">SIMM_Delta!$L$13*$C$94*$C$99</f>
        <v>0</v>
      </c>
      <c r="O94" s="0" t="n">
        <f aca="false">SIMM_Delta!$M$13*$C$94*$C$100</f>
        <v>0</v>
      </c>
    </row>
    <row r="95" customFormat="false" ht="15" hidden="false" customHeight="false" outlineLevel="0" collapsed="false">
      <c r="A95" s="0" t="str">
        <f aca="false">Inputs!$H$14</f>
        <v>3y</v>
      </c>
      <c r="B95" s="0" t="n">
        <f aca="false">SUMIFS(Sensitivities!$I$5:$I$100,Sensitivities!$B$5:$B$100,"Risk_IRVol",Sensitivities!$C$5:$C$100,$B$80,Sensitivities!$E$5:$E$100,$A95)</f>
        <v>0</v>
      </c>
      <c r="C95" s="0" t="n">
        <f aca="false">$B$3*B95*$B$84</f>
        <v>0</v>
      </c>
      <c r="D95" s="0" t="n">
        <f aca="false">SIMM_Delta!$B$14*$C$95*$C$89</f>
        <v>0</v>
      </c>
      <c r="E95" s="0" t="n">
        <f aca="false">SIMM_Delta!$C$14*$C$95*$C$90</f>
        <v>0</v>
      </c>
      <c r="F95" s="0" t="n">
        <f aca="false">SIMM_Delta!$D$14*$C$95*$C$91</f>
        <v>0</v>
      </c>
      <c r="G95" s="0" t="n">
        <f aca="false">SIMM_Delta!$E$14*$C$95*$C$92</f>
        <v>0</v>
      </c>
      <c r="H95" s="0" t="n">
        <f aca="false">SIMM_Delta!$F$14*$C$95*$C$93</f>
        <v>0</v>
      </c>
      <c r="I95" s="0" t="n">
        <f aca="false">SIMM_Delta!$G$14*$C$95*$C$94</f>
        <v>0</v>
      </c>
      <c r="J95" s="0" t="n">
        <f aca="false">SIMM_Delta!$H$14*$C$95*$C$95</f>
        <v>0</v>
      </c>
      <c r="K95" s="0" t="n">
        <f aca="false">SIMM_Delta!$I$14*$C$95*$C$96</f>
        <v>0</v>
      </c>
      <c r="L95" s="0" t="n">
        <f aca="false">SIMM_Delta!$J$14*$C$95*$C$97</f>
        <v>0</v>
      </c>
      <c r="M95" s="0" t="n">
        <f aca="false">SIMM_Delta!$K$14*$C$95*$C$98</f>
        <v>0</v>
      </c>
      <c r="N95" s="0" t="n">
        <f aca="false">SIMM_Delta!$L$14*$C$95*$C$99</f>
        <v>0</v>
      </c>
      <c r="O95" s="0" t="n">
        <f aca="false">SIMM_Delta!$M$14*$C$95*$C$100</f>
        <v>0</v>
      </c>
    </row>
    <row r="96" customFormat="false" ht="15" hidden="false" customHeight="false" outlineLevel="0" collapsed="false">
      <c r="A96" s="0" t="str">
        <f aca="false">Inputs!$I$14</f>
        <v>5y</v>
      </c>
      <c r="B96" s="0" t="n">
        <f aca="false">SUMIFS(Sensitivities!$I$5:$I$100,Sensitivities!$B$5:$B$100,"Risk_IRVol",Sensitivities!$C$5:$C$100,$B$80,Sensitivities!$E$5:$E$100,$A96)</f>
        <v>0</v>
      </c>
      <c r="C96" s="0" t="n">
        <f aca="false">$B$3*B96*$B$84</f>
        <v>0</v>
      </c>
      <c r="D96" s="0" t="n">
        <f aca="false">SIMM_Delta!$B$15*$C$96*$C$89</f>
        <v>0</v>
      </c>
      <c r="E96" s="0" t="n">
        <f aca="false">SIMM_Delta!$C$15*$C$96*$C$90</f>
        <v>0</v>
      </c>
      <c r="F96" s="0" t="n">
        <f aca="false">SIMM_Delta!$D$15*$C$96*$C$91</f>
        <v>0</v>
      </c>
      <c r="G96" s="0" t="n">
        <f aca="false">SIMM_Delta!$E$15*$C$96*$C$92</f>
        <v>0</v>
      </c>
      <c r="H96" s="0" t="n">
        <f aca="false">SIMM_Delta!$F$15*$C$96*$C$93</f>
        <v>0</v>
      </c>
      <c r="I96" s="0" t="n">
        <f aca="false">SIMM_Delta!$G$15*$C$96*$C$94</f>
        <v>0</v>
      </c>
      <c r="J96" s="0" t="n">
        <f aca="false">SIMM_Delta!$H$15*$C$96*$C$95</f>
        <v>0</v>
      </c>
      <c r="K96" s="0" t="n">
        <f aca="false">SIMM_Delta!$I$15*$C$96*$C$96</f>
        <v>0</v>
      </c>
      <c r="L96" s="0" t="n">
        <f aca="false">SIMM_Delta!$J$15*$C$96*$C$97</f>
        <v>0</v>
      </c>
      <c r="M96" s="0" t="n">
        <f aca="false">SIMM_Delta!$K$15*$C$96*$C$98</f>
        <v>0</v>
      </c>
      <c r="N96" s="0" t="n">
        <f aca="false">SIMM_Delta!$L$15*$C$96*$C$99</f>
        <v>0</v>
      </c>
      <c r="O96" s="0" t="n">
        <f aca="false">SIMM_Delta!$M$15*$C$96*$C$100</f>
        <v>0</v>
      </c>
    </row>
    <row r="97" customFormat="false" ht="15" hidden="false" customHeight="false" outlineLevel="0" collapsed="false">
      <c r="A97" s="0" t="str">
        <f aca="false">Inputs!$J$14</f>
        <v>10y</v>
      </c>
      <c r="B97" s="0" t="n">
        <f aca="false">SUMIFS(Sensitivities!$I$5:$I$100,Sensitivities!$B$5:$B$100,"Risk_IRVol",Sensitivities!$C$5:$C$100,$B$80,Sensitivities!$E$5:$E$100,$A97)</f>
        <v>0</v>
      </c>
      <c r="C97" s="0" t="n">
        <f aca="false">$B$3*B97*$B$84</f>
        <v>0</v>
      </c>
      <c r="D97" s="0" t="n">
        <f aca="false">SIMM_Delta!$B$16*$C$97*$C$89</f>
        <v>0</v>
      </c>
      <c r="E97" s="0" t="n">
        <f aca="false">SIMM_Delta!$C$16*$C$97*$C$90</f>
        <v>0</v>
      </c>
      <c r="F97" s="0" t="n">
        <f aca="false">SIMM_Delta!$D$16*$C$97*$C$91</f>
        <v>0</v>
      </c>
      <c r="G97" s="0" t="n">
        <f aca="false">SIMM_Delta!$E$16*$C$97*$C$92</f>
        <v>0</v>
      </c>
      <c r="H97" s="0" t="n">
        <f aca="false">SIMM_Delta!$F$16*$C$97*$C$93</f>
        <v>0</v>
      </c>
      <c r="I97" s="0" t="n">
        <f aca="false">SIMM_Delta!$G$16*$C$97*$C$94</f>
        <v>0</v>
      </c>
      <c r="J97" s="0" t="n">
        <f aca="false">SIMM_Delta!$H$16*$C$97*$C$95</f>
        <v>0</v>
      </c>
      <c r="K97" s="0" t="n">
        <f aca="false">SIMM_Delta!$I$16*$C$97*$C$96</f>
        <v>0</v>
      </c>
      <c r="L97" s="0" t="n">
        <f aca="false">SIMM_Delta!$J$16*$C$97*$C$97</f>
        <v>0</v>
      </c>
      <c r="M97" s="0" t="n">
        <f aca="false">SIMM_Delta!$K$16*$C$97*$C$98</f>
        <v>0</v>
      </c>
      <c r="N97" s="0" t="n">
        <f aca="false">SIMM_Delta!$L$16*$C$97*$C$99</f>
        <v>0</v>
      </c>
      <c r="O97" s="0" t="n">
        <f aca="false">SIMM_Delta!$M$16*$C$97*$C$100</f>
        <v>0</v>
      </c>
    </row>
    <row r="98" customFormat="false" ht="15" hidden="false" customHeight="false" outlineLevel="0" collapsed="false">
      <c r="A98" s="0" t="str">
        <f aca="false">Inputs!$K$14</f>
        <v>15y</v>
      </c>
      <c r="B98" s="0" t="n">
        <f aca="false">SUMIFS(Sensitivities!$I$5:$I$100,Sensitivities!$B$5:$B$100,"Risk_IRVol",Sensitivities!$C$5:$C$100,$B$80,Sensitivities!$E$5:$E$100,$A98)</f>
        <v>0</v>
      </c>
      <c r="C98" s="0" t="n">
        <f aca="false">$B$3*B98*$B$84</f>
        <v>0</v>
      </c>
      <c r="D98" s="0" t="n">
        <f aca="false">SIMM_Delta!$B$17*$C$98*$C$89</f>
        <v>0</v>
      </c>
      <c r="E98" s="0" t="n">
        <f aca="false">SIMM_Delta!$C$17*$C$98*$C$90</f>
        <v>0</v>
      </c>
      <c r="F98" s="0" t="n">
        <f aca="false">SIMM_Delta!$D$17*$C$98*$C$91</f>
        <v>0</v>
      </c>
      <c r="G98" s="0" t="n">
        <f aca="false">SIMM_Delta!$E$17*$C$98*$C$92</f>
        <v>0</v>
      </c>
      <c r="H98" s="0" t="n">
        <f aca="false">SIMM_Delta!$F$17*$C$98*$C$93</f>
        <v>0</v>
      </c>
      <c r="I98" s="0" t="n">
        <f aca="false">SIMM_Delta!$G$17*$C$98*$C$94</f>
        <v>0</v>
      </c>
      <c r="J98" s="0" t="n">
        <f aca="false">SIMM_Delta!$H$17*$C$98*$C$95</f>
        <v>0</v>
      </c>
      <c r="K98" s="0" t="n">
        <f aca="false">SIMM_Delta!$I$17*$C$98*$C$96</f>
        <v>0</v>
      </c>
      <c r="L98" s="0" t="n">
        <f aca="false">SIMM_Delta!$J$17*$C$98*$C$97</f>
        <v>0</v>
      </c>
      <c r="M98" s="0" t="n">
        <f aca="false">SIMM_Delta!$K$17*$C$98*$C$98</f>
        <v>0</v>
      </c>
      <c r="N98" s="0" t="n">
        <f aca="false">SIMM_Delta!$L$17*$C$98*$C$99</f>
        <v>0</v>
      </c>
      <c r="O98" s="0" t="n">
        <f aca="false">SIMM_Delta!$M$17*$C$98*$C$100</f>
        <v>0</v>
      </c>
    </row>
    <row r="99" customFormat="false" ht="15" hidden="false" customHeight="false" outlineLevel="0" collapsed="false">
      <c r="A99" s="0" t="str">
        <f aca="false">Inputs!$L$14</f>
        <v>20y</v>
      </c>
      <c r="B99" s="0" t="n">
        <f aca="false">SUMIFS(Sensitivities!$I$5:$I$100,Sensitivities!$B$5:$B$100,"Risk_IRVol",Sensitivities!$C$5:$C$100,$B$80,Sensitivities!$E$5:$E$100,$A99)</f>
        <v>0</v>
      </c>
      <c r="C99" s="0" t="n">
        <f aca="false">$B$3*B99*$B$84</f>
        <v>0</v>
      </c>
      <c r="D99" s="0" t="n">
        <f aca="false">SIMM_Delta!$B$18*$C$99*$C$89</f>
        <v>0</v>
      </c>
      <c r="E99" s="0" t="n">
        <f aca="false">SIMM_Delta!$C$18*$C$99*$C$90</f>
        <v>0</v>
      </c>
      <c r="F99" s="0" t="n">
        <f aca="false">SIMM_Delta!$D$18*$C$99*$C$91</f>
        <v>0</v>
      </c>
      <c r="G99" s="0" t="n">
        <f aca="false">SIMM_Delta!$E$18*$C$99*$C$92</f>
        <v>0</v>
      </c>
      <c r="H99" s="0" t="n">
        <f aca="false">SIMM_Delta!$F$18*$C$99*$C$93</f>
        <v>0</v>
      </c>
      <c r="I99" s="0" t="n">
        <f aca="false">SIMM_Delta!$G$18*$C$99*$C$94</f>
        <v>0</v>
      </c>
      <c r="J99" s="0" t="n">
        <f aca="false">SIMM_Delta!$H$18*$C$99*$C$95</f>
        <v>0</v>
      </c>
      <c r="K99" s="0" t="n">
        <f aca="false">SIMM_Delta!$I$18*$C$99*$C$96</f>
        <v>0</v>
      </c>
      <c r="L99" s="0" t="n">
        <f aca="false">SIMM_Delta!$J$18*$C$99*$C$97</f>
        <v>0</v>
      </c>
      <c r="M99" s="0" t="n">
        <f aca="false">SIMM_Delta!$K$18*$C$99*$C$98</f>
        <v>0</v>
      </c>
      <c r="N99" s="0" t="n">
        <f aca="false">SIMM_Delta!$L$18*$C$99*$C$99</f>
        <v>0</v>
      </c>
      <c r="O99" s="0" t="n">
        <f aca="false">SIMM_Delta!$M$18*$C$99*$C$100</f>
        <v>0</v>
      </c>
    </row>
    <row r="100" customFormat="false" ht="15" hidden="false" customHeight="false" outlineLevel="0" collapsed="false">
      <c r="A100" s="0" t="str">
        <f aca="false">Inputs!$M$14</f>
        <v>30y</v>
      </c>
      <c r="B100" s="0" t="n">
        <f aca="false">SUMIFS(Sensitivities!$I$5:$I$100,Sensitivities!$B$5:$B$100,"Risk_IRVol",Sensitivities!$C$5:$C$100,$B$80,Sensitivities!$E$5:$E$100,$A100)</f>
        <v>0</v>
      </c>
      <c r="C100" s="0" t="n">
        <f aca="false">$B$3*B100*$B$84</f>
        <v>0</v>
      </c>
      <c r="D100" s="0" t="n">
        <f aca="false">SIMM_Delta!$B$19*$C$100*$C$89</f>
        <v>0</v>
      </c>
      <c r="E100" s="0" t="n">
        <f aca="false">SIMM_Delta!$C$19*$C$100*$C$90</f>
        <v>0</v>
      </c>
      <c r="F100" s="0" t="n">
        <f aca="false">SIMM_Delta!$D$19*$C$100*$C$91</f>
        <v>0</v>
      </c>
      <c r="G100" s="0" t="n">
        <f aca="false">SIMM_Delta!$E$19*$C$100*$C$92</f>
        <v>0</v>
      </c>
      <c r="H100" s="0" t="n">
        <f aca="false">SIMM_Delta!$F$19*$C$100*$C$93</f>
        <v>0</v>
      </c>
      <c r="I100" s="0" t="n">
        <f aca="false">SIMM_Delta!$G$19*$C$100*$C$94</f>
        <v>0</v>
      </c>
      <c r="J100" s="0" t="n">
        <f aca="false">SIMM_Delta!$H$19*$C$100*$C$95</f>
        <v>0</v>
      </c>
      <c r="K100" s="0" t="n">
        <f aca="false">SIMM_Delta!$I$19*$C$100*$C$96</f>
        <v>0</v>
      </c>
      <c r="L100" s="0" t="n">
        <f aca="false">SIMM_Delta!$J$19*$C$100*$C$97</f>
        <v>0</v>
      </c>
      <c r="M100" s="0" t="n">
        <f aca="false">SIMM_Delta!$K$19*$C$100*$C$98</f>
        <v>0</v>
      </c>
      <c r="N100" s="0" t="n">
        <f aca="false">SIMM_Delta!$L$19*$C$100*$C$99</f>
        <v>0</v>
      </c>
      <c r="O100" s="0" t="n">
        <f aca="false">SIMM_Delta!$M$19*$C$100*$C$100</f>
        <v>0</v>
      </c>
    </row>
    <row r="104" customFormat="false" ht="15" hidden="false" customHeight="false" outlineLevel="0" collapsed="false">
      <c r="A104" s="1" t="s">
        <v>43</v>
      </c>
      <c r="B104" s="0" t="str">
        <f aca="false">Inputs!$F$13</f>
        <v>MXN</v>
      </c>
    </row>
    <row r="105" customFormat="false" ht="15" hidden="false" customHeight="false" outlineLevel="0" collapsed="false">
      <c r="A105" s="1" t="s">
        <v>412</v>
      </c>
      <c r="B105" s="0" t="str">
        <f aca="false">IF(ISNUMBER(MATCH(Inputs!$B$4&amp;"|IR|ct_group_member|regular_well_traded|"&amp;$B$104,Parameters!$A$5:$A$689,0)),"regular_well_traded",IF(ISNUMBER(MATCH(Inputs!$B$4&amp;"|IR|ct_group_member|regular_less_well_traded|"&amp;$B$104,Parameters!$A$5:$A$689,0)),"regular_less_well_traded",IF(ISNUMBER(MATCH(Inputs!$B$4&amp;"|IR|ct_group_member|low|"&amp;$B$104,Parameters!$A$5:$A$689,0)),"low","high")))</f>
        <v>high</v>
      </c>
    </row>
    <row r="106" customFormat="false" ht="15" hidden="false" customHeight="false" outlineLevel="0" collapsed="false">
      <c r="A106" s="1" t="s">
        <v>439</v>
      </c>
      <c r="B106" s="0" t="n">
        <f aca="false">INDEX(Parameters!$G$5:$G$689,MATCH(Inputs!$B$4&amp;"|IR|"&amp;"vega_ct"&amp;"|"&amp;$B$105&amp;"|"&amp;"",Parameters!$A$5:$A$689,0))</f>
        <v>160</v>
      </c>
    </row>
    <row r="107" customFormat="false" ht="15" hidden="false" customHeight="false" outlineLevel="0" collapsed="false">
      <c r="A107" s="1" t="s">
        <v>440</v>
      </c>
      <c r="B107" s="0" t="n">
        <f aca="false">SUM(B113:B124)</f>
        <v>0</v>
      </c>
    </row>
    <row r="108" customFormat="false" ht="15" hidden="false" customHeight="false" outlineLevel="0" collapsed="false">
      <c r="A108" s="1" t="s">
        <v>441</v>
      </c>
      <c r="B108" s="0" t="n">
        <f aca="false">MAX(1,SQRT(ABS($B$107)/Inputs!$B$9/$B$106))</f>
        <v>1</v>
      </c>
    </row>
    <row r="109" customFormat="false" ht="15" hidden="false" customHeight="false" outlineLevel="0" collapsed="false">
      <c r="A109" s="1" t="s">
        <v>257</v>
      </c>
      <c r="B109" s="0" t="n">
        <f aca="false">SQRT(MAX(0,SUM(D113:O124)))</f>
        <v>0</v>
      </c>
    </row>
    <row r="110" customFormat="false" ht="15" hidden="false" customHeight="false" outlineLevel="0" collapsed="false">
      <c r="A110" s="1" t="s">
        <v>442</v>
      </c>
      <c r="B110" s="0" t="n">
        <f aca="false">SUM(C113:C124)</f>
        <v>0</v>
      </c>
    </row>
    <row r="111" customFormat="false" ht="15" hidden="false" customHeight="false" outlineLevel="0" collapsed="false">
      <c r="A111" s="1" t="s">
        <v>417</v>
      </c>
      <c r="B111" s="0" t="n">
        <f aca="false">MAX(-$B$109,MIN($B$109,$B$110))</f>
        <v>0</v>
      </c>
    </row>
    <row r="112" customFormat="false" ht="15" hidden="false" customHeight="false" outlineLevel="0" collapsed="false">
      <c r="A112" s="1" t="s">
        <v>418</v>
      </c>
      <c r="B112" s="1" t="s">
        <v>443</v>
      </c>
      <c r="C112" s="1" t="s">
        <v>444</v>
      </c>
      <c r="D112" s="1" t="str">
        <f aca="false">Inputs!$B$14</f>
        <v>2w</v>
      </c>
      <c r="E112" s="1" t="str">
        <f aca="false">Inputs!$C$14</f>
        <v>1m</v>
      </c>
      <c r="F112" s="1" t="str">
        <f aca="false">Inputs!$D$14</f>
        <v>3m</v>
      </c>
      <c r="G112" s="1" t="str">
        <f aca="false">Inputs!$E$14</f>
        <v>6m</v>
      </c>
      <c r="H112" s="1" t="str">
        <f aca="false">Inputs!$F$14</f>
        <v>1y</v>
      </c>
      <c r="I112" s="1" t="str">
        <f aca="false">Inputs!$G$14</f>
        <v>2y</v>
      </c>
      <c r="J112" s="1" t="str">
        <f aca="false">Inputs!$H$14</f>
        <v>3y</v>
      </c>
      <c r="K112" s="1" t="str">
        <f aca="false">Inputs!$I$14</f>
        <v>5y</v>
      </c>
      <c r="L112" s="1" t="str">
        <f aca="false">Inputs!$J$14</f>
        <v>10y</v>
      </c>
      <c r="M112" s="1" t="str">
        <f aca="false">Inputs!$K$14</f>
        <v>15y</v>
      </c>
      <c r="N112" s="1" t="str">
        <f aca="false">Inputs!$L$14</f>
        <v>20y</v>
      </c>
      <c r="O112" s="1" t="str">
        <f aca="false">Inputs!$M$14</f>
        <v>30y</v>
      </c>
    </row>
    <row r="113" customFormat="false" ht="15" hidden="false" customHeight="false" outlineLevel="0" collapsed="false">
      <c r="A113" s="0" t="str">
        <f aca="false">Inputs!$B$14</f>
        <v>2w</v>
      </c>
      <c r="B113" s="0" t="n">
        <f aca="false">SUMIFS(Sensitivities!$I$5:$I$100,Sensitivities!$B$5:$B$100,"Risk_IRVol",Sensitivities!$C$5:$C$100,$B$104,Sensitivities!$E$5:$E$100,$A113)</f>
        <v>0</v>
      </c>
      <c r="C113" s="0" t="n">
        <f aca="false">$B$3*B113*$B$108</f>
        <v>0</v>
      </c>
      <c r="D113" s="0" t="n">
        <f aca="false">SIMM_Delta!$B$8*$C$113*$C$113</f>
        <v>0</v>
      </c>
      <c r="E113" s="0" t="n">
        <f aca="false">SIMM_Delta!$C$8*$C$113*$C$114</f>
        <v>0</v>
      </c>
      <c r="F113" s="0" t="n">
        <f aca="false">SIMM_Delta!$D$8*$C$113*$C$115</f>
        <v>0</v>
      </c>
      <c r="G113" s="0" t="n">
        <f aca="false">SIMM_Delta!$E$8*$C$113*$C$116</f>
        <v>0</v>
      </c>
      <c r="H113" s="0" t="n">
        <f aca="false">SIMM_Delta!$F$8*$C$113*$C$117</f>
        <v>0</v>
      </c>
      <c r="I113" s="0" t="n">
        <f aca="false">SIMM_Delta!$G$8*$C$113*$C$118</f>
        <v>0</v>
      </c>
      <c r="J113" s="0" t="n">
        <f aca="false">SIMM_Delta!$H$8*$C$113*$C$119</f>
        <v>0</v>
      </c>
      <c r="K113" s="0" t="n">
        <f aca="false">SIMM_Delta!$I$8*$C$113*$C$120</f>
        <v>0</v>
      </c>
      <c r="L113" s="0" t="n">
        <f aca="false">SIMM_Delta!$J$8*$C$113*$C$121</f>
        <v>0</v>
      </c>
      <c r="M113" s="0" t="n">
        <f aca="false">SIMM_Delta!$K$8*$C$113*$C$122</f>
        <v>0</v>
      </c>
      <c r="N113" s="0" t="n">
        <f aca="false">SIMM_Delta!$L$8*$C$113*$C$123</f>
        <v>0</v>
      </c>
      <c r="O113" s="0" t="n">
        <f aca="false">SIMM_Delta!$M$8*$C$113*$C$124</f>
        <v>0</v>
      </c>
    </row>
    <row r="114" customFormat="false" ht="15" hidden="false" customHeight="false" outlineLevel="0" collapsed="false">
      <c r="A114" s="0" t="str">
        <f aca="false">Inputs!$C$14</f>
        <v>1m</v>
      </c>
      <c r="B114" s="0" t="n">
        <f aca="false">SUMIFS(Sensitivities!$I$5:$I$100,Sensitivities!$B$5:$B$100,"Risk_IRVol",Sensitivities!$C$5:$C$100,$B$104,Sensitivities!$E$5:$E$100,$A114)</f>
        <v>0</v>
      </c>
      <c r="C114" s="0" t="n">
        <f aca="false">$B$3*B114*$B$108</f>
        <v>0</v>
      </c>
      <c r="D114" s="0" t="n">
        <f aca="false">SIMM_Delta!$B$9*$C$114*$C$113</f>
        <v>0</v>
      </c>
      <c r="E114" s="0" t="n">
        <f aca="false">SIMM_Delta!$C$9*$C$114*$C$114</f>
        <v>0</v>
      </c>
      <c r="F114" s="0" t="n">
        <f aca="false">SIMM_Delta!$D$9*$C$114*$C$115</f>
        <v>0</v>
      </c>
      <c r="G114" s="0" t="n">
        <f aca="false">SIMM_Delta!$E$9*$C$114*$C$116</f>
        <v>0</v>
      </c>
      <c r="H114" s="0" t="n">
        <f aca="false">SIMM_Delta!$F$9*$C$114*$C$117</f>
        <v>0</v>
      </c>
      <c r="I114" s="0" t="n">
        <f aca="false">SIMM_Delta!$G$9*$C$114*$C$118</f>
        <v>0</v>
      </c>
      <c r="J114" s="0" t="n">
        <f aca="false">SIMM_Delta!$H$9*$C$114*$C$119</f>
        <v>0</v>
      </c>
      <c r="K114" s="0" t="n">
        <f aca="false">SIMM_Delta!$I$9*$C$114*$C$120</f>
        <v>0</v>
      </c>
      <c r="L114" s="0" t="n">
        <f aca="false">SIMM_Delta!$J$9*$C$114*$C$121</f>
        <v>0</v>
      </c>
      <c r="M114" s="0" t="n">
        <f aca="false">SIMM_Delta!$K$9*$C$114*$C$122</f>
        <v>0</v>
      </c>
      <c r="N114" s="0" t="n">
        <f aca="false">SIMM_Delta!$L$9*$C$114*$C$123</f>
        <v>0</v>
      </c>
      <c r="O114" s="0" t="n">
        <f aca="false">SIMM_Delta!$M$9*$C$114*$C$124</f>
        <v>0</v>
      </c>
    </row>
    <row r="115" customFormat="false" ht="15" hidden="false" customHeight="false" outlineLevel="0" collapsed="false">
      <c r="A115" s="0" t="str">
        <f aca="false">Inputs!$D$14</f>
        <v>3m</v>
      </c>
      <c r="B115" s="0" t="n">
        <f aca="false">SUMIFS(Sensitivities!$I$5:$I$100,Sensitivities!$B$5:$B$100,"Risk_IRVol",Sensitivities!$C$5:$C$100,$B$104,Sensitivities!$E$5:$E$100,$A115)</f>
        <v>0</v>
      </c>
      <c r="C115" s="0" t="n">
        <f aca="false">$B$3*B115*$B$108</f>
        <v>0</v>
      </c>
      <c r="D115" s="0" t="n">
        <f aca="false">SIMM_Delta!$B$10*$C$115*$C$113</f>
        <v>0</v>
      </c>
      <c r="E115" s="0" t="n">
        <f aca="false">SIMM_Delta!$C$10*$C$115*$C$114</f>
        <v>0</v>
      </c>
      <c r="F115" s="0" t="n">
        <f aca="false">SIMM_Delta!$D$10*$C$115*$C$115</f>
        <v>0</v>
      </c>
      <c r="G115" s="0" t="n">
        <f aca="false">SIMM_Delta!$E$10*$C$115*$C$116</f>
        <v>0</v>
      </c>
      <c r="H115" s="0" t="n">
        <f aca="false">SIMM_Delta!$F$10*$C$115*$C$117</f>
        <v>0</v>
      </c>
      <c r="I115" s="0" t="n">
        <f aca="false">SIMM_Delta!$G$10*$C$115*$C$118</f>
        <v>0</v>
      </c>
      <c r="J115" s="0" t="n">
        <f aca="false">SIMM_Delta!$H$10*$C$115*$C$119</f>
        <v>0</v>
      </c>
      <c r="K115" s="0" t="n">
        <f aca="false">SIMM_Delta!$I$10*$C$115*$C$120</f>
        <v>0</v>
      </c>
      <c r="L115" s="0" t="n">
        <f aca="false">SIMM_Delta!$J$10*$C$115*$C$121</f>
        <v>0</v>
      </c>
      <c r="M115" s="0" t="n">
        <f aca="false">SIMM_Delta!$K$10*$C$115*$C$122</f>
        <v>0</v>
      </c>
      <c r="N115" s="0" t="n">
        <f aca="false">SIMM_Delta!$L$10*$C$115*$C$123</f>
        <v>0</v>
      </c>
      <c r="O115" s="0" t="n">
        <f aca="false">SIMM_Delta!$M$10*$C$115*$C$124</f>
        <v>0</v>
      </c>
    </row>
    <row r="116" customFormat="false" ht="15" hidden="false" customHeight="false" outlineLevel="0" collapsed="false">
      <c r="A116" s="0" t="str">
        <f aca="false">Inputs!$E$14</f>
        <v>6m</v>
      </c>
      <c r="B116" s="0" t="n">
        <f aca="false">SUMIFS(Sensitivities!$I$5:$I$100,Sensitivities!$B$5:$B$100,"Risk_IRVol",Sensitivities!$C$5:$C$100,$B$104,Sensitivities!$E$5:$E$100,$A116)</f>
        <v>0</v>
      </c>
      <c r="C116" s="0" t="n">
        <f aca="false">$B$3*B116*$B$108</f>
        <v>0</v>
      </c>
      <c r="D116" s="0" t="n">
        <f aca="false">SIMM_Delta!$B$11*$C$116*$C$113</f>
        <v>0</v>
      </c>
      <c r="E116" s="0" t="n">
        <f aca="false">SIMM_Delta!$C$11*$C$116*$C$114</f>
        <v>0</v>
      </c>
      <c r="F116" s="0" t="n">
        <f aca="false">SIMM_Delta!$D$11*$C$116*$C$115</f>
        <v>0</v>
      </c>
      <c r="G116" s="0" t="n">
        <f aca="false">SIMM_Delta!$E$11*$C$116*$C$116</f>
        <v>0</v>
      </c>
      <c r="H116" s="0" t="n">
        <f aca="false">SIMM_Delta!$F$11*$C$116*$C$117</f>
        <v>0</v>
      </c>
      <c r="I116" s="0" t="n">
        <f aca="false">SIMM_Delta!$G$11*$C$116*$C$118</f>
        <v>0</v>
      </c>
      <c r="J116" s="0" t="n">
        <f aca="false">SIMM_Delta!$H$11*$C$116*$C$119</f>
        <v>0</v>
      </c>
      <c r="K116" s="0" t="n">
        <f aca="false">SIMM_Delta!$I$11*$C$116*$C$120</f>
        <v>0</v>
      </c>
      <c r="L116" s="0" t="n">
        <f aca="false">SIMM_Delta!$J$11*$C$116*$C$121</f>
        <v>0</v>
      </c>
      <c r="M116" s="0" t="n">
        <f aca="false">SIMM_Delta!$K$11*$C$116*$C$122</f>
        <v>0</v>
      </c>
      <c r="N116" s="0" t="n">
        <f aca="false">SIMM_Delta!$L$11*$C$116*$C$123</f>
        <v>0</v>
      </c>
      <c r="O116" s="0" t="n">
        <f aca="false">SIMM_Delta!$M$11*$C$116*$C$124</f>
        <v>0</v>
      </c>
    </row>
    <row r="117" customFormat="false" ht="15" hidden="false" customHeight="false" outlineLevel="0" collapsed="false">
      <c r="A117" s="0" t="str">
        <f aca="false">Inputs!$F$14</f>
        <v>1y</v>
      </c>
      <c r="B117" s="0" t="n">
        <f aca="false">SUMIFS(Sensitivities!$I$5:$I$100,Sensitivities!$B$5:$B$100,"Risk_IRVol",Sensitivities!$C$5:$C$100,$B$104,Sensitivities!$E$5:$E$100,$A117)</f>
        <v>0</v>
      </c>
      <c r="C117" s="0" t="n">
        <f aca="false">$B$3*B117*$B$108</f>
        <v>0</v>
      </c>
      <c r="D117" s="0" t="n">
        <f aca="false">SIMM_Delta!$B$12*$C$117*$C$113</f>
        <v>0</v>
      </c>
      <c r="E117" s="0" t="n">
        <f aca="false">SIMM_Delta!$C$12*$C$117*$C$114</f>
        <v>0</v>
      </c>
      <c r="F117" s="0" t="n">
        <f aca="false">SIMM_Delta!$D$12*$C$117*$C$115</f>
        <v>0</v>
      </c>
      <c r="G117" s="0" t="n">
        <f aca="false">SIMM_Delta!$E$12*$C$117*$C$116</f>
        <v>0</v>
      </c>
      <c r="H117" s="0" t="n">
        <f aca="false">SIMM_Delta!$F$12*$C$117*$C$117</f>
        <v>0</v>
      </c>
      <c r="I117" s="0" t="n">
        <f aca="false">SIMM_Delta!$G$12*$C$117*$C$118</f>
        <v>0</v>
      </c>
      <c r="J117" s="0" t="n">
        <f aca="false">SIMM_Delta!$H$12*$C$117*$C$119</f>
        <v>0</v>
      </c>
      <c r="K117" s="0" t="n">
        <f aca="false">SIMM_Delta!$I$12*$C$117*$C$120</f>
        <v>0</v>
      </c>
      <c r="L117" s="0" t="n">
        <f aca="false">SIMM_Delta!$J$12*$C$117*$C$121</f>
        <v>0</v>
      </c>
      <c r="M117" s="0" t="n">
        <f aca="false">SIMM_Delta!$K$12*$C$117*$C$122</f>
        <v>0</v>
      </c>
      <c r="N117" s="0" t="n">
        <f aca="false">SIMM_Delta!$L$12*$C$117*$C$123</f>
        <v>0</v>
      </c>
      <c r="O117" s="0" t="n">
        <f aca="false">SIMM_Delta!$M$12*$C$117*$C$124</f>
        <v>0</v>
      </c>
    </row>
    <row r="118" customFormat="false" ht="15" hidden="false" customHeight="false" outlineLevel="0" collapsed="false">
      <c r="A118" s="0" t="str">
        <f aca="false">Inputs!$G$14</f>
        <v>2y</v>
      </c>
      <c r="B118" s="0" t="n">
        <f aca="false">SUMIFS(Sensitivities!$I$5:$I$100,Sensitivities!$B$5:$B$100,"Risk_IRVol",Sensitivities!$C$5:$C$100,$B$104,Sensitivities!$E$5:$E$100,$A118)</f>
        <v>0</v>
      </c>
      <c r="C118" s="0" t="n">
        <f aca="false">$B$3*B118*$B$108</f>
        <v>0</v>
      </c>
      <c r="D118" s="0" t="n">
        <f aca="false">SIMM_Delta!$B$13*$C$118*$C$113</f>
        <v>0</v>
      </c>
      <c r="E118" s="0" t="n">
        <f aca="false">SIMM_Delta!$C$13*$C$118*$C$114</f>
        <v>0</v>
      </c>
      <c r="F118" s="0" t="n">
        <f aca="false">SIMM_Delta!$D$13*$C$118*$C$115</f>
        <v>0</v>
      </c>
      <c r="G118" s="0" t="n">
        <f aca="false">SIMM_Delta!$E$13*$C$118*$C$116</f>
        <v>0</v>
      </c>
      <c r="H118" s="0" t="n">
        <f aca="false">SIMM_Delta!$F$13*$C$118*$C$117</f>
        <v>0</v>
      </c>
      <c r="I118" s="0" t="n">
        <f aca="false">SIMM_Delta!$G$13*$C$118*$C$118</f>
        <v>0</v>
      </c>
      <c r="J118" s="0" t="n">
        <f aca="false">SIMM_Delta!$H$13*$C$118*$C$119</f>
        <v>0</v>
      </c>
      <c r="K118" s="0" t="n">
        <f aca="false">SIMM_Delta!$I$13*$C$118*$C$120</f>
        <v>0</v>
      </c>
      <c r="L118" s="0" t="n">
        <f aca="false">SIMM_Delta!$J$13*$C$118*$C$121</f>
        <v>0</v>
      </c>
      <c r="M118" s="0" t="n">
        <f aca="false">SIMM_Delta!$K$13*$C$118*$C$122</f>
        <v>0</v>
      </c>
      <c r="N118" s="0" t="n">
        <f aca="false">SIMM_Delta!$L$13*$C$118*$C$123</f>
        <v>0</v>
      </c>
      <c r="O118" s="0" t="n">
        <f aca="false">SIMM_Delta!$M$13*$C$118*$C$124</f>
        <v>0</v>
      </c>
    </row>
    <row r="119" customFormat="false" ht="15" hidden="false" customHeight="false" outlineLevel="0" collapsed="false">
      <c r="A119" s="0" t="str">
        <f aca="false">Inputs!$H$14</f>
        <v>3y</v>
      </c>
      <c r="B119" s="0" t="n">
        <f aca="false">SUMIFS(Sensitivities!$I$5:$I$100,Sensitivities!$B$5:$B$100,"Risk_IRVol",Sensitivities!$C$5:$C$100,$B$104,Sensitivities!$E$5:$E$100,$A119)</f>
        <v>0</v>
      </c>
      <c r="C119" s="0" t="n">
        <f aca="false">$B$3*B119*$B$108</f>
        <v>0</v>
      </c>
      <c r="D119" s="0" t="n">
        <f aca="false">SIMM_Delta!$B$14*$C$119*$C$113</f>
        <v>0</v>
      </c>
      <c r="E119" s="0" t="n">
        <f aca="false">SIMM_Delta!$C$14*$C$119*$C$114</f>
        <v>0</v>
      </c>
      <c r="F119" s="0" t="n">
        <f aca="false">SIMM_Delta!$D$14*$C$119*$C$115</f>
        <v>0</v>
      </c>
      <c r="G119" s="0" t="n">
        <f aca="false">SIMM_Delta!$E$14*$C$119*$C$116</f>
        <v>0</v>
      </c>
      <c r="H119" s="0" t="n">
        <f aca="false">SIMM_Delta!$F$14*$C$119*$C$117</f>
        <v>0</v>
      </c>
      <c r="I119" s="0" t="n">
        <f aca="false">SIMM_Delta!$G$14*$C$119*$C$118</f>
        <v>0</v>
      </c>
      <c r="J119" s="0" t="n">
        <f aca="false">SIMM_Delta!$H$14*$C$119*$C$119</f>
        <v>0</v>
      </c>
      <c r="K119" s="0" t="n">
        <f aca="false">SIMM_Delta!$I$14*$C$119*$C$120</f>
        <v>0</v>
      </c>
      <c r="L119" s="0" t="n">
        <f aca="false">SIMM_Delta!$J$14*$C$119*$C$121</f>
        <v>0</v>
      </c>
      <c r="M119" s="0" t="n">
        <f aca="false">SIMM_Delta!$K$14*$C$119*$C$122</f>
        <v>0</v>
      </c>
      <c r="N119" s="0" t="n">
        <f aca="false">SIMM_Delta!$L$14*$C$119*$C$123</f>
        <v>0</v>
      </c>
      <c r="O119" s="0" t="n">
        <f aca="false">SIMM_Delta!$M$14*$C$119*$C$124</f>
        <v>0</v>
      </c>
    </row>
    <row r="120" customFormat="false" ht="15" hidden="false" customHeight="false" outlineLevel="0" collapsed="false">
      <c r="A120" s="0" t="str">
        <f aca="false">Inputs!$I$14</f>
        <v>5y</v>
      </c>
      <c r="B120" s="0" t="n">
        <f aca="false">SUMIFS(Sensitivities!$I$5:$I$100,Sensitivities!$B$5:$B$100,"Risk_IRVol",Sensitivities!$C$5:$C$100,$B$104,Sensitivities!$E$5:$E$100,$A120)</f>
        <v>0</v>
      </c>
      <c r="C120" s="0" t="n">
        <f aca="false">$B$3*B120*$B$108</f>
        <v>0</v>
      </c>
      <c r="D120" s="0" t="n">
        <f aca="false">SIMM_Delta!$B$15*$C$120*$C$113</f>
        <v>0</v>
      </c>
      <c r="E120" s="0" t="n">
        <f aca="false">SIMM_Delta!$C$15*$C$120*$C$114</f>
        <v>0</v>
      </c>
      <c r="F120" s="0" t="n">
        <f aca="false">SIMM_Delta!$D$15*$C$120*$C$115</f>
        <v>0</v>
      </c>
      <c r="G120" s="0" t="n">
        <f aca="false">SIMM_Delta!$E$15*$C$120*$C$116</f>
        <v>0</v>
      </c>
      <c r="H120" s="0" t="n">
        <f aca="false">SIMM_Delta!$F$15*$C$120*$C$117</f>
        <v>0</v>
      </c>
      <c r="I120" s="0" t="n">
        <f aca="false">SIMM_Delta!$G$15*$C$120*$C$118</f>
        <v>0</v>
      </c>
      <c r="J120" s="0" t="n">
        <f aca="false">SIMM_Delta!$H$15*$C$120*$C$119</f>
        <v>0</v>
      </c>
      <c r="K120" s="0" t="n">
        <f aca="false">SIMM_Delta!$I$15*$C$120*$C$120</f>
        <v>0</v>
      </c>
      <c r="L120" s="0" t="n">
        <f aca="false">SIMM_Delta!$J$15*$C$120*$C$121</f>
        <v>0</v>
      </c>
      <c r="M120" s="0" t="n">
        <f aca="false">SIMM_Delta!$K$15*$C$120*$C$122</f>
        <v>0</v>
      </c>
      <c r="N120" s="0" t="n">
        <f aca="false">SIMM_Delta!$L$15*$C$120*$C$123</f>
        <v>0</v>
      </c>
      <c r="O120" s="0" t="n">
        <f aca="false">SIMM_Delta!$M$15*$C$120*$C$124</f>
        <v>0</v>
      </c>
    </row>
    <row r="121" customFormat="false" ht="15" hidden="false" customHeight="false" outlineLevel="0" collapsed="false">
      <c r="A121" s="0" t="str">
        <f aca="false">Inputs!$J$14</f>
        <v>10y</v>
      </c>
      <c r="B121" s="0" t="n">
        <f aca="false">SUMIFS(Sensitivities!$I$5:$I$100,Sensitivities!$B$5:$B$100,"Risk_IRVol",Sensitivities!$C$5:$C$100,$B$104,Sensitivities!$E$5:$E$100,$A121)</f>
        <v>0</v>
      </c>
      <c r="C121" s="0" t="n">
        <f aca="false">$B$3*B121*$B$108</f>
        <v>0</v>
      </c>
      <c r="D121" s="0" t="n">
        <f aca="false">SIMM_Delta!$B$16*$C$121*$C$113</f>
        <v>0</v>
      </c>
      <c r="E121" s="0" t="n">
        <f aca="false">SIMM_Delta!$C$16*$C$121*$C$114</f>
        <v>0</v>
      </c>
      <c r="F121" s="0" t="n">
        <f aca="false">SIMM_Delta!$D$16*$C$121*$C$115</f>
        <v>0</v>
      </c>
      <c r="G121" s="0" t="n">
        <f aca="false">SIMM_Delta!$E$16*$C$121*$C$116</f>
        <v>0</v>
      </c>
      <c r="H121" s="0" t="n">
        <f aca="false">SIMM_Delta!$F$16*$C$121*$C$117</f>
        <v>0</v>
      </c>
      <c r="I121" s="0" t="n">
        <f aca="false">SIMM_Delta!$G$16*$C$121*$C$118</f>
        <v>0</v>
      </c>
      <c r="J121" s="0" t="n">
        <f aca="false">SIMM_Delta!$H$16*$C$121*$C$119</f>
        <v>0</v>
      </c>
      <c r="K121" s="0" t="n">
        <f aca="false">SIMM_Delta!$I$16*$C$121*$C$120</f>
        <v>0</v>
      </c>
      <c r="L121" s="0" t="n">
        <f aca="false">SIMM_Delta!$J$16*$C$121*$C$121</f>
        <v>0</v>
      </c>
      <c r="M121" s="0" t="n">
        <f aca="false">SIMM_Delta!$K$16*$C$121*$C$122</f>
        <v>0</v>
      </c>
      <c r="N121" s="0" t="n">
        <f aca="false">SIMM_Delta!$L$16*$C$121*$C$123</f>
        <v>0</v>
      </c>
      <c r="O121" s="0" t="n">
        <f aca="false">SIMM_Delta!$M$16*$C$121*$C$124</f>
        <v>0</v>
      </c>
    </row>
    <row r="122" customFormat="false" ht="15" hidden="false" customHeight="false" outlineLevel="0" collapsed="false">
      <c r="A122" s="0" t="str">
        <f aca="false">Inputs!$K$14</f>
        <v>15y</v>
      </c>
      <c r="B122" s="0" t="n">
        <f aca="false">SUMIFS(Sensitivities!$I$5:$I$100,Sensitivities!$B$5:$B$100,"Risk_IRVol",Sensitivities!$C$5:$C$100,$B$104,Sensitivities!$E$5:$E$100,$A122)</f>
        <v>0</v>
      </c>
      <c r="C122" s="0" t="n">
        <f aca="false">$B$3*B122*$B$108</f>
        <v>0</v>
      </c>
      <c r="D122" s="0" t="n">
        <f aca="false">SIMM_Delta!$B$17*$C$122*$C$113</f>
        <v>0</v>
      </c>
      <c r="E122" s="0" t="n">
        <f aca="false">SIMM_Delta!$C$17*$C$122*$C$114</f>
        <v>0</v>
      </c>
      <c r="F122" s="0" t="n">
        <f aca="false">SIMM_Delta!$D$17*$C$122*$C$115</f>
        <v>0</v>
      </c>
      <c r="G122" s="0" t="n">
        <f aca="false">SIMM_Delta!$E$17*$C$122*$C$116</f>
        <v>0</v>
      </c>
      <c r="H122" s="0" t="n">
        <f aca="false">SIMM_Delta!$F$17*$C$122*$C$117</f>
        <v>0</v>
      </c>
      <c r="I122" s="0" t="n">
        <f aca="false">SIMM_Delta!$G$17*$C$122*$C$118</f>
        <v>0</v>
      </c>
      <c r="J122" s="0" t="n">
        <f aca="false">SIMM_Delta!$H$17*$C$122*$C$119</f>
        <v>0</v>
      </c>
      <c r="K122" s="0" t="n">
        <f aca="false">SIMM_Delta!$I$17*$C$122*$C$120</f>
        <v>0</v>
      </c>
      <c r="L122" s="0" t="n">
        <f aca="false">SIMM_Delta!$J$17*$C$122*$C$121</f>
        <v>0</v>
      </c>
      <c r="M122" s="0" t="n">
        <f aca="false">SIMM_Delta!$K$17*$C$122*$C$122</f>
        <v>0</v>
      </c>
      <c r="N122" s="0" t="n">
        <f aca="false">SIMM_Delta!$L$17*$C$122*$C$123</f>
        <v>0</v>
      </c>
      <c r="O122" s="0" t="n">
        <f aca="false">SIMM_Delta!$M$17*$C$122*$C$124</f>
        <v>0</v>
      </c>
    </row>
    <row r="123" customFormat="false" ht="15" hidden="false" customHeight="false" outlineLevel="0" collapsed="false">
      <c r="A123" s="0" t="str">
        <f aca="false">Inputs!$L$14</f>
        <v>20y</v>
      </c>
      <c r="B123" s="0" t="n">
        <f aca="false">SUMIFS(Sensitivities!$I$5:$I$100,Sensitivities!$B$5:$B$100,"Risk_IRVol",Sensitivities!$C$5:$C$100,$B$104,Sensitivities!$E$5:$E$100,$A123)</f>
        <v>0</v>
      </c>
      <c r="C123" s="0" t="n">
        <f aca="false">$B$3*B123*$B$108</f>
        <v>0</v>
      </c>
      <c r="D123" s="0" t="n">
        <f aca="false">SIMM_Delta!$B$18*$C$123*$C$113</f>
        <v>0</v>
      </c>
      <c r="E123" s="0" t="n">
        <f aca="false">SIMM_Delta!$C$18*$C$123*$C$114</f>
        <v>0</v>
      </c>
      <c r="F123" s="0" t="n">
        <f aca="false">SIMM_Delta!$D$18*$C$123*$C$115</f>
        <v>0</v>
      </c>
      <c r="G123" s="0" t="n">
        <f aca="false">SIMM_Delta!$E$18*$C$123*$C$116</f>
        <v>0</v>
      </c>
      <c r="H123" s="0" t="n">
        <f aca="false">SIMM_Delta!$F$18*$C$123*$C$117</f>
        <v>0</v>
      </c>
      <c r="I123" s="0" t="n">
        <f aca="false">SIMM_Delta!$G$18*$C$123*$C$118</f>
        <v>0</v>
      </c>
      <c r="J123" s="0" t="n">
        <f aca="false">SIMM_Delta!$H$18*$C$123*$C$119</f>
        <v>0</v>
      </c>
      <c r="K123" s="0" t="n">
        <f aca="false">SIMM_Delta!$I$18*$C$123*$C$120</f>
        <v>0</v>
      </c>
      <c r="L123" s="0" t="n">
        <f aca="false">SIMM_Delta!$J$18*$C$123*$C$121</f>
        <v>0</v>
      </c>
      <c r="M123" s="0" t="n">
        <f aca="false">SIMM_Delta!$K$18*$C$123*$C$122</f>
        <v>0</v>
      </c>
      <c r="N123" s="0" t="n">
        <f aca="false">SIMM_Delta!$L$18*$C$123*$C$123</f>
        <v>0</v>
      </c>
      <c r="O123" s="0" t="n">
        <f aca="false">SIMM_Delta!$M$18*$C$123*$C$124</f>
        <v>0</v>
      </c>
    </row>
    <row r="124" customFormat="false" ht="15" hidden="false" customHeight="false" outlineLevel="0" collapsed="false">
      <c r="A124" s="0" t="str">
        <f aca="false">Inputs!$M$14</f>
        <v>30y</v>
      </c>
      <c r="B124" s="0" t="n">
        <f aca="false">SUMIFS(Sensitivities!$I$5:$I$100,Sensitivities!$B$5:$B$100,"Risk_IRVol",Sensitivities!$C$5:$C$100,$B$104,Sensitivities!$E$5:$E$100,$A124)</f>
        <v>0</v>
      </c>
      <c r="C124" s="0" t="n">
        <f aca="false">$B$3*B124*$B$108</f>
        <v>0</v>
      </c>
      <c r="D124" s="0" t="n">
        <f aca="false">SIMM_Delta!$B$19*$C$124*$C$113</f>
        <v>0</v>
      </c>
      <c r="E124" s="0" t="n">
        <f aca="false">SIMM_Delta!$C$19*$C$124*$C$114</f>
        <v>0</v>
      </c>
      <c r="F124" s="0" t="n">
        <f aca="false">SIMM_Delta!$D$19*$C$124*$C$115</f>
        <v>0</v>
      </c>
      <c r="G124" s="0" t="n">
        <f aca="false">SIMM_Delta!$E$19*$C$124*$C$116</f>
        <v>0</v>
      </c>
      <c r="H124" s="0" t="n">
        <f aca="false">SIMM_Delta!$F$19*$C$124*$C$117</f>
        <v>0</v>
      </c>
      <c r="I124" s="0" t="n">
        <f aca="false">SIMM_Delta!$G$19*$C$124*$C$118</f>
        <v>0</v>
      </c>
      <c r="J124" s="0" t="n">
        <f aca="false">SIMM_Delta!$H$19*$C$124*$C$119</f>
        <v>0</v>
      </c>
      <c r="K124" s="0" t="n">
        <f aca="false">SIMM_Delta!$I$19*$C$124*$C$120</f>
        <v>0</v>
      </c>
      <c r="L124" s="0" t="n">
        <f aca="false">SIMM_Delta!$J$19*$C$124*$C$121</f>
        <v>0</v>
      </c>
      <c r="M124" s="0" t="n">
        <f aca="false">SIMM_Delta!$K$19*$C$124*$C$122</f>
        <v>0</v>
      </c>
      <c r="N124" s="0" t="n">
        <f aca="false">SIMM_Delta!$L$19*$C$124*$C$123</f>
        <v>0</v>
      </c>
      <c r="O124" s="0" t="n">
        <f aca="false">SIMM_Delta!$M$19*$C$124*$C$124</f>
        <v>0</v>
      </c>
    </row>
    <row r="128" customFormat="false" ht="15" hidden="false" customHeight="false" outlineLevel="0" collapsed="false">
      <c r="A128" s="1" t="s">
        <v>445</v>
      </c>
    </row>
    <row r="129" customFormat="false" ht="15" hidden="false" customHeight="false" outlineLevel="0" collapsed="false">
      <c r="A129" s="1" t="s">
        <v>43</v>
      </c>
      <c r="B129" s="1" t="str">
        <f aca="false">Inputs!$B$13</f>
        <v>USD</v>
      </c>
      <c r="C129" s="1" t="str">
        <f aca="false">Inputs!$C$13</f>
        <v>EUR</v>
      </c>
      <c r="D129" s="1" t="str">
        <f aca="false">Inputs!$D$13</f>
        <v>GBP</v>
      </c>
      <c r="E129" s="1" t="str">
        <f aca="false">Inputs!$E$13</f>
        <v>JPY</v>
      </c>
      <c r="F129" s="1" t="str">
        <f aca="false">Inputs!$F$13</f>
        <v>MXN</v>
      </c>
    </row>
    <row r="130" customFormat="false" ht="15" hidden="false" customHeight="false" outlineLevel="0" collapsed="false">
      <c r="A130" s="1" t="s">
        <v>257</v>
      </c>
      <c r="B130" s="0" t="n">
        <f aca="false">$B$13</f>
        <v>127729.554203872</v>
      </c>
      <c r="C130" s="0" t="n">
        <f aca="false">$B$37</f>
        <v>419996.543321242</v>
      </c>
      <c r="D130" s="0" t="n">
        <f aca="false">$B$61</f>
        <v>206285.626146868</v>
      </c>
      <c r="E130" s="0" t="n">
        <f aca="false">$B$85</f>
        <v>0</v>
      </c>
      <c r="F130" s="0" t="n">
        <f aca="false">$B$109</f>
        <v>0</v>
      </c>
    </row>
    <row r="131" customFormat="false" ht="15" hidden="false" customHeight="false" outlineLevel="0" collapsed="false">
      <c r="A131" s="1" t="s">
        <v>417</v>
      </c>
      <c r="B131" s="0" t="n">
        <f aca="false">$B$15</f>
        <v>127729.554203872</v>
      </c>
      <c r="C131" s="0" t="n">
        <f aca="false">$B$39</f>
        <v>419996.543321242</v>
      </c>
      <c r="D131" s="0" t="n">
        <f aca="false">$B$63</f>
        <v>-206285.626146868</v>
      </c>
      <c r="E131" s="0" t="n">
        <f aca="false">$B$87</f>
        <v>0</v>
      </c>
      <c r="F131" s="0" t="n">
        <f aca="false">$B$111</f>
        <v>0</v>
      </c>
    </row>
    <row r="132" customFormat="false" ht="15" hidden="false" customHeight="false" outlineLevel="0" collapsed="false">
      <c r="A132" s="1" t="s">
        <v>441</v>
      </c>
      <c r="B132" s="0" t="n">
        <f aca="false">$B$12</f>
        <v>1</v>
      </c>
      <c r="C132" s="0" t="n">
        <f aca="false">$B$36</f>
        <v>1</v>
      </c>
      <c r="D132" s="0" t="n">
        <f aca="false">$B$60</f>
        <v>1</v>
      </c>
      <c r="E132" s="0" t="n">
        <f aca="false">$B$84</f>
        <v>1</v>
      </c>
      <c r="F132" s="0" t="n">
        <f aca="false">$B$108</f>
        <v>1</v>
      </c>
    </row>
    <row r="133" customFormat="false" ht="15" hidden="false" customHeight="false" outlineLevel="0" collapsed="false">
      <c r="A133" s="0" t="str">
        <f aca="false">Inputs!$B$13</f>
        <v>USD</v>
      </c>
      <c r="C133" s="0" t="n">
        <f aca="false">$B$4*MIN(B$132,C$132)/MAX(B$132,C$132)*B$131*C$131</f>
        <v>18776089935.9563</v>
      </c>
      <c r="D133" s="0" t="n">
        <f aca="false">$B$4*MIN(B$132,D$132)/MAX(B$132,D$132)*B$131*D$131</f>
        <v>-9222069873.24213</v>
      </c>
      <c r="E133" s="0" t="n">
        <f aca="false">$B$4*MIN(B$132,E$132)/MAX(B$132,E$132)*B$131*E$131</f>
        <v>0</v>
      </c>
      <c r="F133" s="0" t="n">
        <f aca="false">$B$4*MIN(B$132,F$132)/MAX(B$132,F$132)*B$131*F$131</f>
        <v>0</v>
      </c>
    </row>
    <row r="134" customFormat="false" ht="15" hidden="false" customHeight="false" outlineLevel="0" collapsed="false">
      <c r="A134" s="0" t="str">
        <f aca="false">Inputs!$C$13</f>
        <v>EUR</v>
      </c>
      <c r="B134" s="0" t="n">
        <f aca="false">$B$4*MIN(C$132,B$132)/MAX(C$132,B$132)*C$131*B$131</f>
        <v>18776089935.9563</v>
      </c>
      <c r="D134" s="0" t="n">
        <f aca="false">$B$4*MIN(C$132,D$132)/MAX(C$132,D$132)*C$131*D$131</f>
        <v>-30323737471.4899</v>
      </c>
      <c r="E134" s="0" t="n">
        <f aca="false">$B$4*MIN(C$132,E$132)/MAX(C$132,E$132)*C$131*E$131</f>
        <v>0</v>
      </c>
      <c r="F134" s="0" t="n">
        <f aca="false">$B$4*MIN(C$132,F$132)/MAX(C$132,F$132)*C$131*F$131</f>
        <v>0</v>
      </c>
    </row>
    <row r="135" customFormat="false" ht="15" hidden="false" customHeight="false" outlineLevel="0" collapsed="false">
      <c r="A135" s="0" t="str">
        <f aca="false">Inputs!$D$13</f>
        <v>GBP</v>
      </c>
      <c r="B135" s="0" t="n">
        <f aca="false">$B$4*MIN(D$132,B$132)/MAX(D$132,B$132)*D$131*B$131</f>
        <v>-9222069873.24213</v>
      </c>
      <c r="C135" s="0" t="n">
        <f aca="false">$B$4*MIN(D$132,C$132)/MAX(D$132,C$132)*D$131*C$131</f>
        <v>-30323737471.4899</v>
      </c>
      <c r="E135" s="0" t="n">
        <f aca="false">$B$4*MIN(D$132,E$132)/MAX(D$132,E$132)*D$131*E$131</f>
        <v>-0</v>
      </c>
      <c r="F135" s="0" t="n">
        <f aca="false">$B$4*MIN(D$132,F$132)/MAX(D$132,F$132)*D$131*F$131</f>
        <v>-0</v>
      </c>
    </row>
    <row r="136" customFormat="false" ht="15" hidden="false" customHeight="false" outlineLevel="0" collapsed="false">
      <c r="A136" s="0" t="str">
        <f aca="false">Inputs!$E$13</f>
        <v>JPY</v>
      </c>
      <c r="B136" s="0" t="n">
        <f aca="false">$B$4*MIN(E$132,B$132)/MAX(E$132,B$132)*E$131*B$131</f>
        <v>0</v>
      </c>
      <c r="C136" s="0" t="n">
        <f aca="false">$B$4*MIN(E$132,C$132)/MAX(E$132,C$132)*E$131*C$131</f>
        <v>0</v>
      </c>
      <c r="D136" s="0" t="n">
        <f aca="false">$B$4*MIN(E$132,D$132)/MAX(E$132,D$132)*E$131*D$131</f>
        <v>-0</v>
      </c>
      <c r="F136" s="0" t="n">
        <f aca="false">$B$4*MIN(E$132,F$132)/MAX(E$132,F$132)*E$131*F$131</f>
        <v>0</v>
      </c>
    </row>
    <row r="137" customFormat="false" ht="15" hidden="false" customHeight="false" outlineLevel="0" collapsed="false">
      <c r="A137" s="0" t="str">
        <f aca="false">Inputs!$F$13</f>
        <v>MXN</v>
      </c>
      <c r="B137" s="0" t="n">
        <f aca="false">$B$4*MIN(F$132,B$132)/MAX(F$132,B$132)*F$131*B$131</f>
        <v>0</v>
      </c>
      <c r="C137" s="0" t="n">
        <f aca="false">$B$4*MIN(F$132,C$132)/MAX(F$132,C$132)*F$131*C$131</f>
        <v>0</v>
      </c>
      <c r="D137" s="0" t="n">
        <f aca="false">$B$4*MIN(F$132,D$132)/MAX(F$132,D$132)*F$131*D$131</f>
        <v>-0</v>
      </c>
      <c r="E137" s="0" t="n">
        <f aca="false">$B$4*MIN(F$132,E$132)/MAX(F$132,E$132)*F$131*E$131</f>
        <v>0</v>
      </c>
    </row>
    <row r="138" customFormat="false" ht="15" hidden="false" customHeight="false" outlineLevel="0" collapsed="false">
      <c r="A138" s="1" t="s">
        <v>425</v>
      </c>
      <c r="B138" s="0" t="n">
        <f aca="false">SUMPRODUCT(B130:F130,B130:F130)</f>
        <v>235265694973.717</v>
      </c>
    </row>
    <row r="139" customFormat="false" ht="15" hidden="false" customHeight="false" outlineLevel="0" collapsed="false">
      <c r="A139" s="1" t="s">
        <v>426</v>
      </c>
      <c r="B139" s="0" t="n">
        <f aca="false">SUM(B133:F137)</f>
        <v>-41539434817.5515</v>
      </c>
    </row>
    <row r="140" customFormat="false" ht="15" hidden="false" customHeight="false" outlineLevel="0" collapsed="false">
      <c r="A140" s="1" t="s">
        <v>446</v>
      </c>
      <c r="B140" s="0" t="n">
        <f aca="false">SQRT(MAX(0,B138+B139))</f>
        <v>440143.454064883</v>
      </c>
    </row>
    <row r="143" customFormat="false" ht="15" hidden="false" customHeight="false" outlineLevel="0" collapsed="false">
      <c r="A143" s="1" t="s">
        <v>447</v>
      </c>
    </row>
    <row r="144" customFormat="false" ht="15" hidden="false" customHeight="false" outlineLevel="0" collapsed="false">
      <c r="A144" s="1" t="s">
        <v>448</v>
      </c>
      <c r="B144" s="0" t="n">
        <f aca="false">INDEX(Parameters!$G$5:$G$689,MATCH(Inputs!$B$4&amp;"|FX|"&amp;"hvr"&amp;"|"&amp;""&amp;"|"&amp;"",Parameters!$A$5:$A$689,0))</f>
        <v>0.67</v>
      </c>
    </row>
    <row r="145" customFormat="false" ht="15" hidden="false" customHeight="false" outlineLevel="0" collapsed="false">
      <c r="A145" s="1" t="s">
        <v>449</v>
      </c>
      <c r="B145" s="0" t="n">
        <f aca="false">INDEX(Parameters!$G$5:$G$689,MATCH(Inputs!$B$4&amp;"|FX|"&amp;"vega_rw"&amp;"|"&amp;""&amp;"|"&amp;"",Parameters!$A$5:$A$689,0))</f>
        <v>0.33</v>
      </c>
    </row>
    <row r="146" customFormat="false" ht="15" hidden="false" customHeight="false" outlineLevel="0" collapsed="false">
      <c r="A146" s="1" t="s">
        <v>450</v>
      </c>
      <c r="B146" s="0" t="n">
        <f aca="false">INDEX(Parameters!$G$5:$G$689,MATCH(Inputs!$B$4&amp;"|FX|"&amp;"vol_curvature_corr"&amp;"|"&amp;""&amp;"|"&amp;"",Parameters!$A$5:$A$689,0))</f>
        <v>0.5</v>
      </c>
    </row>
    <row r="147" customFormat="false" ht="15" hidden="false" customHeight="false" outlineLevel="0" collapsed="false">
      <c r="A147" s="1" t="s">
        <v>451</v>
      </c>
      <c r="B147" s="0" t="n">
        <f aca="false">INDEX(Parameters!$G$5:$G$689,MATCH(Inputs!$B$4&amp;"|ALL|"&amp;"vega_sigma_days_numerator"&amp;"|"&amp;""&amp;"|"&amp;"",Parameters!$A$5:$A$689,0))</f>
        <v>365</v>
      </c>
    </row>
    <row r="148" customFormat="false" ht="15" hidden="false" customHeight="false" outlineLevel="0" collapsed="false">
      <c r="A148" s="1" t="s">
        <v>452</v>
      </c>
      <c r="B148" s="0" t="n">
        <f aca="false">INDEX(Parameters!$G$5:$G$689,MATCH(Inputs!$B$4&amp;"|ALL|"&amp;"vega_sigma_days_denominator"&amp;"|"&amp;""&amp;"|"&amp;"",Parameters!$A$5:$A$689,0))</f>
        <v>14</v>
      </c>
    </row>
    <row r="149" customFormat="false" ht="15" hidden="false" customHeight="false" outlineLevel="0" collapsed="false">
      <c r="A149" s="1" t="s">
        <v>453</v>
      </c>
      <c r="B149" s="0" t="n">
        <f aca="false">INDEX(Parameters!$G$5:$G$689,MATCH(Inputs!$B$4&amp;"|ALL|"&amp;"vega_sigma_quantile"&amp;"|"&amp;""&amp;"|"&amp;"",Parameters!$A$5:$A$689,0))</f>
        <v>0.99</v>
      </c>
    </row>
    <row r="151" customFormat="false" ht="15" hidden="false" customHeight="false" outlineLevel="0" collapsed="false">
      <c r="A151" s="1" t="s">
        <v>454</v>
      </c>
      <c r="B151" s="1" t="s">
        <v>455</v>
      </c>
      <c r="C151" s="1" t="s">
        <v>456</v>
      </c>
      <c r="D151" s="1" t="s">
        <v>457</v>
      </c>
      <c r="E151" s="1" t="s">
        <v>458</v>
      </c>
      <c r="F151" s="1" t="s">
        <v>420</v>
      </c>
      <c r="G151" s="1" t="s">
        <v>459</v>
      </c>
      <c r="H151" s="1" t="s">
        <v>460</v>
      </c>
      <c r="I151" s="1" t="s">
        <v>461</v>
      </c>
      <c r="J151" s="1" t="s">
        <v>462</v>
      </c>
      <c r="K151" s="1" t="s">
        <v>463</v>
      </c>
      <c r="L151" s="1" t="s">
        <v>464</v>
      </c>
      <c r="M151" s="1" t="s">
        <v>465</v>
      </c>
      <c r="N151" s="1" t="s">
        <v>441</v>
      </c>
      <c r="O151" s="1" t="s">
        <v>444</v>
      </c>
      <c r="Q151" s="1" t="str">
        <f aca="false">Inputs!$B$17</f>
        <v>EURUSD</v>
      </c>
      <c r="R151" s="1" t="str">
        <f aca="false">Inputs!$C$17</f>
        <v>GBPUSD</v>
      </c>
      <c r="S151" s="1" t="str">
        <f aca="false">Inputs!$D$17</f>
        <v>USDJPY</v>
      </c>
      <c r="T151" s="1" t="str">
        <f aca="false">Inputs!$E$17</f>
        <v>USDMXN</v>
      </c>
    </row>
    <row r="152" customFormat="false" ht="15" hidden="false" customHeight="false" outlineLevel="0" collapsed="false">
      <c r="A152" s="0" t="str">
        <f aca="false">Inputs!$B$17</f>
        <v>EURUSD</v>
      </c>
      <c r="B152" s="0" t="str">
        <f aca="false">LEFT(A152,3)</f>
        <v>EUR</v>
      </c>
      <c r="C152" s="0" t="str">
        <f aca="false">RIGHT(A152,3)</f>
        <v>USD</v>
      </c>
      <c r="D152" s="0" t="str">
        <f aca="false">IF(ISNUMBER(MATCH(Inputs!$B$4&amp;"|FX|high_vol_member|high|"&amp;$B152,Parameters!$A$5:$A$689,0)),"high","regular")</f>
        <v>regular</v>
      </c>
      <c r="E152" s="0" t="str">
        <f aca="false">IF(ISNUMBER(MATCH(Inputs!$B$4&amp;"|FX|high_vol_member|high|"&amp;$C152,Parameters!$A$5:$A$689,0)),"high","regular")</f>
        <v>regular</v>
      </c>
      <c r="F152" s="0" t="n">
        <f aca="false">INDEX(Parameters!$G$5:$G$689,MATCH(Inputs!$B$4&amp;"|FX|"&amp;"delta_rw"&amp;"|"&amp;$D152&amp;"|"&amp;$E152,Parameters!$A$5:$A$689,0))</f>
        <v>7.4</v>
      </c>
      <c r="G152" s="0" t="n">
        <f aca="false">F152*SQRT($B$147/$B$148)/NORMSINV($B$149)/100</f>
        <v>0.162419988712283</v>
      </c>
      <c r="H152" s="0" t="n">
        <f aca="false">SUMIFS(Sensitivities!$K$5:$K$100,Sensitivities!$B$5:$B$100,"Risk_FXVol",Sensitivities!$C$5:$C$100,$A152)</f>
        <v>59194.0366759431</v>
      </c>
      <c r="I152" s="0" t="n">
        <f aca="false">H152*G152</f>
        <v>9614.29476874116</v>
      </c>
      <c r="J152" s="0" t="n">
        <f aca="false">$B$144*I152</f>
        <v>6441.57749505658</v>
      </c>
      <c r="K152" s="0" t="n">
        <f aca="false">IF(ISNUMBER(MATCH(Inputs!$B$4&amp;"|FX|ct_category_member|Category 1|"&amp;$B152,Parameters!$A$5:$A$689,0)),1,IF(ISNUMBER(MATCH(Inputs!$B$4&amp;"|FX|ct_category_member|Category 2|"&amp;$B152,Parameters!$A$5:$A$689,0)),2,3))</f>
        <v>1</v>
      </c>
      <c r="L152" s="0" t="n">
        <f aca="false">IF(ISNUMBER(MATCH(Inputs!$B$4&amp;"|FX|ct_category_member|Category 1|"&amp;$C152,Parameters!$A$5:$A$689,0)),1,IF(ISNUMBER(MATCH(Inputs!$B$4&amp;"|FX|ct_category_member|Category 2|"&amp;$C152,Parameters!$A$5:$A$689,0)),2,3))</f>
        <v>1</v>
      </c>
      <c r="M152" s="0" t="n">
        <f aca="false">INDEX(Parameters!$G$5:$G$689,MATCH(Inputs!$B$4&amp;"|FX|"&amp;"vega_ct"&amp;"|"&amp;"Category "&amp;MIN($K152,$L152)&amp;"|"&amp;"Category "&amp;MAX($K152,$L152),Parameters!$A$5:$A$689,0))</f>
        <v>2900</v>
      </c>
      <c r="N152" s="0" t="n">
        <f aca="false">MAX(1,SQRT(ABS(J152)/Inputs!$B$9/M152))</f>
        <v>1</v>
      </c>
      <c r="O152" s="0" t="n">
        <f aca="false">$B$145*J152*N152</f>
        <v>2125.72057336867</v>
      </c>
      <c r="Q152" s="0" t="n">
        <f aca="false">$O152^2</f>
        <v>4518687.95604283</v>
      </c>
      <c r="R152" s="0" t="n">
        <f aca="false">$B$146*MIN($N152,$N153)/MAX($N152,$N153)*$O152*$O153</f>
        <v>401445131.310225</v>
      </c>
      <c r="S152" s="0" t="n">
        <f aca="false">$B$146*MIN($N152,$N154)/MAX($N152,$N154)*$O152*$O154</f>
        <v>0</v>
      </c>
      <c r="T152" s="0" t="n">
        <f aca="false">$B$146*MIN($N152,$N155)/MAX($N152,$N155)*$O152*$O155</f>
        <v>114337742.148195</v>
      </c>
    </row>
    <row r="153" customFormat="false" ht="15" hidden="false" customHeight="false" outlineLevel="0" collapsed="false">
      <c r="A153" s="0" t="str">
        <f aca="false">Inputs!$C$17</f>
        <v>GBPUSD</v>
      </c>
      <c r="B153" s="0" t="str">
        <f aca="false">LEFT(A153,3)</f>
        <v>GBP</v>
      </c>
      <c r="C153" s="0" t="str">
        <f aca="false">RIGHT(A153,3)</f>
        <v>USD</v>
      </c>
      <c r="D153" s="0" t="str">
        <f aca="false">IF(ISNUMBER(MATCH(Inputs!$B$4&amp;"|FX|high_vol_member|high|"&amp;$B153,Parameters!$A$5:$A$689,0)),"high","regular")</f>
        <v>regular</v>
      </c>
      <c r="E153" s="0" t="str">
        <f aca="false">IF(ISNUMBER(MATCH(Inputs!$B$4&amp;"|FX|high_vol_member|high|"&amp;$C153,Parameters!$A$5:$A$689,0)),"high","regular")</f>
        <v>regular</v>
      </c>
      <c r="F153" s="0" t="n">
        <f aca="false">INDEX(Parameters!$G$5:$G$689,MATCH(Inputs!$B$4&amp;"|FX|"&amp;"delta_rw"&amp;"|"&amp;$D153&amp;"|"&amp;$E153,Parameters!$A$5:$A$689,0))</f>
        <v>7.4</v>
      </c>
      <c r="G153" s="0" t="n">
        <f aca="false">F153*SQRT($B$147/$B$148)/NORMSINV($B$149)/100</f>
        <v>0.162419988712283</v>
      </c>
      <c r="H153" s="0" t="n">
        <f aca="false">SUMIFS(Sensitivities!$K$5:$K$100,Sensitivities!$B$5:$B$100,"Risk_FXVol",Sensitivities!$C$5:$C$100,$A153)</f>
        <v>10517724.6392408</v>
      </c>
      <c r="I153" s="0" t="n">
        <f aca="false">H153*G153</f>
        <v>1708288.7171844</v>
      </c>
      <c r="J153" s="0" t="n">
        <f aca="false">$B$144*I153</f>
        <v>1144553.44051355</v>
      </c>
      <c r="K153" s="0" t="n">
        <f aca="false">IF(ISNUMBER(MATCH(Inputs!$B$4&amp;"|FX|ct_category_member|Category 1|"&amp;$B153,Parameters!$A$5:$A$689,0)),1,IF(ISNUMBER(MATCH(Inputs!$B$4&amp;"|FX|ct_category_member|Category 2|"&amp;$B153,Parameters!$A$5:$A$689,0)),2,3))</f>
        <v>1</v>
      </c>
      <c r="L153" s="0" t="n">
        <f aca="false">IF(ISNUMBER(MATCH(Inputs!$B$4&amp;"|FX|ct_category_member|Category 1|"&amp;$C153,Parameters!$A$5:$A$689,0)),1,IF(ISNUMBER(MATCH(Inputs!$B$4&amp;"|FX|ct_category_member|Category 2|"&amp;$C153,Parameters!$A$5:$A$689,0)),2,3))</f>
        <v>1</v>
      </c>
      <c r="M153" s="0" t="n">
        <f aca="false">INDEX(Parameters!$G$5:$G$689,MATCH(Inputs!$B$4&amp;"|FX|"&amp;"vega_ct"&amp;"|"&amp;"Category "&amp;MIN($K153,$L153)&amp;"|"&amp;"Category "&amp;MAX($K153,$L153),Parameters!$A$5:$A$689,0))</f>
        <v>2900</v>
      </c>
      <c r="N153" s="0" t="n">
        <f aca="false">MAX(1,SQRT(ABS(J153)/Inputs!$B$9/M153))</f>
        <v>1</v>
      </c>
      <c r="O153" s="0" t="n">
        <f aca="false">$B$145*J153*N153</f>
        <v>377702.635369471</v>
      </c>
      <c r="Q153" s="0" t="n">
        <f aca="false">$B$146*MIN($N153,$N152)/MAX($N153,$N152)*$O153*$O152</f>
        <v>401445131.310225</v>
      </c>
      <c r="R153" s="0" t="n">
        <f aca="false">$O153^2</f>
        <v>142659280765.043</v>
      </c>
      <c r="S153" s="0" t="n">
        <f aca="false">$B$146*MIN($N153,$N154)/MAX($N153,$N154)*$O153*$O154</f>
        <v>0</v>
      </c>
      <c r="T153" s="0" t="n">
        <f aca="false">$B$146*MIN($N153,$N155)/MAX($N153,$N155)*$O153*$O155</f>
        <v>20315777657.9878</v>
      </c>
    </row>
    <row r="154" customFormat="false" ht="15" hidden="false" customHeight="false" outlineLevel="0" collapsed="false">
      <c r="A154" s="0" t="str">
        <f aca="false">Inputs!$D$17</f>
        <v>USDJPY</v>
      </c>
      <c r="B154" s="0" t="str">
        <f aca="false">LEFT(A154,3)</f>
        <v>USD</v>
      </c>
      <c r="C154" s="0" t="str">
        <f aca="false">RIGHT(A154,3)</f>
        <v>JPY</v>
      </c>
      <c r="D154" s="0" t="str">
        <f aca="false">IF(ISNUMBER(MATCH(Inputs!$B$4&amp;"|FX|high_vol_member|high|"&amp;$B154,Parameters!$A$5:$A$689,0)),"high","regular")</f>
        <v>regular</v>
      </c>
      <c r="E154" s="0" t="str">
        <f aca="false">IF(ISNUMBER(MATCH(Inputs!$B$4&amp;"|FX|high_vol_member|high|"&amp;$C154,Parameters!$A$5:$A$689,0)),"high","regular")</f>
        <v>regular</v>
      </c>
      <c r="F154" s="0" t="n">
        <f aca="false">INDEX(Parameters!$G$5:$G$689,MATCH(Inputs!$B$4&amp;"|FX|"&amp;"delta_rw"&amp;"|"&amp;$D154&amp;"|"&amp;$E154,Parameters!$A$5:$A$689,0))</f>
        <v>7.4</v>
      </c>
      <c r="G154" s="0" t="n">
        <f aca="false">F154*SQRT($B$147/$B$148)/NORMSINV($B$149)/100</f>
        <v>0.162419988712283</v>
      </c>
      <c r="H154" s="0" t="n">
        <f aca="false">SUMIFS(Sensitivities!$K$5:$K$100,Sensitivities!$B$5:$B$100,"Risk_FXVol",Sensitivities!$C$5:$C$100,$A154)</f>
        <v>0</v>
      </c>
      <c r="I154" s="0" t="n">
        <f aca="false">H154*G154</f>
        <v>0</v>
      </c>
      <c r="J154" s="0" t="n">
        <f aca="false">$B$144*I154</f>
        <v>0</v>
      </c>
      <c r="K154" s="0" t="n">
        <f aca="false">IF(ISNUMBER(MATCH(Inputs!$B$4&amp;"|FX|ct_category_member|Category 1|"&amp;$B154,Parameters!$A$5:$A$689,0)),1,IF(ISNUMBER(MATCH(Inputs!$B$4&amp;"|FX|ct_category_member|Category 2|"&amp;$B154,Parameters!$A$5:$A$689,0)),2,3))</f>
        <v>1</v>
      </c>
      <c r="L154" s="0" t="n">
        <f aca="false">IF(ISNUMBER(MATCH(Inputs!$B$4&amp;"|FX|ct_category_member|Category 1|"&amp;$C154,Parameters!$A$5:$A$689,0)),1,IF(ISNUMBER(MATCH(Inputs!$B$4&amp;"|FX|ct_category_member|Category 2|"&amp;$C154,Parameters!$A$5:$A$689,0)),2,3))</f>
        <v>1</v>
      </c>
      <c r="M154" s="0" t="n">
        <f aca="false">INDEX(Parameters!$G$5:$G$689,MATCH(Inputs!$B$4&amp;"|FX|"&amp;"vega_ct"&amp;"|"&amp;"Category "&amp;MIN($K154,$L154)&amp;"|"&amp;"Category "&amp;MAX($K154,$L154),Parameters!$A$5:$A$689,0))</f>
        <v>2900</v>
      </c>
      <c r="N154" s="0" t="n">
        <f aca="false">MAX(1,SQRT(ABS(J154)/Inputs!$B$9/M154))</f>
        <v>1</v>
      </c>
      <c r="O154" s="0" t="n">
        <f aca="false">$B$145*J154*N154</f>
        <v>0</v>
      </c>
      <c r="Q154" s="0" t="n">
        <f aca="false">$B$146*MIN($N154,$N152)/MAX($N154,$N152)*$O154*$O152</f>
        <v>0</v>
      </c>
      <c r="R154" s="0" t="n">
        <f aca="false">$B$146*MIN($N154,$N153)/MAX($N154,$N153)*$O154*$O153</f>
        <v>0</v>
      </c>
      <c r="S154" s="0" t="n">
        <f aca="false">$O154^2</f>
        <v>0</v>
      </c>
      <c r="T154" s="0" t="n">
        <f aca="false">$B$146*MIN($N154,$N155)/MAX($N154,$N155)*$O154*$O155</f>
        <v>0</v>
      </c>
    </row>
    <row r="155" customFormat="false" ht="15" hidden="false" customHeight="false" outlineLevel="0" collapsed="false">
      <c r="A155" s="0" t="str">
        <f aca="false">Inputs!$E$17</f>
        <v>USDMXN</v>
      </c>
      <c r="B155" s="0" t="str">
        <f aca="false">LEFT(A155,3)</f>
        <v>USD</v>
      </c>
      <c r="C155" s="0" t="str">
        <f aca="false">RIGHT(A155,3)</f>
        <v>MXN</v>
      </c>
      <c r="D155" s="0" t="str">
        <f aca="false">IF(ISNUMBER(MATCH(Inputs!$B$4&amp;"|FX|high_vol_member|high|"&amp;$B155,Parameters!$A$5:$A$689,0)),"high","regular")</f>
        <v>regular</v>
      </c>
      <c r="E155" s="0" t="str">
        <f aca="false">IF(ISNUMBER(MATCH(Inputs!$B$4&amp;"|FX|high_vol_member|high|"&amp;$C155,Parameters!$A$5:$A$689,0)),"high","regular")</f>
        <v>regular</v>
      </c>
      <c r="F155" s="0" t="n">
        <f aca="false">INDEX(Parameters!$G$5:$G$689,MATCH(Inputs!$B$4&amp;"|FX|"&amp;"delta_rw"&amp;"|"&amp;$D155&amp;"|"&amp;$E155,Parameters!$A$5:$A$689,0))</f>
        <v>7.4</v>
      </c>
      <c r="G155" s="0" t="n">
        <f aca="false">F155*SQRT($B$147/$B$148)/NORMSINV($B$149)/100</f>
        <v>0.162419988712283</v>
      </c>
      <c r="H155" s="0" t="n">
        <f aca="false">SUMIFS(Sensitivities!$K$5:$K$100,Sensitivities!$B$5:$B$100,"Risk_FXVol",Sensitivities!$C$5:$C$100,$A155)</f>
        <v>2995609.59641561</v>
      </c>
      <c r="I155" s="0" t="n">
        <f aca="false">H155*G155</f>
        <v>486546.876836232</v>
      </c>
      <c r="J155" s="0" t="n">
        <f aca="false">$B$144*I155</f>
        <v>325986.407480275</v>
      </c>
      <c r="K155" s="0" t="n">
        <f aca="false">IF(ISNUMBER(MATCH(Inputs!$B$4&amp;"|FX|ct_category_member|Category 1|"&amp;$B155,Parameters!$A$5:$A$689,0)),1,IF(ISNUMBER(MATCH(Inputs!$B$4&amp;"|FX|ct_category_member|Category 2|"&amp;$B155,Parameters!$A$5:$A$689,0)),2,3))</f>
        <v>1</v>
      </c>
      <c r="L155" s="0" t="n">
        <f aca="false">IF(ISNUMBER(MATCH(Inputs!$B$4&amp;"|FX|ct_category_member|Category 1|"&amp;$C155,Parameters!$A$5:$A$689,0)),1,IF(ISNUMBER(MATCH(Inputs!$B$4&amp;"|FX|ct_category_member|Category 2|"&amp;$C155,Parameters!$A$5:$A$689,0)),2,3))</f>
        <v>2</v>
      </c>
      <c r="M155" s="0" t="n">
        <f aca="false">INDEX(Parameters!$G$5:$G$689,MATCH(Inputs!$B$4&amp;"|FX|"&amp;"vega_ct"&amp;"|"&amp;"Category "&amp;MIN($K155,$L155)&amp;"|"&amp;"Category "&amp;MAX($K155,$L155),Parameters!$A$5:$A$689,0))</f>
        <v>1500</v>
      </c>
      <c r="N155" s="0" t="n">
        <f aca="false">MAX(1,SQRT(ABS(J155)/Inputs!$B$9/M155))</f>
        <v>1</v>
      </c>
      <c r="O155" s="0" t="n">
        <f aca="false">$B$145*J155*N155</f>
        <v>107575.514468491</v>
      </c>
      <c r="Q155" s="0" t="n">
        <f aca="false">$B$146*MIN($N155,$N152)/MAX($N155,$N152)*$O155*$O152</f>
        <v>114337742.148195</v>
      </c>
      <c r="R155" s="0" t="n">
        <f aca="false">$B$146*MIN($N155,$N153)/MAX($N155,$N153)*$O155*$O153</f>
        <v>20315777657.9878</v>
      </c>
      <c r="S155" s="0" t="n">
        <f aca="false">$B$146*MIN($N155,$N154)/MAX($N155,$N154)*$O155*$O154</f>
        <v>0</v>
      </c>
      <c r="T155" s="0" t="n">
        <f aca="false">$O155^2</f>
        <v>11572491313.1605</v>
      </c>
    </row>
    <row r="156" customFormat="false" ht="15" hidden="false" customHeight="false" outlineLevel="0" collapsed="false">
      <c r="A156" s="1" t="s">
        <v>466</v>
      </c>
      <c r="B156" s="0" t="n">
        <f aca="false">SQRT(MAX(0,SUM(Q152:T155)))</f>
        <v>442605.255085219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15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2734375" defaultRowHeight="15" customHeight="false" zeroHeight="false" outlineLevelRow="0" outlineLevelCol="0"/>
  <cols>
    <col collapsed="false" customWidth="true" hidden="false" outlineLevel="0" max="1" min="1" style="0" width="46"/>
  </cols>
  <sheetData>
    <row r="1" customFormat="false" ht="15" hidden="false" customHeight="false" outlineLevel="0" collapsed="false">
      <c r="A1" s="1" t="s">
        <v>467</v>
      </c>
    </row>
    <row r="3" customFormat="false" ht="15" hidden="false" customHeight="false" outlineLevel="0" collapsed="false">
      <c r="A3" s="1" t="s">
        <v>468</v>
      </c>
      <c r="B3" s="0" t="n">
        <f aca="false">INDEX(Parameters!$G$5:$G$689,MATCH(Inputs!$B$4&amp;"|ALL|"&amp;"curvature_sf_ref_days"&amp;"|"&amp;""&amp;"|"&amp;"",Parameters!$A$5:$A$689,0))</f>
        <v>14</v>
      </c>
    </row>
    <row r="4" customFormat="false" ht="15" hidden="false" customHeight="false" outlineLevel="0" collapsed="false">
      <c r="A4" s="1" t="s">
        <v>469</v>
      </c>
      <c r="B4" s="0" t="n">
        <f aca="false">INDEX(Parameters!$G$5:$G$689,MATCH(Inputs!$B$4&amp;"|ALL|"&amp;"curvature_sf_scale"&amp;"|"&amp;""&amp;"|"&amp;"",Parameters!$A$5:$A$689,0))</f>
        <v>0.5</v>
      </c>
    </row>
    <row r="5" customFormat="false" ht="15" hidden="false" customHeight="false" outlineLevel="0" collapsed="false">
      <c r="A5" s="1" t="s">
        <v>470</v>
      </c>
      <c r="B5" s="0" t="n">
        <f aca="false">INDEX(Parameters!$G$5:$G$689,MATCH(Inputs!$B$4&amp;"|ALL|"&amp;"tenor_days_per_year"&amp;"|"&amp;""&amp;"|"&amp;"",Parameters!$A$5:$A$689,0))</f>
        <v>365</v>
      </c>
    </row>
    <row r="6" customFormat="false" ht="15" hidden="false" customHeight="false" outlineLevel="0" collapsed="false">
      <c r="A6" s="1" t="s">
        <v>471</v>
      </c>
      <c r="B6" s="0" t="n">
        <f aca="false">INDEX(Parameters!$G$5:$G$689,MATCH(Inputs!$B$4&amp;"|ALL|"&amp;"curvature_lambda_quantile"&amp;"|"&amp;""&amp;"|"&amp;"",Parameters!$A$5:$A$689,0))</f>
        <v>0.995</v>
      </c>
    </row>
    <row r="7" customFormat="false" ht="15" hidden="false" customHeight="false" outlineLevel="0" collapsed="false">
      <c r="A7" s="1" t="s">
        <v>472</v>
      </c>
      <c r="B7" s="0" t="n">
        <f aca="false">NORMSINV(B6)</f>
        <v>2.5758293035489</v>
      </c>
    </row>
    <row r="8" customFormat="false" ht="15" hidden="false" customHeight="false" outlineLevel="0" collapsed="false">
      <c r="A8" s="1" t="s">
        <v>473</v>
      </c>
      <c r="B8" s="0" t="n">
        <f aca="false">INDEX(Parameters!$G$5:$G$689,MATCH(Inputs!$B$4&amp;"|FX|"&amp;"vol_curvature_corr"&amp;"|"&amp;""&amp;"|"&amp;"",Parameters!$A$5:$A$689,0))</f>
        <v>0.5</v>
      </c>
    </row>
    <row r="9" customFormat="false" ht="15" hidden="false" customHeight="false" outlineLevel="0" collapsed="false">
      <c r="A9" s="1" t="s">
        <v>438</v>
      </c>
      <c r="B9" s="0" t="n">
        <f aca="false">INDEX(Parameters!$G$5:$G$689,MATCH(Inputs!$B$4&amp;"|IR|"&amp;"gamma"&amp;"|"&amp;""&amp;"|"&amp;"",Parameters!$A$5:$A$689,0))</f>
        <v>0.35</v>
      </c>
    </row>
    <row r="10" customFormat="false" ht="15" hidden="false" customHeight="false" outlineLevel="0" collapsed="false">
      <c r="A10" s="1" t="s">
        <v>474</v>
      </c>
      <c r="B10" s="0" t="n">
        <f aca="false">INDEX(Parameters!$G$5:$G$689,MATCH(Inputs!$B$4&amp;"|IR|"&amp;"curvature_hvr_exponent"&amp;"|"&amp;""&amp;"|"&amp;"",Parameters!$A$5:$A$689,0))</f>
        <v>-2</v>
      </c>
    </row>
    <row r="11" customFormat="false" ht="15" hidden="false" customHeight="false" outlineLevel="0" collapsed="false">
      <c r="A11" s="1" t="s">
        <v>475</v>
      </c>
      <c r="B11" s="0" t="n">
        <f aca="false">INDEX(Parameters!$G$5:$G$689,MATCH(Inputs!$B$4&amp;"|IR|"&amp;"hvr"&amp;"|"&amp;""&amp;"|"&amp;"",Parameters!$A$5:$A$689,0))</f>
        <v>0.74</v>
      </c>
    </row>
    <row r="12" customFormat="false" ht="15" hidden="false" customHeight="false" outlineLevel="0" collapsed="false">
      <c r="A12" s="1" t="s">
        <v>476</v>
      </c>
      <c r="B12" s="0" t="n">
        <f aca="false">B11^B10</f>
        <v>1.82615047479912</v>
      </c>
    </row>
    <row r="14" customFormat="false" ht="15" hidden="false" customHeight="false" outlineLevel="0" collapsed="false">
      <c r="A14" s="1" t="s">
        <v>418</v>
      </c>
      <c r="B14" s="1" t="s">
        <v>477</v>
      </c>
      <c r="C14" s="1" t="s">
        <v>478</v>
      </c>
      <c r="D14" s="1" t="s">
        <v>479</v>
      </c>
    </row>
    <row r="15" customFormat="false" ht="15" hidden="false" customHeight="false" outlineLevel="0" collapsed="false">
      <c r="A15" s="0" t="str">
        <f aca="false">Inputs!$B$14</f>
        <v>2w</v>
      </c>
      <c r="B15" s="0" t="n">
        <f aca="false">Inputs!$B$15</f>
        <v>0.0383561643835617</v>
      </c>
      <c r="C15" s="0" t="n">
        <f aca="false">$B$3</f>
        <v>14</v>
      </c>
      <c r="D15" s="0" t="n">
        <f aca="false">$B$4*MIN(1,$B$3/MAX(C15,0.000000000001))</f>
        <v>0.5</v>
      </c>
    </row>
    <row r="16" customFormat="false" ht="15" hidden="false" customHeight="false" outlineLevel="0" collapsed="false">
      <c r="A16" s="0" t="str">
        <f aca="false">Inputs!$C$14</f>
        <v>1m</v>
      </c>
      <c r="B16" s="0" t="n">
        <f aca="false">Inputs!$C$15</f>
        <v>0.0833333333333333</v>
      </c>
      <c r="C16" s="0" t="n">
        <f aca="false">B16*$B$5</f>
        <v>30.4166666666667</v>
      </c>
      <c r="D16" s="0" t="n">
        <f aca="false">$B$4*MIN(1,$B$3/MAX(C16,0.000000000001))</f>
        <v>0.23013698630137</v>
      </c>
    </row>
    <row r="17" customFormat="false" ht="15" hidden="false" customHeight="false" outlineLevel="0" collapsed="false">
      <c r="A17" s="0" t="str">
        <f aca="false">Inputs!$D$14</f>
        <v>3m</v>
      </c>
      <c r="B17" s="0" t="n">
        <f aca="false">Inputs!$D$15</f>
        <v>0.25</v>
      </c>
      <c r="C17" s="0" t="n">
        <f aca="false">B17*$B$5</f>
        <v>91.25</v>
      </c>
      <c r="D17" s="0" t="n">
        <f aca="false">$B$4*MIN(1,$B$3/MAX(C17,0.000000000001))</f>
        <v>0.0767123287671233</v>
      </c>
    </row>
    <row r="18" customFormat="false" ht="15" hidden="false" customHeight="false" outlineLevel="0" collapsed="false">
      <c r="A18" s="0" t="str">
        <f aca="false">Inputs!$E$14</f>
        <v>6m</v>
      </c>
      <c r="B18" s="0" t="n">
        <f aca="false">Inputs!$E$15</f>
        <v>0.5</v>
      </c>
      <c r="C18" s="0" t="n">
        <f aca="false">B18*$B$5</f>
        <v>182.5</v>
      </c>
      <c r="D18" s="0" t="n">
        <f aca="false">$B$4*MIN(1,$B$3/MAX(C18,0.000000000001))</f>
        <v>0.0383561643835616</v>
      </c>
    </row>
    <row r="19" customFormat="false" ht="15" hidden="false" customHeight="false" outlineLevel="0" collapsed="false">
      <c r="A19" s="0" t="str">
        <f aca="false">Inputs!$F$14</f>
        <v>1y</v>
      </c>
      <c r="B19" s="0" t="n">
        <f aca="false">Inputs!$F$15</f>
        <v>1</v>
      </c>
      <c r="C19" s="0" t="n">
        <f aca="false">B19*$B$5</f>
        <v>365</v>
      </c>
      <c r="D19" s="0" t="n">
        <f aca="false">$B$4*MIN(1,$B$3/MAX(C19,0.000000000001))</f>
        <v>0.0191780821917808</v>
      </c>
    </row>
    <row r="20" customFormat="false" ht="15" hidden="false" customHeight="false" outlineLevel="0" collapsed="false">
      <c r="A20" s="0" t="str">
        <f aca="false">Inputs!$G$14</f>
        <v>2y</v>
      </c>
      <c r="B20" s="0" t="n">
        <f aca="false">Inputs!$G$15</f>
        <v>2</v>
      </c>
      <c r="C20" s="0" t="n">
        <f aca="false">B20*$B$5</f>
        <v>730</v>
      </c>
      <c r="D20" s="0" t="n">
        <f aca="false">$B$4*MIN(1,$B$3/MAX(C20,0.000000000001))</f>
        <v>0.00958904109589041</v>
      </c>
    </row>
    <row r="21" customFormat="false" ht="15" hidden="false" customHeight="false" outlineLevel="0" collapsed="false">
      <c r="A21" s="0" t="str">
        <f aca="false">Inputs!$H$14</f>
        <v>3y</v>
      </c>
      <c r="B21" s="0" t="n">
        <f aca="false">Inputs!$H$15</f>
        <v>3</v>
      </c>
      <c r="C21" s="0" t="n">
        <f aca="false">B21*$B$5</f>
        <v>1095</v>
      </c>
      <c r="D21" s="0" t="n">
        <f aca="false">$B$4*MIN(1,$B$3/MAX(C21,0.000000000001))</f>
        <v>0.00639269406392694</v>
      </c>
    </row>
    <row r="22" customFormat="false" ht="15" hidden="false" customHeight="false" outlineLevel="0" collapsed="false">
      <c r="A22" s="0" t="str">
        <f aca="false">Inputs!$I$14</f>
        <v>5y</v>
      </c>
      <c r="B22" s="0" t="n">
        <f aca="false">Inputs!$I$15</f>
        <v>5</v>
      </c>
      <c r="C22" s="0" t="n">
        <f aca="false">B22*$B$5</f>
        <v>1825</v>
      </c>
      <c r="D22" s="0" t="n">
        <f aca="false">$B$4*MIN(1,$B$3/MAX(C22,0.000000000001))</f>
        <v>0.00383561643835616</v>
      </c>
    </row>
    <row r="23" customFormat="false" ht="15" hidden="false" customHeight="false" outlineLevel="0" collapsed="false">
      <c r="A23" s="0" t="str">
        <f aca="false">Inputs!$J$14</f>
        <v>10y</v>
      </c>
      <c r="B23" s="0" t="n">
        <f aca="false">Inputs!$J$15</f>
        <v>10</v>
      </c>
      <c r="C23" s="0" t="n">
        <f aca="false">B23*$B$5</f>
        <v>3650</v>
      </c>
      <c r="D23" s="0" t="n">
        <f aca="false">$B$4*MIN(1,$B$3/MAX(C23,0.000000000001))</f>
        <v>0.00191780821917808</v>
      </c>
    </row>
    <row r="24" customFormat="false" ht="15" hidden="false" customHeight="false" outlineLevel="0" collapsed="false">
      <c r="A24" s="0" t="str">
        <f aca="false">Inputs!$K$14</f>
        <v>15y</v>
      </c>
      <c r="B24" s="0" t="n">
        <f aca="false">Inputs!$K$15</f>
        <v>15</v>
      </c>
      <c r="C24" s="0" t="n">
        <f aca="false">B24*$B$5</f>
        <v>5475</v>
      </c>
      <c r="D24" s="0" t="n">
        <f aca="false">$B$4*MIN(1,$B$3/MAX(C24,0.000000000001))</f>
        <v>0.00127853881278539</v>
      </c>
    </row>
    <row r="25" customFormat="false" ht="15" hidden="false" customHeight="false" outlineLevel="0" collapsed="false">
      <c r="A25" s="0" t="str">
        <f aca="false">Inputs!$L$14</f>
        <v>20y</v>
      </c>
      <c r="B25" s="0" t="n">
        <f aca="false">Inputs!$L$15</f>
        <v>20</v>
      </c>
      <c r="C25" s="0" t="n">
        <f aca="false">B25*$B$5</f>
        <v>7300</v>
      </c>
      <c r="D25" s="0" t="n">
        <f aca="false">$B$4*MIN(1,$B$3/MAX(C25,0.000000000001))</f>
        <v>0.000958904109589041</v>
      </c>
    </row>
    <row r="26" customFormat="false" ht="15" hidden="false" customHeight="false" outlineLevel="0" collapsed="false">
      <c r="A26" s="0" t="str">
        <f aca="false">Inputs!$M$14</f>
        <v>30y</v>
      </c>
      <c r="B26" s="0" t="n">
        <f aca="false">Inputs!$M$15</f>
        <v>30</v>
      </c>
      <c r="C26" s="0" t="n">
        <f aca="false">B26*$B$5</f>
        <v>10950</v>
      </c>
      <c r="D26" s="0" t="n">
        <f aca="false">$B$4*MIN(1,$B$3/MAX(C26,0.000000000001))</f>
        <v>0.000639269406392694</v>
      </c>
    </row>
    <row r="28" customFormat="false" ht="15" hidden="false" customHeight="false" outlineLevel="0" collapsed="false">
      <c r="A28" s="1" t="s">
        <v>480</v>
      </c>
    </row>
    <row r="29" customFormat="false" ht="15" hidden="false" customHeight="false" outlineLevel="0" collapsed="false">
      <c r="A29" s="1" t="s">
        <v>418</v>
      </c>
      <c r="B29" s="1" t="str">
        <f aca="false">Inputs!$B$13</f>
        <v>USD</v>
      </c>
      <c r="C29" s="1" t="str">
        <f aca="false">Inputs!$C$13</f>
        <v>EUR</v>
      </c>
      <c r="D29" s="1" t="str">
        <f aca="false">Inputs!$D$13</f>
        <v>GBP</v>
      </c>
      <c r="E29" s="1" t="str">
        <f aca="false">Inputs!$E$13</f>
        <v>JPY</v>
      </c>
      <c r="F29" s="1" t="str">
        <f aca="false">Inputs!$F$13</f>
        <v>MXN</v>
      </c>
    </row>
    <row r="30" customFormat="false" ht="15" hidden="false" customHeight="false" outlineLevel="0" collapsed="false">
      <c r="A30" s="0" t="str">
        <f aca="false">Inputs!$B$14</f>
        <v>2w</v>
      </c>
      <c r="B30" s="0" t="n">
        <f aca="false">$D$15*SIMM_Vega!$B$17</f>
        <v>0</v>
      </c>
      <c r="C30" s="0" t="n">
        <f aca="false">$D$15*SIMM_Vega!$B$41</f>
        <v>0</v>
      </c>
      <c r="D30" s="0" t="n">
        <f aca="false">$D$15*SIMM_Vega!$B$65</f>
        <v>0</v>
      </c>
      <c r="E30" s="0" t="n">
        <f aca="false">$D$15*SIMM_Vega!$B$89</f>
        <v>0</v>
      </c>
      <c r="F30" s="0" t="n">
        <f aca="false">$D$15*SIMM_Vega!$B$113</f>
        <v>0</v>
      </c>
    </row>
    <row r="31" customFormat="false" ht="15" hidden="false" customHeight="false" outlineLevel="0" collapsed="false">
      <c r="A31" s="0" t="str">
        <f aca="false">Inputs!$C$14</f>
        <v>1m</v>
      </c>
      <c r="B31" s="0" t="n">
        <f aca="false">$D$16*SIMM_Vega!$B$18</f>
        <v>0</v>
      </c>
      <c r="C31" s="0" t="n">
        <f aca="false">$D$16*SIMM_Vega!$B$42</f>
        <v>0</v>
      </c>
      <c r="D31" s="0" t="n">
        <f aca="false">$D$16*SIMM_Vega!$B$66</f>
        <v>0</v>
      </c>
      <c r="E31" s="0" t="n">
        <f aca="false">$D$16*SIMM_Vega!$B$90</f>
        <v>0</v>
      </c>
      <c r="F31" s="0" t="n">
        <f aca="false">$D$16*SIMM_Vega!$B$114</f>
        <v>0</v>
      </c>
    </row>
    <row r="32" customFormat="false" ht="15" hidden="false" customHeight="false" outlineLevel="0" collapsed="false">
      <c r="A32" s="0" t="str">
        <f aca="false">Inputs!$D$14</f>
        <v>3m</v>
      </c>
      <c r="B32" s="0" t="n">
        <f aca="false">$D$17*SIMM_Vega!$B$19</f>
        <v>0</v>
      </c>
      <c r="C32" s="0" t="n">
        <f aca="false">$D$17*SIMM_Vega!$B$43</f>
        <v>0</v>
      </c>
      <c r="D32" s="0" t="n">
        <f aca="false">$D$17*SIMM_Vega!$B$67</f>
        <v>0</v>
      </c>
      <c r="E32" s="0" t="n">
        <f aca="false">$D$17*SIMM_Vega!$B$91</f>
        <v>0</v>
      </c>
      <c r="F32" s="0" t="n">
        <f aca="false">$D$17*SIMM_Vega!$B$115</f>
        <v>0</v>
      </c>
    </row>
    <row r="33" customFormat="false" ht="15" hidden="false" customHeight="false" outlineLevel="0" collapsed="false">
      <c r="A33" s="0" t="str">
        <f aca="false">Inputs!$E$14</f>
        <v>6m</v>
      </c>
      <c r="B33" s="0" t="n">
        <f aca="false">$D$18*SIMM_Vega!$B$20</f>
        <v>0</v>
      </c>
      <c r="C33" s="0" t="n">
        <f aca="false">$D$18*SIMM_Vega!$B$44</f>
        <v>0</v>
      </c>
      <c r="D33" s="0" t="n">
        <f aca="false">$D$18*SIMM_Vega!$B$68</f>
        <v>0</v>
      </c>
      <c r="E33" s="0" t="n">
        <f aca="false">$D$18*SIMM_Vega!$B$92</f>
        <v>0</v>
      </c>
      <c r="F33" s="0" t="n">
        <f aca="false">$D$18*SIMM_Vega!$B$116</f>
        <v>0</v>
      </c>
    </row>
    <row r="34" customFormat="false" ht="15" hidden="false" customHeight="false" outlineLevel="0" collapsed="false">
      <c r="A34" s="0" t="str">
        <f aca="false">Inputs!$F$14</f>
        <v>1y</v>
      </c>
      <c r="B34" s="0" t="n">
        <f aca="false">$D$19*SIMM_Vega!$B$21</f>
        <v>12248.0394442069</v>
      </c>
      <c r="C34" s="0" t="n">
        <f aca="false">$D$19*SIMM_Vega!$B$45</f>
        <v>0</v>
      </c>
      <c r="D34" s="0" t="n">
        <f aca="false">$D$19*SIMM_Vega!$B$69</f>
        <v>0</v>
      </c>
      <c r="E34" s="0" t="n">
        <f aca="false">$D$19*SIMM_Vega!$B$93</f>
        <v>0</v>
      </c>
      <c r="F34" s="0" t="n">
        <f aca="false">$D$19*SIMM_Vega!$B$117</f>
        <v>0</v>
      </c>
    </row>
    <row r="35" customFormat="false" ht="15" hidden="false" customHeight="false" outlineLevel="0" collapsed="false">
      <c r="A35" s="0" t="str">
        <f aca="false">Inputs!$G$14</f>
        <v>2y</v>
      </c>
      <c r="B35" s="0" t="n">
        <f aca="false">$D$20*SIMM_Vega!$B$22</f>
        <v>0</v>
      </c>
      <c r="C35" s="0" t="n">
        <f aca="false">$D$20*SIMM_Vega!$B$46</f>
        <v>0</v>
      </c>
      <c r="D35" s="0" t="n">
        <f aca="false">$D$20*SIMM_Vega!$B$70</f>
        <v>0</v>
      </c>
      <c r="E35" s="0" t="n">
        <f aca="false">$D$20*SIMM_Vega!$B$94</f>
        <v>0</v>
      </c>
      <c r="F35" s="0" t="n">
        <f aca="false">$D$20*SIMM_Vega!$B$118</f>
        <v>0</v>
      </c>
    </row>
    <row r="36" customFormat="false" ht="15" hidden="false" customHeight="false" outlineLevel="0" collapsed="false">
      <c r="A36" s="0" t="str">
        <f aca="false">Inputs!$H$14</f>
        <v>3y</v>
      </c>
      <c r="B36" s="0" t="n">
        <f aca="false">$D$21*SIMM_Vega!$B$23</f>
        <v>0</v>
      </c>
      <c r="C36" s="0" t="n">
        <f aca="false">$D$21*SIMM_Vega!$B$47</f>
        <v>6763.1890964422</v>
      </c>
      <c r="D36" s="0" t="n">
        <f aca="false">$D$21*SIMM_Vega!$B$71</f>
        <v>0</v>
      </c>
      <c r="E36" s="0" t="n">
        <f aca="false">$D$21*SIMM_Vega!$B$95</f>
        <v>0</v>
      </c>
      <c r="F36" s="0" t="n">
        <f aca="false">$D$21*SIMM_Vega!$B$119</f>
        <v>0</v>
      </c>
    </row>
    <row r="37" customFormat="false" ht="15" hidden="false" customHeight="false" outlineLevel="0" collapsed="false">
      <c r="A37" s="0" t="str">
        <f aca="false">Inputs!$I$14</f>
        <v>5y</v>
      </c>
      <c r="B37" s="0" t="n">
        <f aca="false">$D$22*SIMM_Vega!$B$24</f>
        <v>0</v>
      </c>
      <c r="C37" s="0" t="n">
        <f aca="false">$D$22*SIMM_Vega!$B$48</f>
        <v>4057.91345786532</v>
      </c>
      <c r="D37" s="0" t="n">
        <f aca="false">$D$22*SIMM_Vega!$B$72</f>
        <v>-3956.16269322761</v>
      </c>
      <c r="E37" s="0" t="n">
        <f aca="false">$D$22*SIMM_Vega!$B$96</f>
        <v>0</v>
      </c>
      <c r="F37" s="0" t="n">
        <f aca="false">$D$22*SIMM_Vega!$B$120</f>
        <v>0</v>
      </c>
    </row>
    <row r="38" customFormat="false" ht="15" hidden="false" customHeight="false" outlineLevel="0" collapsed="false">
      <c r="A38" s="0" t="str">
        <f aca="false">Inputs!$J$14</f>
        <v>10y</v>
      </c>
      <c r="B38" s="0" t="n">
        <f aca="false">$D$23*SIMM_Vega!$B$25</f>
        <v>0</v>
      </c>
      <c r="C38" s="0" t="n">
        <f aca="false">$D$23*SIMM_Vega!$B$49</f>
        <v>0</v>
      </c>
      <c r="D38" s="0" t="n">
        <f aca="false">$D$23*SIMM_Vega!$B$73</f>
        <v>0</v>
      </c>
      <c r="E38" s="0" t="n">
        <f aca="false">$D$23*SIMM_Vega!$B$97</f>
        <v>0</v>
      </c>
      <c r="F38" s="0" t="n">
        <f aca="false">$D$23*SIMM_Vega!$B$121</f>
        <v>0</v>
      </c>
    </row>
    <row r="39" customFormat="false" ht="15" hidden="false" customHeight="false" outlineLevel="0" collapsed="false">
      <c r="A39" s="0" t="str">
        <f aca="false">Inputs!$K$14</f>
        <v>15y</v>
      </c>
      <c r="B39" s="0" t="n">
        <f aca="false">$D$24*SIMM_Vega!$B$26</f>
        <v>0</v>
      </c>
      <c r="C39" s="0" t="n">
        <f aca="false">$D$24*SIMM_Vega!$B$50</f>
        <v>0</v>
      </c>
      <c r="D39" s="0" t="n">
        <f aca="false">$D$24*SIMM_Vega!$B$74</f>
        <v>0</v>
      </c>
      <c r="E39" s="0" t="n">
        <f aca="false">$D$24*SIMM_Vega!$B$98</f>
        <v>0</v>
      </c>
      <c r="F39" s="0" t="n">
        <f aca="false">$D$24*SIMM_Vega!$B$122</f>
        <v>0</v>
      </c>
    </row>
    <row r="40" customFormat="false" ht="15" hidden="false" customHeight="false" outlineLevel="0" collapsed="false">
      <c r="A40" s="0" t="str">
        <f aca="false">Inputs!$L$14</f>
        <v>20y</v>
      </c>
      <c r="B40" s="0" t="n">
        <f aca="false">$D$25*SIMM_Vega!$B$27</f>
        <v>0</v>
      </c>
      <c r="C40" s="0" t="n">
        <f aca="false">$D$25*SIMM_Vega!$B$51</f>
        <v>0</v>
      </c>
      <c r="D40" s="0" t="n">
        <f aca="false">$D$25*SIMM_Vega!$B$75</f>
        <v>0</v>
      </c>
      <c r="E40" s="0" t="n">
        <f aca="false">$D$25*SIMM_Vega!$B$99</f>
        <v>0</v>
      </c>
      <c r="F40" s="0" t="n">
        <f aca="false">$D$25*SIMM_Vega!$B$123</f>
        <v>0</v>
      </c>
    </row>
    <row r="41" customFormat="false" ht="15" hidden="false" customHeight="false" outlineLevel="0" collapsed="false">
      <c r="A41" s="0" t="str">
        <f aca="false">Inputs!$M$14</f>
        <v>30y</v>
      </c>
      <c r="B41" s="0" t="n">
        <f aca="false">$D$26*SIMM_Vega!$B$28</f>
        <v>0</v>
      </c>
      <c r="C41" s="0" t="n">
        <f aca="false">$D$26*SIMM_Vega!$B$52</f>
        <v>0</v>
      </c>
      <c r="D41" s="0" t="n">
        <f aca="false">$D$26*SIMM_Vega!$B$76</f>
        <v>0</v>
      </c>
      <c r="E41" s="0" t="n">
        <f aca="false">$D$26*SIMM_Vega!$B$100</f>
        <v>0</v>
      </c>
      <c r="F41" s="0" t="n">
        <f aca="false">$D$26*SIMM_Vega!$B$124</f>
        <v>0</v>
      </c>
    </row>
    <row r="42" customFormat="false" ht="15" hidden="false" customHeight="false" outlineLevel="0" collapsed="false">
      <c r="A42" s="1" t="s">
        <v>481</v>
      </c>
      <c r="B42" s="0" t="n">
        <f aca="false">SUM(B30:F41)</f>
        <v>19112.9793052868</v>
      </c>
    </row>
    <row r="43" customFormat="false" ht="15" hidden="false" customHeight="false" outlineLevel="0" collapsed="false">
      <c r="A43" s="1" t="s">
        <v>482</v>
      </c>
      <c r="B43" s="0" t="n">
        <f aca="false">SUMPRODUCT(ABS(B30:F41))</f>
        <v>27025.304691742</v>
      </c>
    </row>
    <row r="44" customFormat="false" ht="15" hidden="false" customHeight="false" outlineLevel="0" collapsed="false">
      <c r="A44" s="1" t="s">
        <v>483</v>
      </c>
      <c r="B44" s="0" t="n">
        <f aca="false">IF(B43=0,0,MIN(B42/B43,0))</f>
        <v>0</v>
      </c>
    </row>
    <row r="45" customFormat="false" ht="15" hidden="false" customHeight="false" outlineLevel="0" collapsed="false">
      <c r="A45" s="1" t="s">
        <v>484</v>
      </c>
      <c r="B45" s="0" t="n">
        <f aca="false">($B$7^2-1)*(1+B44)-B44</f>
        <v>5.63489660102121</v>
      </c>
    </row>
    <row r="49" customFormat="false" ht="15" hidden="false" customHeight="false" outlineLevel="0" collapsed="false">
      <c r="A49" s="1" t="s">
        <v>43</v>
      </c>
      <c r="B49" s="0" t="str">
        <f aca="false">Inputs!$B$13</f>
        <v>USD</v>
      </c>
    </row>
    <row r="50" customFormat="false" ht="15" hidden="false" customHeight="false" outlineLevel="0" collapsed="false">
      <c r="A50" s="1" t="s">
        <v>257</v>
      </c>
      <c r="B50" s="0" t="n">
        <f aca="false">SQRT(MAX(0,SUM(C53:N64)))</f>
        <v>12248.0394442069</v>
      </c>
    </row>
    <row r="51" customFormat="false" ht="15" hidden="false" customHeight="false" outlineLevel="0" collapsed="false">
      <c r="A51" s="1" t="s">
        <v>417</v>
      </c>
      <c r="B51" s="0" t="n">
        <f aca="false">MAX(-B50,MIN(B50,SUM(B53:B64)))</f>
        <v>12248.0394442069</v>
      </c>
    </row>
    <row r="52" customFormat="false" ht="15" hidden="false" customHeight="false" outlineLevel="0" collapsed="false">
      <c r="A52" s="1" t="s">
        <v>418</v>
      </c>
      <c r="B52" s="1" t="s">
        <v>485</v>
      </c>
      <c r="C52" s="1" t="str">
        <f aca="false">Inputs!$B$14</f>
        <v>2w</v>
      </c>
      <c r="D52" s="1" t="str">
        <f aca="false">Inputs!$C$14</f>
        <v>1m</v>
      </c>
      <c r="E52" s="1" t="str">
        <f aca="false">Inputs!$D$14</f>
        <v>3m</v>
      </c>
      <c r="F52" s="1" t="str">
        <f aca="false">Inputs!$E$14</f>
        <v>6m</v>
      </c>
      <c r="G52" s="1" t="str">
        <f aca="false">Inputs!$F$14</f>
        <v>1y</v>
      </c>
      <c r="H52" s="1" t="str">
        <f aca="false">Inputs!$G$14</f>
        <v>2y</v>
      </c>
      <c r="I52" s="1" t="str">
        <f aca="false">Inputs!$H$14</f>
        <v>3y</v>
      </c>
      <c r="J52" s="1" t="str">
        <f aca="false">Inputs!$I$14</f>
        <v>5y</v>
      </c>
      <c r="K52" s="1" t="str">
        <f aca="false">Inputs!$J$14</f>
        <v>10y</v>
      </c>
      <c r="L52" s="1" t="str">
        <f aca="false">Inputs!$K$14</f>
        <v>15y</v>
      </c>
      <c r="M52" s="1" t="str">
        <f aca="false">Inputs!$L$14</f>
        <v>20y</v>
      </c>
      <c r="N52" s="1" t="str">
        <f aca="false">Inputs!$M$14</f>
        <v>30y</v>
      </c>
    </row>
    <row r="53" customFormat="false" ht="15" hidden="false" customHeight="false" outlineLevel="0" collapsed="false">
      <c r="A53" s="0" t="str">
        <f aca="false">Inputs!$B$14</f>
        <v>2w</v>
      </c>
      <c r="B53" s="0" t="n">
        <f aca="false">B30</f>
        <v>0</v>
      </c>
      <c r="C53" s="0" t="n">
        <f aca="false">SIMM_Delta!$B$8^2*$B$53*$B$53</f>
        <v>0</v>
      </c>
      <c r="D53" s="0" t="n">
        <f aca="false">SIMM_Delta!$C$8^2*$B$53*$B$54</f>
        <v>0</v>
      </c>
      <c r="E53" s="0" t="n">
        <f aca="false">SIMM_Delta!$D$8^2*$B$53*$B$55</f>
        <v>0</v>
      </c>
      <c r="F53" s="0" t="n">
        <f aca="false">SIMM_Delta!$E$8^2*$B$53*$B$56</f>
        <v>0</v>
      </c>
      <c r="G53" s="0" t="n">
        <f aca="false">SIMM_Delta!$F$8^2*$B$53*$B$57</f>
        <v>0</v>
      </c>
      <c r="H53" s="0" t="n">
        <f aca="false">SIMM_Delta!$G$8^2*$B$53*$B$58</f>
        <v>0</v>
      </c>
      <c r="I53" s="0" t="n">
        <f aca="false">SIMM_Delta!$H$8^2*$B$53*$B$59</f>
        <v>0</v>
      </c>
      <c r="J53" s="0" t="n">
        <f aca="false">SIMM_Delta!$I$8^2*$B$53*$B$60</f>
        <v>0</v>
      </c>
      <c r="K53" s="0" t="n">
        <f aca="false">SIMM_Delta!$J$8^2*$B$53*$B$61</f>
        <v>0</v>
      </c>
      <c r="L53" s="0" t="n">
        <f aca="false">SIMM_Delta!$K$8^2*$B$53*$B$62</f>
        <v>0</v>
      </c>
      <c r="M53" s="0" t="n">
        <f aca="false">SIMM_Delta!$L$8^2*$B$53*$B$63</f>
        <v>0</v>
      </c>
      <c r="N53" s="0" t="n">
        <f aca="false">SIMM_Delta!$M$8^2*$B$53*$B$64</f>
        <v>0</v>
      </c>
    </row>
    <row r="54" customFormat="false" ht="15" hidden="false" customHeight="false" outlineLevel="0" collapsed="false">
      <c r="A54" s="0" t="str">
        <f aca="false">Inputs!$C$14</f>
        <v>1m</v>
      </c>
      <c r="B54" s="0" t="n">
        <f aca="false">B31</f>
        <v>0</v>
      </c>
      <c r="C54" s="0" t="n">
        <f aca="false">SIMM_Delta!$B$9^2*$B$54*$B$53</f>
        <v>0</v>
      </c>
      <c r="D54" s="0" t="n">
        <f aca="false">SIMM_Delta!$C$9^2*$B$54*$B$54</f>
        <v>0</v>
      </c>
      <c r="E54" s="0" t="n">
        <f aca="false">SIMM_Delta!$D$9^2*$B$54*$B$55</f>
        <v>0</v>
      </c>
      <c r="F54" s="0" t="n">
        <f aca="false">SIMM_Delta!$E$9^2*$B$54*$B$56</f>
        <v>0</v>
      </c>
      <c r="G54" s="0" t="n">
        <f aca="false">SIMM_Delta!$F$9^2*$B$54*$B$57</f>
        <v>0</v>
      </c>
      <c r="H54" s="0" t="n">
        <f aca="false">SIMM_Delta!$G$9^2*$B$54*$B$58</f>
        <v>0</v>
      </c>
      <c r="I54" s="0" t="n">
        <f aca="false">SIMM_Delta!$H$9^2*$B$54*$B$59</f>
        <v>0</v>
      </c>
      <c r="J54" s="0" t="n">
        <f aca="false">SIMM_Delta!$I$9^2*$B$54*$B$60</f>
        <v>0</v>
      </c>
      <c r="K54" s="0" t="n">
        <f aca="false">SIMM_Delta!$J$9^2*$B$54*$B$61</f>
        <v>0</v>
      </c>
      <c r="L54" s="0" t="n">
        <f aca="false">SIMM_Delta!$K$9^2*$B$54*$B$62</f>
        <v>0</v>
      </c>
      <c r="M54" s="0" t="n">
        <f aca="false">SIMM_Delta!$L$9^2*$B$54*$B$63</f>
        <v>0</v>
      </c>
      <c r="N54" s="0" t="n">
        <f aca="false">SIMM_Delta!$M$9^2*$B$54*$B$64</f>
        <v>0</v>
      </c>
    </row>
    <row r="55" customFormat="false" ht="15" hidden="false" customHeight="false" outlineLevel="0" collapsed="false">
      <c r="A55" s="0" t="str">
        <f aca="false">Inputs!$D$14</f>
        <v>3m</v>
      </c>
      <c r="B55" s="0" t="n">
        <f aca="false">B32</f>
        <v>0</v>
      </c>
      <c r="C55" s="0" t="n">
        <f aca="false">SIMM_Delta!$B$10^2*$B$55*$B$53</f>
        <v>0</v>
      </c>
      <c r="D55" s="0" t="n">
        <f aca="false">SIMM_Delta!$C$10^2*$B$55*$B$54</f>
        <v>0</v>
      </c>
      <c r="E55" s="0" t="n">
        <f aca="false">SIMM_Delta!$D$10^2*$B$55*$B$55</f>
        <v>0</v>
      </c>
      <c r="F55" s="0" t="n">
        <f aca="false">SIMM_Delta!$E$10^2*$B$55*$B$56</f>
        <v>0</v>
      </c>
      <c r="G55" s="0" t="n">
        <f aca="false">SIMM_Delta!$F$10^2*$B$55*$B$57</f>
        <v>0</v>
      </c>
      <c r="H55" s="0" t="n">
        <f aca="false">SIMM_Delta!$G$10^2*$B$55*$B$58</f>
        <v>0</v>
      </c>
      <c r="I55" s="0" t="n">
        <f aca="false">SIMM_Delta!$H$10^2*$B$55*$B$59</f>
        <v>0</v>
      </c>
      <c r="J55" s="0" t="n">
        <f aca="false">SIMM_Delta!$I$10^2*$B$55*$B$60</f>
        <v>0</v>
      </c>
      <c r="K55" s="0" t="n">
        <f aca="false">SIMM_Delta!$J$10^2*$B$55*$B$61</f>
        <v>0</v>
      </c>
      <c r="L55" s="0" t="n">
        <f aca="false">SIMM_Delta!$K$10^2*$B$55*$B$62</f>
        <v>0</v>
      </c>
      <c r="M55" s="0" t="n">
        <f aca="false">SIMM_Delta!$L$10^2*$B$55*$B$63</f>
        <v>0</v>
      </c>
      <c r="N55" s="0" t="n">
        <f aca="false">SIMM_Delta!$M$10^2*$B$55*$B$64</f>
        <v>0</v>
      </c>
    </row>
    <row r="56" customFormat="false" ht="15" hidden="false" customHeight="false" outlineLevel="0" collapsed="false">
      <c r="A56" s="0" t="str">
        <f aca="false">Inputs!$E$14</f>
        <v>6m</v>
      </c>
      <c r="B56" s="0" t="n">
        <f aca="false">B33</f>
        <v>0</v>
      </c>
      <c r="C56" s="0" t="n">
        <f aca="false">SIMM_Delta!$B$11^2*$B$56*$B$53</f>
        <v>0</v>
      </c>
      <c r="D56" s="0" t="n">
        <f aca="false">SIMM_Delta!$C$11^2*$B$56*$B$54</f>
        <v>0</v>
      </c>
      <c r="E56" s="0" t="n">
        <f aca="false">SIMM_Delta!$D$11^2*$B$56*$B$55</f>
        <v>0</v>
      </c>
      <c r="F56" s="0" t="n">
        <f aca="false">SIMM_Delta!$E$11^2*$B$56*$B$56</f>
        <v>0</v>
      </c>
      <c r="G56" s="0" t="n">
        <f aca="false">SIMM_Delta!$F$11^2*$B$56*$B$57</f>
        <v>0</v>
      </c>
      <c r="H56" s="0" t="n">
        <f aca="false">SIMM_Delta!$G$11^2*$B$56*$B$58</f>
        <v>0</v>
      </c>
      <c r="I56" s="0" t="n">
        <f aca="false">SIMM_Delta!$H$11^2*$B$56*$B$59</f>
        <v>0</v>
      </c>
      <c r="J56" s="0" t="n">
        <f aca="false">SIMM_Delta!$I$11^2*$B$56*$B$60</f>
        <v>0</v>
      </c>
      <c r="K56" s="0" t="n">
        <f aca="false">SIMM_Delta!$J$11^2*$B$56*$B$61</f>
        <v>0</v>
      </c>
      <c r="L56" s="0" t="n">
        <f aca="false">SIMM_Delta!$K$11^2*$B$56*$B$62</f>
        <v>0</v>
      </c>
      <c r="M56" s="0" t="n">
        <f aca="false">SIMM_Delta!$L$11^2*$B$56*$B$63</f>
        <v>0</v>
      </c>
      <c r="N56" s="0" t="n">
        <f aca="false">SIMM_Delta!$M$11^2*$B$56*$B$64</f>
        <v>0</v>
      </c>
    </row>
    <row r="57" customFormat="false" ht="15" hidden="false" customHeight="false" outlineLevel="0" collapsed="false">
      <c r="A57" s="0" t="str">
        <f aca="false">Inputs!$F$14</f>
        <v>1y</v>
      </c>
      <c r="B57" s="0" t="n">
        <f aca="false">B34</f>
        <v>12248.0394442069</v>
      </c>
      <c r="C57" s="0" t="n">
        <f aca="false">SIMM_Delta!$B$12^2*$B$57*$B$53</f>
        <v>0</v>
      </c>
      <c r="D57" s="0" t="n">
        <f aca="false">SIMM_Delta!$C$12^2*$B$57*$B$54</f>
        <v>0</v>
      </c>
      <c r="E57" s="0" t="n">
        <f aca="false">SIMM_Delta!$D$12^2*$B$57*$B$55</f>
        <v>0</v>
      </c>
      <c r="F57" s="0" t="n">
        <f aca="false">SIMM_Delta!$E$12^2*$B$57*$B$56</f>
        <v>0</v>
      </c>
      <c r="G57" s="0" t="n">
        <f aca="false">SIMM_Delta!$F$12^2*$B$57*$B$57</f>
        <v>150014470.226848</v>
      </c>
      <c r="H57" s="0" t="n">
        <f aca="false">SIMM_Delta!$G$12^2*$B$57*$B$58</f>
        <v>0</v>
      </c>
      <c r="I57" s="0" t="n">
        <f aca="false">SIMM_Delta!$H$12^2*$B$57*$B$59</f>
        <v>0</v>
      </c>
      <c r="J57" s="0" t="n">
        <f aca="false">SIMM_Delta!$I$12^2*$B$57*$B$60</f>
        <v>0</v>
      </c>
      <c r="K57" s="0" t="n">
        <f aca="false">SIMM_Delta!$J$12^2*$B$57*$B$61</f>
        <v>0</v>
      </c>
      <c r="L57" s="0" t="n">
        <f aca="false">SIMM_Delta!$K$12^2*$B$57*$B$62</f>
        <v>0</v>
      </c>
      <c r="M57" s="0" t="n">
        <f aca="false">SIMM_Delta!$L$12^2*$B$57*$B$63</f>
        <v>0</v>
      </c>
      <c r="N57" s="0" t="n">
        <f aca="false">SIMM_Delta!$M$12^2*$B$57*$B$64</f>
        <v>0</v>
      </c>
    </row>
    <row r="58" customFormat="false" ht="15" hidden="false" customHeight="false" outlineLevel="0" collapsed="false">
      <c r="A58" s="0" t="str">
        <f aca="false">Inputs!$G$14</f>
        <v>2y</v>
      </c>
      <c r="B58" s="0" t="n">
        <f aca="false">B35</f>
        <v>0</v>
      </c>
      <c r="C58" s="0" t="n">
        <f aca="false">SIMM_Delta!$B$13^2*$B$58*$B$53</f>
        <v>0</v>
      </c>
      <c r="D58" s="0" t="n">
        <f aca="false">SIMM_Delta!$C$13^2*$B$58*$B$54</f>
        <v>0</v>
      </c>
      <c r="E58" s="0" t="n">
        <f aca="false">SIMM_Delta!$D$13^2*$B$58*$B$55</f>
        <v>0</v>
      </c>
      <c r="F58" s="0" t="n">
        <f aca="false">SIMM_Delta!$E$13^2*$B$58*$B$56</f>
        <v>0</v>
      </c>
      <c r="G58" s="0" t="n">
        <f aca="false">SIMM_Delta!$F$13^2*$B$58*$B$57</f>
        <v>0</v>
      </c>
      <c r="H58" s="0" t="n">
        <f aca="false">SIMM_Delta!$G$13^2*$B$58*$B$58</f>
        <v>0</v>
      </c>
      <c r="I58" s="0" t="n">
        <f aca="false">SIMM_Delta!$H$13^2*$B$58*$B$59</f>
        <v>0</v>
      </c>
      <c r="J58" s="0" t="n">
        <f aca="false">SIMM_Delta!$I$13^2*$B$58*$B$60</f>
        <v>0</v>
      </c>
      <c r="K58" s="0" t="n">
        <f aca="false">SIMM_Delta!$J$13^2*$B$58*$B$61</f>
        <v>0</v>
      </c>
      <c r="L58" s="0" t="n">
        <f aca="false">SIMM_Delta!$K$13^2*$B$58*$B$62</f>
        <v>0</v>
      </c>
      <c r="M58" s="0" t="n">
        <f aca="false">SIMM_Delta!$L$13^2*$B$58*$B$63</f>
        <v>0</v>
      </c>
      <c r="N58" s="0" t="n">
        <f aca="false">SIMM_Delta!$M$13^2*$B$58*$B$64</f>
        <v>0</v>
      </c>
    </row>
    <row r="59" customFormat="false" ht="15" hidden="false" customHeight="false" outlineLevel="0" collapsed="false">
      <c r="A59" s="0" t="str">
        <f aca="false">Inputs!$H$14</f>
        <v>3y</v>
      </c>
      <c r="B59" s="0" t="n">
        <f aca="false">B36</f>
        <v>0</v>
      </c>
      <c r="C59" s="0" t="n">
        <f aca="false">SIMM_Delta!$B$14^2*$B$59*$B$53</f>
        <v>0</v>
      </c>
      <c r="D59" s="0" t="n">
        <f aca="false">SIMM_Delta!$C$14^2*$B$59*$B$54</f>
        <v>0</v>
      </c>
      <c r="E59" s="0" t="n">
        <f aca="false">SIMM_Delta!$D$14^2*$B$59*$B$55</f>
        <v>0</v>
      </c>
      <c r="F59" s="0" t="n">
        <f aca="false">SIMM_Delta!$E$14^2*$B$59*$B$56</f>
        <v>0</v>
      </c>
      <c r="G59" s="0" t="n">
        <f aca="false">SIMM_Delta!$F$14^2*$B$59*$B$57</f>
        <v>0</v>
      </c>
      <c r="H59" s="0" t="n">
        <f aca="false">SIMM_Delta!$G$14^2*$B$59*$B$58</f>
        <v>0</v>
      </c>
      <c r="I59" s="0" t="n">
        <f aca="false">SIMM_Delta!$H$14^2*$B$59*$B$59</f>
        <v>0</v>
      </c>
      <c r="J59" s="0" t="n">
        <f aca="false">SIMM_Delta!$I$14^2*$B$59*$B$60</f>
        <v>0</v>
      </c>
      <c r="K59" s="0" t="n">
        <f aca="false">SIMM_Delta!$J$14^2*$B$59*$B$61</f>
        <v>0</v>
      </c>
      <c r="L59" s="0" t="n">
        <f aca="false">SIMM_Delta!$K$14^2*$B$59*$B$62</f>
        <v>0</v>
      </c>
      <c r="M59" s="0" t="n">
        <f aca="false">SIMM_Delta!$L$14^2*$B$59*$B$63</f>
        <v>0</v>
      </c>
      <c r="N59" s="0" t="n">
        <f aca="false">SIMM_Delta!$M$14^2*$B$59*$B$64</f>
        <v>0</v>
      </c>
    </row>
    <row r="60" customFormat="false" ht="15" hidden="false" customHeight="false" outlineLevel="0" collapsed="false">
      <c r="A60" s="0" t="str">
        <f aca="false">Inputs!$I$14</f>
        <v>5y</v>
      </c>
      <c r="B60" s="0" t="n">
        <f aca="false">B37</f>
        <v>0</v>
      </c>
      <c r="C60" s="0" t="n">
        <f aca="false">SIMM_Delta!$B$15^2*$B$60*$B$53</f>
        <v>0</v>
      </c>
      <c r="D60" s="0" t="n">
        <f aca="false">SIMM_Delta!$C$15^2*$B$60*$B$54</f>
        <v>0</v>
      </c>
      <c r="E60" s="0" t="n">
        <f aca="false">SIMM_Delta!$D$15^2*$B$60*$B$55</f>
        <v>0</v>
      </c>
      <c r="F60" s="0" t="n">
        <f aca="false">SIMM_Delta!$E$15^2*$B$60*$B$56</f>
        <v>0</v>
      </c>
      <c r="G60" s="0" t="n">
        <f aca="false">SIMM_Delta!$F$15^2*$B$60*$B$57</f>
        <v>0</v>
      </c>
      <c r="H60" s="0" t="n">
        <f aca="false">SIMM_Delta!$G$15^2*$B$60*$B$58</f>
        <v>0</v>
      </c>
      <c r="I60" s="0" t="n">
        <f aca="false">SIMM_Delta!$H$15^2*$B$60*$B$59</f>
        <v>0</v>
      </c>
      <c r="J60" s="0" t="n">
        <f aca="false">SIMM_Delta!$I$15^2*$B$60*$B$60</f>
        <v>0</v>
      </c>
      <c r="K60" s="0" t="n">
        <f aca="false">SIMM_Delta!$J$15^2*$B$60*$B$61</f>
        <v>0</v>
      </c>
      <c r="L60" s="0" t="n">
        <f aca="false">SIMM_Delta!$K$15^2*$B$60*$B$62</f>
        <v>0</v>
      </c>
      <c r="M60" s="0" t="n">
        <f aca="false">SIMM_Delta!$L$15^2*$B$60*$B$63</f>
        <v>0</v>
      </c>
      <c r="N60" s="0" t="n">
        <f aca="false">SIMM_Delta!$M$15^2*$B$60*$B$64</f>
        <v>0</v>
      </c>
    </row>
    <row r="61" customFormat="false" ht="15" hidden="false" customHeight="false" outlineLevel="0" collapsed="false">
      <c r="A61" s="0" t="str">
        <f aca="false">Inputs!$J$14</f>
        <v>10y</v>
      </c>
      <c r="B61" s="0" t="n">
        <f aca="false">B38</f>
        <v>0</v>
      </c>
      <c r="C61" s="0" t="n">
        <f aca="false">SIMM_Delta!$B$16^2*$B$61*$B$53</f>
        <v>0</v>
      </c>
      <c r="D61" s="0" t="n">
        <f aca="false">SIMM_Delta!$C$16^2*$B$61*$B$54</f>
        <v>0</v>
      </c>
      <c r="E61" s="0" t="n">
        <f aca="false">SIMM_Delta!$D$16^2*$B$61*$B$55</f>
        <v>0</v>
      </c>
      <c r="F61" s="0" t="n">
        <f aca="false">SIMM_Delta!$E$16^2*$B$61*$B$56</f>
        <v>0</v>
      </c>
      <c r="G61" s="0" t="n">
        <f aca="false">SIMM_Delta!$F$16^2*$B$61*$B$57</f>
        <v>0</v>
      </c>
      <c r="H61" s="0" t="n">
        <f aca="false">SIMM_Delta!$G$16^2*$B$61*$B$58</f>
        <v>0</v>
      </c>
      <c r="I61" s="0" t="n">
        <f aca="false">SIMM_Delta!$H$16^2*$B$61*$B$59</f>
        <v>0</v>
      </c>
      <c r="J61" s="0" t="n">
        <f aca="false">SIMM_Delta!$I$16^2*$B$61*$B$60</f>
        <v>0</v>
      </c>
      <c r="K61" s="0" t="n">
        <f aca="false">SIMM_Delta!$J$16^2*$B$61*$B$61</f>
        <v>0</v>
      </c>
      <c r="L61" s="0" t="n">
        <f aca="false">SIMM_Delta!$K$16^2*$B$61*$B$62</f>
        <v>0</v>
      </c>
      <c r="M61" s="0" t="n">
        <f aca="false">SIMM_Delta!$L$16^2*$B$61*$B$63</f>
        <v>0</v>
      </c>
      <c r="N61" s="0" t="n">
        <f aca="false">SIMM_Delta!$M$16^2*$B$61*$B$64</f>
        <v>0</v>
      </c>
    </row>
    <row r="62" customFormat="false" ht="15" hidden="false" customHeight="false" outlineLevel="0" collapsed="false">
      <c r="A62" s="0" t="str">
        <f aca="false">Inputs!$K$14</f>
        <v>15y</v>
      </c>
      <c r="B62" s="0" t="n">
        <f aca="false">B39</f>
        <v>0</v>
      </c>
      <c r="C62" s="0" t="n">
        <f aca="false">SIMM_Delta!$B$17^2*$B$62*$B$53</f>
        <v>0</v>
      </c>
      <c r="D62" s="0" t="n">
        <f aca="false">SIMM_Delta!$C$17^2*$B$62*$B$54</f>
        <v>0</v>
      </c>
      <c r="E62" s="0" t="n">
        <f aca="false">SIMM_Delta!$D$17^2*$B$62*$B$55</f>
        <v>0</v>
      </c>
      <c r="F62" s="0" t="n">
        <f aca="false">SIMM_Delta!$E$17^2*$B$62*$B$56</f>
        <v>0</v>
      </c>
      <c r="G62" s="0" t="n">
        <f aca="false">SIMM_Delta!$F$17^2*$B$62*$B$57</f>
        <v>0</v>
      </c>
      <c r="H62" s="0" t="n">
        <f aca="false">SIMM_Delta!$G$17^2*$B$62*$B$58</f>
        <v>0</v>
      </c>
      <c r="I62" s="0" t="n">
        <f aca="false">SIMM_Delta!$H$17^2*$B$62*$B$59</f>
        <v>0</v>
      </c>
      <c r="J62" s="0" t="n">
        <f aca="false">SIMM_Delta!$I$17^2*$B$62*$B$60</f>
        <v>0</v>
      </c>
      <c r="K62" s="0" t="n">
        <f aca="false">SIMM_Delta!$J$17^2*$B$62*$B$61</f>
        <v>0</v>
      </c>
      <c r="L62" s="0" t="n">
        <f aca="false">SIMM_Delta!$K$17^2*$B$62*$B$62</f>
        <v>0</v>
      </c>
      <c r="M62" s="0" t="n">
        <f aca="false">SIMM_Delta!$L$17^2*$B$62*$B$63</f>
        <v>0</v>
      </c>
      <c r="N62" s="0" t="n">
        <f aca="false">SIMM_Delta!$M$17^2*$B$62*$B$64</f>
        <v>0</v>
      </c>
    </row>
    <row r="63" customFormat="false" ht="15" hidden="false" customHeight="false" outlineLevel="0" collapsed="false">
      <c r="A63" s="0" t="str">
        <f aca="false">Inputs!$L$14</f>
        <v>20y</v>
      </c>
      <c r="B63" s="0" t="n">
        <f aca="false">B40</f>
        <v>0</v>
      </c>
      <c r="C63" s="0" t="n">
        <f aca="false">SIMM_Delta!$B$18^2*$B$63*$B$53</f>
        <v>0</v>
      </c>
      <c r="D63" s="0" t="n">
        <f aca="false">SIMM_Delta!$C$18^2*$B$63*$B$54</f>
        <v>0</v>
      </c>
      <c r="E63" s="0" t="n">
        <f aca="false">SIMM_Delta!$D$18^2*$B$63*$B$55</f>
        <v>0</v>
      </c>
      <c r="F63" s="0" t="n">
        <f aca="false">SIMM_Delta!$E$18^2*$B$63*$B$56</f>
        <v>0</v>
      </c>
      <c r="G63" s="0" t="n">
        <f aca="false">SIMM_Delta!$F$18^2*$B$63*$B$57</f>
        <v>0</v>
      </c>
      <c r="H63" s="0" t="n">
        <f aca="false">SIMM_Delta!$G$18^2*$B$63*$B$58</f>
        <v>0</v>
      </c>
      <c r="I63" s="0" t="n">
        <f aca="false">SIMM_Delta!$H$18^2*$B$63*$B$59</f>
        <v>0</v>
      </c>
      <c r="J63" s="0" t="n">
        <f aca="false">SIMM_Delta!$I$18^2*$B$63*$B$60</f>
        <v>0</v>
      </c>
      <c r="K63" s="0" t="n">
        <f aca="false">SIMM_Delta!$J$18^2*$B$63*$B$61</f>
        <v>0</v>
      </c>
      <c r="L63" s="0" t="n">
        <f aca="false">SIMM_Delta!$K$18^2*$B$63*$B$62</f>
        <v>0</v>
      </c>
      <c r="M63" s="0" t="n">
        <f aca="false">SIMM_Delta!$L$18^2*$B$63*$B$63</f>
        <v>0</v>
      </c>
      <c r="N63" s="0" t="n">
        <f aca="false">SIMM_Delta!$M$18^2*$B$63*$B$64</f>
        <v>0</v>
      </c>
    </row>
    <row r="64" customFormat="false" ht="15" hidden="false" customHeight="false" outlineLevel="0" collapsed="false">
      <c r="A64" s="0" t="str">
        <f aca="false">Inputs!$M$14</f>
        <v>30y</v>
      </c>
      <c r="B64" s="0" t="n">
        <f aca="false">B41</f>
        <v>0</v>
      </c>
      <c r="C64" s="0" t="n">
        <f aca="false">SIMM_Delta!$B$19^2*$B$64*$B$53</f>
        <v>0</v>
      </c>
      <c r="D64" s="0" t="n">
        <f aca="false">SIMM_Delta!$C$19^2*$B$64*$B$54</f>
        <v>0</v>
      </c>
      <c r="E64" s="0" t="n">
        <f aca="false">SIMM_Delta!$D$19^2*$B$64*$B$55</f>
        <v>0</v>
      </c>
      <c r="F64" s="0" t="n">
        <f aca="false">SIMM_Delta!$E$19^2*$B$64*$B$56</f>
        <v>0</v>
      </c>
      <c r="G64" s="0" t="n">
        <f aca="false">SIMM_Delta!$F$19^2*$B$64*$B$57</f>
        <v>0</v>
      </c>
      <c r="H64" s="0" t="n">
        <f aca="false">SIMM_Delta!$G$19^2*$B$64*$B$58</f>
        <v>0</v>
      </c>
      <c r="I64" s="0" t="n">
        <f aca="false">SIMM_Delta!$H$19^2*$B$64*$B$59</f>
        <v>0</v>
      </c>
      <c r="J64" s="0" t="n">
        <f aca="false">SIMM_Delta!$I$19^2*$B$64*$B$60</f>
        <v>0</v>
      </c>
      <c r="K64" s="0" t="n">
        <f aca="false">SIMM_Delta!$J$19^2*$B$64*$B$61</f>
        <v>0</v>
      </c>
      <c r="L64" s="0" t="n">
        <f aca="false">SIMM_Delta!$K$19^2*$B$64*$B$62</f>
        <v>0</v>
      </c>
      <c r="M64" s="0" t="n">
        <f aca="false">SIMM_Delta!$L$19^2*$B$64*$B$63</f>
        <v>0</v>
      </c>
      <c r="N64" s="0" t="n">
        <f aca="false">SIMM_Delta!$M$19^2*$B$64*$B$64</f>
        <v>0</v>
      </c>
    </row>
    <row r="65" customFormat="false" ht="15" hidden="false" customHeight="false" outlineLevel="0" collapsed="false">
      <c r="A65" s="1" t="s">
        <v>43</v>
      </c>
      <c r="B65" s="0" t="str">
        <f aca="false">Inputs!$C$13</f>
        <v>EUR</v>
      </c>
    </row>
    <row r="66" customFormat="false" ht="15" hidden="false" customHeight="false" outlineLevel="0" collapsed="false">
      <c r="A66" s="1" t="s">
        <v>257</v>
      </c>
      <c r="B66" s="0" t="n">
        <f aca="false">SQRT(MAX(0,SUM(C69:N80)))</f>
        <v>10670.1606430939</v>
      </c>
    </row>
    <row r="67" customFormat="false" ht="15" hidden="false" customHeight="false" outlineLevel="0" collapsed="false">
      <c r="A67" s="1" t="s">
        <v>417</v>
      </c>
      <c r="B67" s="0" t="n">
        <f aca="false">MAX(-B66,MIN(B66,SUM(B69:B80)))</f>
        <v>10670.1606430939</v>
      </c>
    </row>
    <row r="68" customFormat="false" ht="15" hidden="false" customHeight="false" outlineLevel="0" collapsed="false">
      <c r="A68" s="1" t="s">
        <v>418</v>
      </c>
      <c r="B68" s="1" t="s">
        <v>485</v>
      </c>
      <c r="C68" s="1" t="str">
        <f aca="false">Inputs!$B$14</f>
        <v>2w</v>
      </c>
      <c r="D68" s="1" t="str">
        <f aca="false">Inputs!$C$14</f>
        <v>1m</v>
      </c>
      <c r="E68" s="1" t="str">
        <f aca="false">Inputs!$D$14</f>
        <v>3m</v>
      </c>
      <c r="F68" s="1" t="str">
        <f aca="false">Inputs!$E$14</f>
        <v>6m</v>
      </c>
      <c r="G68" s="1" t="str">
        <f aca="false">Inputs!$F$14</f>
        <v>1y</v>
      </c>
      <c r="H68" s="1" t="str">
        <f aca="false">Inputs!$G$14</f>
        <v>2y</v>
      </c>
      <c r="I68" s="1" t="str">
        <f aca="false">Inputs!$H$14</f>
        <v>3y</v>
      </c>
      <c r="J68" s="1" t="str">
        <f aca="false">Inputs!$I$14</f>
        <v>5y</v>
      </c>
      <c r="K68" s="1" t="str">
        <f aca="false">Inputs!$J$14</f>
        <v>10y</v>
      </c>
      <c r="L68" s="1" t="str">
        <f aca="false">Inputs!$K$14</f>
        <v>15y</v>
      </c>
      <c r="M68" s="1" t="str">
        <f aca="false">Inputs!$L$14</f>
        <v>20y</v>
      </c>
      <c r="N68" s="1" t="str">
        <f aca="false">Inputs!$M$14</f>
        <v>30y</v>
      </c>
    </row>
    <row r="69" customFormat="false" ht="15" hidden="false" customHeight="false" outlineLevel="0" collapsed="false">
      <c r="A69" s="0" t="str">
        <f aca="false">Inputs!$B$14</f>
        <v>2w</v>
      </c>
      <c r="B69" s="0" t="n">
        <f aca="false">C30</f>
        <v>0</v>
      </c>
      <c r="C69" s="0" t="n">
        <f aca="false">SIMM_Delta!$B$8^2*$B$69*$B$69</f>
        <v>0</v>
      </c>
      <c r="D69" s="0" t="n">
        <f aca="false">SIMM_Delta!$C$8^2*$B$69*$B$70</f>
        <v>0</v>
      </c>
      <c r="E69" s="0" t="n">
        <f aca="false">SIMM_Delta!$D$8^2*$B$69*$B$71</f>
        <v>0</v>
      </c>
      <c r="F69" s="0" t="n">
        <f aca="false">SIMM_Delta!$E$8^2*$B$69*$B$72</f>
        <v>0</v>
      </c>
      <c r="G69" s="0" t="n">
        <f aca="false">SIMM_Delta!$F$8^2*$B$69*$B$73</f>
        <v>0</v>
      </c>
      <c r="H69" s="0" t="n">
        <f aca="false">SIMM_Delta!$G$8^2*$B$69*$B$74</f>
        <v>0</v>
      </c>
      <c r="I69" s="0" t="n">
        <f aca="false">SIMM_Delta!$H$8^2*$B$69*$B$75</f>
        <v>0</v>
      </c>
      <c r="J69" s="0" t="n">
        <f aca="false">SIMM_Delta!$I$8^2*$B$69*$B$76</f>
        <v>0</v>
      </c>
      <c r="K69" s="0" t="n">
        <f aca="false">SIMM_Delta!$J$8^2*$B$69*$B$77</f>
        <v>0</v>
      </c>
      <c r="L69" s="0" t="n">
        <f aca="false">SIMM_Delta!$K$8^2*$B$69*$B$78</f>
        <v>0</v>
      </c>
      <c r="M69" s="0" t="n">
        <f aca="false">SIMM_Delta!$L$8^2*$B$69*$B$79</f>
        <v>0</v>
      </c>
      <c r="N69" s="0" t="n">
        <f aca="false">SIMM_Delta!$M$8^2*$B$69*$B$80</f>
        <v>0</v>
      </c>
    </row>
    <row r="70" customFormat="false" ht="15" hidden="false" customHeight="false" outlineLevel="0" collapsed="false">
      <c r="A70" s="0" t="str">
        <f aca="false">Inputs!$C$14</f>
        <v>1m</v>
      </c>
      <c r="B70" s="0" t="n">
        <f aca="false">C31</f>
        <v>0</v>
      </c>
      <c r="C70" s="0" t="n">
        <f aca="false">SIMM_Delta!$B$9^2*$B$70*$B$69</f>
        <v>0</v>
      </c>
      <c r="D70" s="0" t="n">
        <f aca="false">SIMM_Delta!$C$9^2*$B$70*$B$70</f>
        <v>0</v>
      </c>
      <c r="E70" s="0" t="n">
        <f aca="false">SIMM_Delta!$D$9^2*$B$70*$B$71</f>
        <v>0</v>
      </c>
      <c r="F70" s="0" t="n">
        <f aca="false">SIMM_Delta!$E$9^2*$B$70*$B$72</f>
        <v>0</v>
      </c>
      <c r="G70" s="0" t="n">
        <f aca="false">SIMM_Delta!$F$9^2*$B$70*$B$73</f>
        <v>0</v>
      </c>
      <c r="H70" s="0" t="n">
        <f aca="false">SIMM_Delta!$G$9^2*$B$70*$B$74</f>
        <v>0</v>
      </c>
      <c r="I70" s="0" t="n">
        <f aca="false">SIMM_Delta!$H$9^2*$B$70*$B$75</f>
        <v>0</v>
      </c>
      <c r="J70" s="0" t="n">
        <f aca="false">SIMM_Delta!$I$9^2*$B$70*$B$76</f>
        <v>0</v>
      </c>
      <c r="K70" s="0" t="n">
        <f aca="false">SIMM_Delta!$J$9^2*$B$70*$B$77</f>
        <v>0</v>
      </c>
      <c r="L70" s="0" t="n">
        <f aca="false">SIMM_Delta!$K$9^2*$B$70*$B$78</f>
        <v>0</v>
      </c>
      <c r="M70" s="0" t="n">
        <f aca="false">SIMM_Delta!$L$9^2*$B$70*$B$79</f>
        <v>0</v>
      </c>
      <c r="N70" s="0" t="n">
        <f aca="false">SIMM_Delta!$M$9^2*$B$70*$B$80</f>
        <v>0</v>
      </c>
    </row>
    <row r="71" customFormat="false" ht="15" hidden="false" customHeight="false" outlineLevel="0" collapsed="false">
      <c r="A71" s="0" t="str">
        <f aca="false">Inputs!$D$14</f>
        <v>3m</v>
      </c>
      <c r="B71" s="0" t="n">
        <f aca="false">C32</f>
        <v>0</v>
      </c>
      <c r="C71" s="0" t="n">
        <f aca="false">SIMM_Delta!$B$10^2*$B$71*$B$69</f>
        <v>0</v>
      </c>
      <c r="D71" s="0" t="n">
        <f aca="false">SIMM_Delta!$C$10^2*$B$71*$B$70</f>
        <v>0</v>
      </c>
      <c r="E71" s="0" t="n">
        <f aca="false">SIMM_Delta!$D$10^2*$B$71*$B$71</f>
        <v>0</v>
      </c>
      <c r="F71" s="0" t="n">
        <f aca="false">SIMM_Delta!$E$10^2*$B$71*$B$72</f>
        <v>0</v>
      </c>
      <c r="G71" s="0" t="n">
        <f aca="false">SIMM_Delta!$F$10^2*$B$71*$B$73</f>
        <v>0</v>
      </c>
      <c r="H71" s="0" t="n">
        <f aca="false">SIMM_Delta!$G$10^2*$B$71*$B$74</f>
        <v>0</v>
      </c>
      <c r="I71" s="0" t="n">
        <f aca="false">SIMM_Delta!$H$10^2*$B$71*$B$75</f>
        <v>0</v>
      </c>
      <c r="J71" s="0" t="n">
        <f aca="false">SIMM_Delta!$I$10^2*$B$71*$B$76</f>
        <v>0</v>
      </c>
      <c r="K71" s="0" t="n">
        <f aca="false">SIMM_Delta!$J$10^2*$B$71*$B$77</f>
        <v>0</v>
      </c>
      <c r="L71" s="0" t="n">
        <f aca="false">SIMM_Delta!$K$10^2*$B$71*$B$78</f>
        <v>0</v>
      </c>
      <c r="M71" s="0" t="n">
        <f aca="false">SIMM_Delta!$L$10^2*$B$71*$B$79</f>
        <v>0</v>
      </c>
      <c r="N71" s="0" t="n">
        <f aca="false">SIMM_Delta!$M$10^2*$B$71*$B$80</f>
        <v>0</v>
      </c>
    </row>
    <row r="72" customFormat="false" ht="15" hidden="false" customHeight="false" outlineLevel="0" collapsed="false">
      <c r="A72" s="0" t="str">
        <f aca="false">Inputs!$E$14</f>
        <v>6m</v>
      </c>
      <c r="B72" s="0" t="n">
        <f aca="false">C33</f>
        <v>0</v>
      </c>
      <c r="C72" s="0" t="n">
        <f aca="false">SIMM_Delta!$B$11^2*$B$72*$B$69</f>
        <v>0</v>
      </c>
      <c r="D72" s="0" t="n">
        <f aca="false">SIMM_Delta!$C$11^2*$B$72*$B$70</f>
        <v>0</v>
      </c>
      <c r="E72" s="0" t="n">
        <f aca="false">SIMM_Delta!$D$11^2*$B$72*$B$71</f>
        <v>0</v>
      </c>
      <c r="F72" s="0" t="n">
        <f aca="false">SIMM_Delta!$E$11^2*$B$72*$B$72</f>
        <v>0</v>
      </c>
      <c r="G72" s="0" t="n">
        <f aca="false">SIMM_Delta!$F$11^2*$B$72*$B$73</f>
        <v>0</v>
      </c>
      <c r="H72" s="0" t="n">
        <f aca="false">SIMM_Delta!$G$11^2*$B$72*$B$74</f>
        <v>0</v>
      </c>
      <c r="I72" s="0" t="n">
        <f aca="false">SIMM_Delta!$H$11^2*$B$72*$B$75</f>
        <v>0</v>
      </c>
      <c r="J72" s="0" t="n">
        <f aca="false">SIMM_Delta!$I$11^2*$B$72*$B$76</f>
        <v>0</v>
      </c>
      <c r="K72" s="0" t="n">
        <f aca="false">SIMM_Delta!$J$11^2*$B$72*$B$77</f>
        <v>0</v>
      </c>
      <c r="L72" s="0" t="n">
        <f aca="false">SIMM_Delta!$K$11^2*$B$72*$B$78</f>
        <v>0</v>
      </c>
      <c r="M72" s="0" t="n">
        <f aca="false">SIMM_Delta!$L$11^2*$B$72*$B$79</f>
        <v>0</v>
      </c>
      <c r="N72" s="0" t="n">
        <f aca="false">SIMM_Delta!$M$11^2*$B$72*$B$80</f>
        <v>0</v>
      </c>
    </row>
    <row r="73" customFormat="false" ht="15" hidden="false" customHeight="false" outlineLevel="0" collapsed="false">
      <c r="A73" s="0" t="str">
        <f aca="false">Inputs!$F$14</f>
        <v>1y</v>
      </c>
      <c r="B73" s="0" t="n">
        <f aca="false">C34</f>
        <v>0</v>
      </c>
      <c r="C73" s="0" t="n">
        <f aca="false">SIMM_Delta!$B$12^2*$B$73*$B$69</f>
        <v>0</v>
      </c>
      <c r="D73" s="0" t="n">
        <f aca="false">SIMM_Delta!$C$12^2*$B$73*$B$70</f>
        <v>0</v>
      </c>
      <c r="E73" s="0" t="n">
        <f aca="false">SIMM_Delta!$D$12^2*$B$73*$B$71</f>
        <v>0</v>
      </c>
      <c r="F73" s="0" t="n">
        <f aca="false">SIMM_Delta!$E$12^2*$B$73*$B$72</f>
        <v>0</v>
      </c>
      <c r="G73" s="0" t="n">
        <f aca="false">SIMM_Delta!$F$12^2*$B$73*$B$73</f>
        <v>0</v>
      </c>
      <c r="H73" s="0" t="n">
        <f aca="false">SIMM_Delta!$G$12^2*$B$73*$B$74</f>
        <v>0</v>
      </c>
      <c r="I73" s="0" t="n">
        <f aca="false">SIMM_Delta!$H$12^2*$B$73*$B$75</f>
        <v>0</v>
      </c>
      <c r="J73" s="0" t="n">
        <f aca="false">SIMM_Delta!$I$12^2*$B$73*$B$76</f>
        <v>0</v>
      </c>
      <c r="K73" s="0" t="n">
        <f aca="false">SIMM_Delta!$J$12^2*$B$73*$B$77</f>
        <v>0</v>
      </c>
      <c r="L73" s="0" t="n">
        <f aca="false">SIMM_Delta!$K$12^2*$B$73*$B$78</f>
        <v>0</v>
      </c>
      <c r="M73" s="0" t="n">
        <f aca="false">SIMM_Delta!$L$12^2*$B$73*$B$79</f>
        <v>0</v>
      </c>
      <c r="N73" s="0" t="n">
        <f aca="false">SIMM_Delta!$M$12^2*$B$73*$B$80</f>
        <v>0</v>
      </c>
    </row>
    <row r="74" customFormat="false" ht="15" hidden="false" customHeight="false" outlineLevel="0" collapsed="false">
      <c r="A74" s="0" t="str">
        <f aca="false">Inputs!$G$14</f>
        <v>2y</v>
      </c>
      <c r="B74" s="0" t="n">
        <f aca="false">C35</f>
        <v>0</v>
      </c>
      <c r="C74" s="0" t="n">
        <f aca="false">SIMM_Delta!$B$13^2*$B$74*$B$69</f>
        <v>0</v>
      </c>
      <c r="D74" s="0" t="n">
        <f aca="false">SIMM_Delta!$C$13^2*$B$74*$B$70</f>
        <v>0</v>
      </c>
      <c r="E74" s="0" t="n">
        <f aca="false">SIMM_Delta!$D$13^2*$B$74*$B$71</f>
        <v>0</v>
      </c>
      <c r="F74" s="0" t="n">
        <f aca="false">SIMM_Delta!$E$13^2*$B$74*$B$72</f>
        <v>0</v>
      </c>
      <c r="G74" s="0" t="n">
        <f aca="false">SIMM_Delta!$F$13^2*$B$74*$B$73</f>
        <v>0</v>
      </c>
      <c r="H74" s="0" t="n">
        <f aca="false">SIMM_Delta!$G$13^2*$B$74*$B$74</f>
        <v>0</v>
      </c>
      <c r="I74" s="0" t="n">
        <f aca="false">SIMM_Delta!$H$13^2*$B$74*$B$75</f>
        <v>0</v>
      </c>
      <c r="J74" s="0" t="n">
        <f aca="false">SIMM_Delta!$I$13^2*$B$74*$B$76</f>
        <v>0</v>
      </c>
      <c r="K74" s="0" t="n">
        <f aca="false">SIMM_Delta!$J$13^2*$B$74*$B$77</f>
        <v>0</v>
      </c>
      <c r="L74" s="0" t="n">
        <f aca="false">SIMM_Delta!$K$13^2*$B$74*$B$78</f>
        <v>0</v>
      </c>
      <c r="M74" s="0" t="n">
        <f aca="false">SIMM_Delta!$L$13^2*$B$74*$B$79</f>
        <v>0</v>
      </c>
      <c r="N74" s="0" t="n">
        <f aca="false">SIMM_Delta!$M$13^2*$B$74*$B$80</f>
        <v>0</v>
      </c>
    </row>
    <row r="75" customFormat="false" ht="15" hidden="false" customHeight="false" outlineLevel="0" collapsed="false">
      <c r="A75" s="0" t="str">
        <f aca="false">Inputs!$H$14</f>
        <v>3y</v>
      </c>
      <c r="B75" s="0" t="n">
        <f aca="false">C36</f>
        <v>6763.1890964422</v>
      </c>
      <c r="C75" s="0" t="n">
        <f aca="false">SIMM_Delta!$B$14^2*$B$75*$B$69</f>
        <v>0</v>
      </c>
      <c r="D75" s="0" t="n">
        <f aca="false">SIMM_Delta!$C$14^2*$B$75*$B$70</f>
        <v>0</v>
      </c>
      <c r="E75" s="0" t="n">
        <f aca="false">SIMM_Delta!$D$14^2*$B$75*$B$71</f>
        <v>0</v>
      </c>
      <c r="F75" s="0" t="n">
        <f aca="false">SIMM_Delta!$E$14^2*$B$75*$B$72</f>
        <v>0</v>
      </c>
      <c r="G75" s="0" t="n">
        <f aca="false">SIMM_Delta!$F$14^2*$B$75*$B$73</f>
        <v>0</v>
      </c>
      <c r="H75" s="0" t="n">
        <f aca="false">SIMM_Delta!$G$14^2*$B$75*$B$74</f>
        <v>0</v>
      </c>
      <c r="I75" s="0" t="n">
        <f aca="false">SIMM_Delta!$H$14^2*$B$75*$B$75</f>
        <v>45740726.7542347</v>
      </c>
      <c r="J75" s="0" t="n">
        <f aca="false">SIMM_Delta!$I$14^2*$B$75*$B$76</f>
        <v>25822469.8818356</v>
      </c>
      <c r="K75" s="0" t="n">
        <f aca="false">SIMM_Delta!$J$14^2*$B$75*$B$77</f>
        <v>0</v>
      </c>
      <c r="L75" s="0" t="n">
        <f aca="false">SIMM_Delta!$K$14^2*$B$75*$B$78</f>
        <v>0</v>
      </c>
      <c r="M75" s="0" t="n">
        <f aca="false">SIMM_Delta!$L$14^2*$B$75*$B$79</f>
        <v>0</v>
      </c>
      <c r="N75" s="0" t="n">
        <f aca="false">SIMM_Delta!$M$14^2*$B$75*$B$80</f>
        <v>0</v>
      </c>
    </row>
    <row r="76" customFormat="false" ht="15" hidden="false" customHeight="false" outlineLevel="0" collapsed="false">
      <c r="A76" s="0" t="str">
        <f aca="false">Inputs!$I$14</f>
        <v>5y</v>
      </c>
      <c r="B76" s="0" t="n">
        <f aca="false">C37</f>
        <v>4057.91345786532</v>
      </c>
      <c r="C76" s="0" t="n">
        <f aca="false">SIMM_Delta!$B$15^2*$B$76*$B$69</f>
        <v>0</v>
      </c>
      <c r="D76" s="0" t="n">
        <f aca="false">SIMM_Delta!$C$15^2*$B$76*$B$70</f>
        <v>0</v>
      </c>
      <c r="E76" s="0" t="n">
        <f aca="false">SIMM_Delta!$D$15^2*$B$76*$B$71</f>
        <v>0</v>
      </c>
      <c r="F76" s="0" t="n">
        <f aca="false">SIMM_Delta!$E$15^2*$B$76*$B$72</f>
        <v>0</v>
      </c>
      <c r="G76" s="0" t="n">
        <f aca="false">SIMM_Delta!$F$15^2*$B$76*$B$73</f>
        <v>0</v>
      </c>
      <c r="H76" s="0" t="n">
        <f aca="false">SIMM_Delta!$G$15^2*$B$76*$B$74</f>
        <v>0</v>
      </c>
      <c r="I76" s="0" t="n">
        <f aca="false">SIMM_Delta!$H$15^2*$B$76*$B$75</f>
        <v>25822469.8818356</v>
      </c>
      <c r="J76" s="0" t="n">
        <f aca="false">SIMM_Delta!$I$15^2*$B$76*$B$76</f>
        <v>16466661.6315245</v>
      </c>
      <c r="K76" s="0" t="n">
        <f aca="false">SIMM_Delta!$J$15^2*$B$76*$B$77</f>
        <v>0</v>
      </c>
      <c r="L76" s="0" t="n">
        <f aca="false">SIMM_Delta!$K$15^2*$B$76*$B$78</f>
        <v>0</v>
      </c>
      <c r="M76" s="0" t="n">
        <f aca="false">SIMM_Delta!$L$15^2*$B$76*$B$79</f>
        <v>0</v>
      </c>
      <c r="N76" s="0" t="n">
        <f aca="false">SIMM_Delta!$M$15^2*$B$76*$B$80</f>
        <v>0</v>
      </c>
    </row>
    <row r="77" customFormat="false" ht="15" hidden="false" customHeight="false" outlineLevel="0" collapsed="false">
      <c r="A77" s="0" t="str">
        <f aca="false">Inputs!$J$14</f>
        <v>10y</v>
      </c>
      <c r="B77" s="0" t="n">
        <f aca="false">C38</f>
        <v>0</v>
      </c>
      <c r="C77" s="0" t="n">
        <f aca="false">SIMM_Delta!$B$16^2*$B$77*$B$69</f>
        <v>0</v>
      </c>
      <c r="D77" s="0" t="n">
        <f aca="false">SIMM_Delta!$C$16^2*$B$77*$B$70</f>
        <v>0</v>
      </c>
      <c r="E77" s="0" t="n">
        <f aca="false">SIMM_Delta!$D$16^2*$B$77*$B$71</f>
        <v>0</v>
      </c>
      <c r="F77" s="0" t="n">
        <f aca="false">SIMM_Delta!$E$16^2*$B$77*$B$72</f>
        <v>0</v>
      </c>
      <c r="G77" s="0" t="n">
        <f aca="false">SIMM_Delta!$F$16^2*$B$77*$B$73</f>
        <v>0</v>
      </c>
      <c r="H77" s="0" t="n">
        <f aca="false">SIMM_Delta!$G$16^2*$B$77*$B$74</f>
        <v>0</v>
      </c>
      <c r="I77" s="0" t="n">
        <f aca="false">SIMM_Delta!$H$16^2*$B$77*$B$75</f>
        <v>0</v>
      </c>
      <c r="J77" s="0" t="n">
        <f aca="false">SIMM_Delta!$I$16^2*$B$77*$B$76</f>
        <v>0</v>
      </c>
      <c r="K77" s="0" t="n">
        <f aca="false">SIMM_Delta!$J$16^2*$B$77*$B$77</f>
        <v>0</v>
      </c>
      <c r="L77" s="0" t="n">
        <f aca="false">SIMM_Delta!$K$16^2*$B$77*$B$78</f>
        <v>0</v>
      </c>
      <c r="M77" s="0" t="n">
        <f aca="false">SIMM_Delta!$L$16^2*$B$77*$B$79</f>
        <v>0</v>
      </c>
      <c r="N77" s="0" t="n">
        <f aca="false">SIMM_Delta!$M$16^2*$B$77*$B$80</f>
        <v>0</v>
      </c>
    </row>
    <row r="78" customFormat="false" ht="15" hidden="false" customHeight="false" outlineLevel="0" collapsed="false">
      <c r="A78" s="0" t="str">
        <f aca="false">Inputs!$K$14</f>
        <v>15y</v>
      </c>
      <c r="B78" s="0" t="n">
        <f aca="false">C39</f>
        <v>0</v>
      </c>
      <c r="C78" s="0" t="n">
        <f aca="false">SIMM_Delta!$B$17^2*$B$78*$B$69</f>
        <v>0</v>
      </c>
      <c r="D78" s="0" t="n">
        <f aca="false">SIMM_Delta!$C$17^2*$B$78*$B$70</f>
        <v>0</v>
      </c>
      <c r="E78" s="0" t="n">
        <f aca="false">SIMM_Delta!$D$17^2*$B$78*$B$71</f>
        <v>0</v>
      </c>
      <c r="F78" s="0" t="n">
        <f aca="false">SIMM_Delta!$E$17^2*$B$78*$B$72</f>
        <v>0</v>
      </c>
      <c r="G78" s="0" t="n">
        <f aca="false">SIMM_Delta!$F$17^2*$B$78*$B$73</f>
        <v>0</v>
      </c>
      <c r="H78" s="0" t="n">
        <f aca="false">SIMM_Delta!$G$17^2*$B$78*$B$74</f>
        <v>0</v>
      </c>
      <c r="I78" s="0" t="n">
        <f aca="false">SIMM_Delta!$H$17^2*$B$78*$B$75</f>
        <v>0</v>
      </c>
      <c r="J78" s="0" t="n">
        <f aca="false">SIMM_Delta!$I$17^2*$B$78*$B$76</f>
        <v>0</v>
      </c>
      <c r="K78" s="0" t="n">
        <f aca="false">SIMM_Delta!$J$17^2*$B$78*$B$77</f>
        <v>0</v>
      </c>
      <c r="L78" s="0" t="n">
        <f aca="false">SIMM_Delta!$K$17^2*$B$78*$B$78</f>
        <v>0</v>
      </c>
      <c r="M78" s="0" t="n">
        <f aca="false">SIMM_Delta!$L$17^2*$B$78*$B$79</f>
        <v>0</v>
      </c>
      <c r="N78" s="0" t="n">
        <f aca="false">SIMM_Delta!$M$17^2*$B$78*$B$80</f>
        <v>0</v>
      </c>
    </row>
    <row r="79" customFormat="false" ht="15" hidden="false" customHeight="false" outlineLevel="0" collapsed="false">
      <c r="A79" s="0" t="str">
        <f aca="false">Inputs!$L$14</f>
        <v>20y</v>
      </c>
      <c r="B79" s="0" t="n">
        <f aca="false">C40</f>
        <v>0</v>
      </c>
      <c r="C79" s="0" t="n">
        <f aca="false">SIMM_Delta!$B$18^2*$B$79*$B$69</f>
        <v>0</v>
      </c>
      <c r="D79" s="0" t="n">
        <f aca="false">SIMM_Delta!$C$18^2*$B$79*$B$70</f>
        <v>0</v>
      </c>
      <c r="E79" s="0" t="n">
        <f aca="false">SIMM_Delta!$D$18^2*$B$79*$B$71</f>
        <v>0</v>
      </c>
      <c r="F79" s="0" t="n">
        <f aca="false">SIMM_Delta!$E$18^2*$B$79*$B$72</f>
        <v>0</v>
      </c>
      <c r="G79" s="0" t="n">
        <f aca="false">SIMM_Delta!$F$18^2*$B$79*$B$73</f>
        <v>0</v>
      </c>
      <c r="H79" s="0" t="n">
        <f aca="false">SIMM_Delta!$G$18^2*$B$79*$B$74</f>
        <v>0</v>
      </c>
      <c r="I79" s="0" t="n">
        <f aca="false">SIMM_Delta!$H$18^2*$B$79*$B$75</f>
        <v>0</v>
      </c>
      <c r="J79" s="0" t="n">
        <f aca="false">SIMM_Delta!$I$18^2*$B$79*$B$76</f>
        <v>0</v>
      </c>
      <c r="K79" s="0" t="n">
        <f aca="false">SIMM_Delta!$J$18^2*$B$79*$B$77</f>
        <v>0</v>
      </c>
      <c r="L79" s="0" t="n">
        <f aca="false">SIMM_Delta!$K$18^2*$B$79*$B$78</f>
        <v>0</v>
      </c>
      <c r="M79" s="0" t="n">
        <f aca="false">SIMM_Delta!$L$18^2*$B$79*$B$79</f>
        <v>0</v>
      </c>
      <c r="N79" s="0" t="n">
        <f aca="false">SIMM_Delta!$M$18^2*$B$79*$B$80</f>
        <v>0</v>
      </c>
    </row>
    <row r="80" customFormat="false" ht="15" hidden="false" customHeight="false" outlineLevel="0" collapsed="false">
      <c r="A80" s="0" t="str">
        <f aca="false">Inputs!$M$14</f>
        <v>30y</v>
      </c>
      <c r="B80" s="0" t="n">
        <f aca="false">C41</f>
        <v>0</v>
      </c>
      <c r="C80" s="0" t="n">
        <f aca="false">SIMM_Delta!$B$19^2*$B$80*$B$69</f>
        <v>0</v>
      </c>
      <c r="D80" s="0" t="n">
        <f aca="false">SIMM_Delta!$C$19^2*$B$80*$B$70</f>
        <v>0</v>
      </c>
      <c r="E80" s="0" t="n">
        <f aca="false">SIMM_Delta!$D$19^2*$B$80*$B$71</f>
        <v>0</v>
      </c>
      <c r="F80" s="0" t="n">
        <f aca="false">SIMM_Delta!$E$19^2*$B$80*$B$72</f>
        <v>0</v>
      </c>
      <c r="G80" s="0" t="n">
        <f aca="false">SIMM_Delta!$F$19^2*$B$80*$B$73</f>
        <v>0</v>
      </c>
      <c r="H80" s="0" t="n">
        <f aca="false">SIMM_Delta!$G$19^2*$B$80*$B$74</f>
        <v>0</v>
      </c>
      <c r="I80" s="0" t="n">
        <f aca="false">SIMM_Delta!$H$19^2*$B$80*$B$75</f>
        <v>0</v>
      </c>
      <c r="J80" s="0" t="n">
        <f aca="false">SIMM_Delta!$I$19^2*$B$80*$B$76</f>
        <v>0</v>
      </c>
      <c r="K80" s="0" t="n">
        <f aca="false">SIMM_Delta!$J$19^2*$B$80*$B$77</f>
        <v>0</v>
      </c>
      <c r="L80" s="0" t="n">
        <f aca="false">SIMM_Delta!$K$19^2*$B$80*$B$78</f>
        <v>0</v>
      </c>
      <c r="M80" s="0" t="n">
        <f aca="false">SIMM_Delta!$L$19^2*$B$80*$B$79</f>
        <v>0</v>
      </c>
      <c r="N80" s="0" t="n">
        <f aca="false">SIMM_Delta!$M$19^2*$B$80*$B$80</f>
        <v>0</v>
      </c>
    </row>
    <row r="81" customFormat="false" ht="15" hidden="false" customHeight="false" outlineLevel="0" collapsed="false">
      <c r="A81" s="1" t="s">
        <v>43</v>
      </c>
      <c r="B81" s="0" t="str">
        <f aca="false">Inputs!$D$13</f>
        <v>GBP</v>
      </c>
    </row>
    <row r="82" customFormat="false" ht="15" hidden="false" customHeight="false" outlineLevel="0" collapsed="false">
      <c r="A82" s="1" t="s">
        <v>257</v>
      </c>
      <c r="B82" s="0" t="n">
        <f aca="false">SQRT(MAX(0,SUM(C85:N96)))</f>
        <v>3956.16269322761</v>
      </c>
    </row>
    <row r="83" customFormat="false" ht="15" hidden="false" customHeight="false" outlineLevel="0" collapsed="false">
      <c r="A83" s="1" t="s">
        <v>417</v>
      </c>
      <c r="B83" s="0" t="n">
        <f aca="false">MAX(-B82,MIN(B82,SUM(B85:B96)))</f>
        <v>-3956.16269322761</v>
      </c>
    </row>
    <row r="84" customFormat="false" ht="15" hidden="false" customHeight="false" outlineLevel="0" collapsed="false">
      <c r="A84" s="1" t="s">
        <v>418</v>
      </c>
      <c r="B84" s="1" t="s">
        <v>485</v>
      </c>
      <c r="C84" s="1" t="str">
        <f aca="false">Inputs!$B$14</f>
        <v>2w</v>
      </c>
      <c r="D84" s="1" t="str">
        <f aca="false">Inputs!$C$14</f>
        <v>1m</v>
      </c>
      <c r="E84" s="1" t="str">
        <f aca="false">Inputs!$D$14</f>
        <v>3m</v>
      </c>
      <c r="F84" s="1" t="str">
        <f aca="false">Inputs!$E$14</f>
        <v>6m</v>
      </c>
      <c r="G84" s="1" t="str">
        <f aca="false">Inputs!$F$14</f>
        <v>1y</v>
      </c>
      <c r="H84" s="1" t="str">
        <f aca="false">Inputs!$G$14</f>
        <v>2y</v>
      </c>
      <c r="I84" s="1" t="str">
        <f aca="false">Inputs!$H$14</f>
        <v>3y</v>
      </c>
      <c r="J84" s="1" t="str">
        <f aca="false">Inputs!$I$14</f>
        <v>5y</v>
      </c>
      <c r="K84" s="1" t="str">
        <f aca="false">Inputs!$J$14</f>
        <v>10y</v>
      </c>
      <c r="L84" s="1" t="str">
        <f aca="false">Inputs!$K$14</f>
        <v>15y</v>
      </c>
      <c r="M84" s="1" t="str">
        <f aca="false">Inputs!$L$14</f>
        <v>20y</v>
      </c>
      <c r="N84" s="1" t="str">
        <f aca="false">Inputs!$M$14</f>
        <v>30y</v>
      </c>
    </row>
    <row r="85" customFormat="false" ht="15" hidden="false" customHeight="false" outlineLevel="0" collapsed="false">
      <c r="A85" s="0" t="str">
        <f aca="false">Inputs!$B$14</f>
        <v>2w</v>
      </c>
      <c r="B85" s="0" t="n">
        <f aca="false">D30</f>
        <v>0</v>
      </c>
      <c r="C85" s="0" t="n">
        <f aca="false">SIMM_Delta!$B$8^2*$B$85*$B$85</f>
        <v>0</v>
      </c>
      <c r="D85" s="0" t="n">
        <f aca="false">SIMM_Delta!$C$8^2*$B$85*$B$86</f>
        <v>0</v>
      </c>
      <c r="E85" s="0" t="n">
        <f aca="false">SIMM_Delta!$D$8^2*$B$85*$B$87</f>
        <v>0</v>
      </c>
      <c r="F85" s="0" t="n">
        <f aca="false">SIMM_Delta!$E$8^2*$B$85*$B$88</f>
        <v>0</v>
      </c>
      <c r="G85" s="0" t="n">
        <f aca="false">SIMM_Delta!$F$8^2*$B$85*$B$89</f>
        <v>0</v>
      </c>
      <c r="H85" s="0" t="n">
        <f aca="false">SIMM_Delta!$G$8^2*$B$85*$B$90</f>
        <v>0</v>
      </c>
      <c r="I85" s="0" t="n">
        <f aca="false">SIMM_Delta!$H$8^2*$B$85*$B$91</f>
        <v>0</v>
      </c>
      <c r="J85" s="0" t="n">
        <f aca="false">SIMM_Delta!$I$8^2*$B$85*$B$92</f>
        <v>-0</v>
      </c>
      <c r="K85" s="0" t="n">
        <f aca="false">SIMM_Delta!$J$8^2*$B$85*$B$93</f>
        <v>0</v>
      </c>
      <c r="L85" s="0" t="n">
        <f aca="false">SIMM_Delta!$K$8^2*$B$85*$B$94</f>
        <v>0</v>
      </c>
      <c r="M85" s="0" t="n">
        <f aca="false">SIMM_Delta!$L$8^2*$B$85*$B$95</f>
        <v>0</v>
      </c>
      <c r="N85" s="0" t="n">
        <f aca="false">SIMM_Delta!$M$8^2*$B$85*$B$96</f>
        <v>0</v>
      </c>
    </row>
    <row r="86" customFormat="false" ht="15" hidden="false" customHeight="false" outlineLevel="0" collapsed="false">
      <c r="A86" s="0" t="str">
        <f aca="false">Inputs!$C$14</f>
        <v>1m</v>
      </c>
      <c r="B86" s="0" t="n">
        <f aca="false">D31</f>
        <v>0</v>
      </c>
      <c r="C86" s="0" t="n">
        <f aca="false">SIMM_Delta!$B$9^2*$B$86*$B$85</f>
        <v>0</v>
      </c>
      <c r="D86" s="0" t="n">
        <f aca="false">SIMM_Delta!$C$9^2*$B$86*$B$86</f>
        <v>0</v>
      </c>
      <c r="E86" s="0" t="n">
        <f aca="false">SIMM_Delta!$D$9^2*$B$86*$B$87</f>
        <v>0</v>
      </c>
      <c r="F86" s="0" t="n">
        <f aca="false">SIMM_Delta!$E$9^2*$B$86*$B$88</f>
        <v>0</v>
      </c>
      <c r="G86" s="0" t="n">
        <f aca="false">SIMM_Delta!$F$9^2*$B$86*$B$89</f>
        <v>0</v>
      </c>
      <c r="H86" s="0" t="n">
        <f aca="false">SIMM_Delta!$G$9^2*$B$86*$B$90</f>
        <v>0</v>
      </c>
      <c r="I86" s="0" t="n">
        <f aca="false">SIMM_Delta!$H$9^2*$B$86*$B$91</f>
        <v>0</v>
      </c>
      <c r="J86" s="0" t="n">
        <f aca="false">SIMM_Delta!$I$9^2*$B$86*$B$92</f>
        <v>-0</v>
      </c>
      <c r="K86" s="0" t="n">
        <f aca="false">SIMM_Delta!$J$9^2*$B$86*$B$93</f>
        <v>0</v>
      </c>
      <c r="L86" s="0" t="n">
        <f aca="false">SIMM_Delta!$K$9^2*$B$86*$B$94</f>
        <v>0</v>
      </c>
      <c r="M86" s="0" t="n">
        <f aca="false">SIMM_Delta!$L$9^2*$B$86*$B$95</f>
        <v>0</v>
      </c>
      <c r="N86" s="0" t="n">
        <f aca="false">SIMM_Delta!$M$9^2*$B$86*$B$96</f>
        <v>0</v>
      </c>
    </row>
    <row r="87" customFormat="false" ht="15" hidden="false" customHeight="false" outlineLevel="0" collapsed="false">
      <c r="A87" s="0" t="str">
        <f aca="false">Inputs!$D$14</f>
        <v>3m</v>
      </c>
      <c r="B87" s="0" t="n">
        <f aca="false">D32</f>
        <v>0</v>
      </c>
      <c r="C87" s="0" t="n">
        <f aca="false">SIMM_Delta!$B$10^2*$B$87*$B$85</f>
        <v>0</v>
      </c>
      <c r="D87" s="0" t="n">
        <f aca="false">SIMM_Delta!$C$10^2*$B$87*$B$86</f>
        <v>0</v>
      </c>
      <c r="E87" s="0" t="n">
        <f aca="false">SIMM_Delta!$D$10^2*$B$87*$B$87</f>
        <v>0</v>
      </c>
      <c r="F87" s="0" t="n">
        <f aca="false">SIMM_Delta!$E$10^2*$B$87*$B$88</f>
        <v>0</v>
      </c>
      <c r="G87" s="0" t="n">
        <f aca="false">SIMM_Delta!$F$10^2*$B$87*$B$89</f>
        <v>0</v>
      </c>
      <c r="H87" s="0" t="n">
        <f aca="false">SIMM_Delta!$G$10^2*$B$87*$B$90</f>
        <v>0</v>
      </c>
      <c r="I87" s="0" t="n">
        <f aca="false">SIMM_Delta!$H$10^2*$B$87*$B$91</f>
        <v>0</v>
      </c>
      <c r="J87" s="0" t="n">
        <f aca="false">SIMM_Delta!$I$10^2*$B$87*$B$92</f>
        <v>-0</v>
      </c>
      <c r="K87" s="0" t="n">
        <f aca="false">SIMM_Delta!$J$10^2*$B$87*$B$93</f>
        <v>0</v>
      </c>
      <c r="L87" s="0" t="n">
        <f aca="false">SIMM_Delta!$K$10^2*$B$87*$B$94</f>
        <v>0</v>
      </c>
      <c r="M87" s="0" t="n">
        <f aca="false">SIMM_Delta!$L$10^2*$B$87*$B$95</f>
        <v>0</v>
      </c>
      <c r="N87" s="0" t="n">
        <f aca="false">SIMM_Delta!$M$10^2*$B$87*$B$96</f>
        <v>0</v>
      </c>
    </row>
    <row r="88" customFormat="false" ht="15" hidden="false" customHeight="false" outlineLevel="0" collapsed="false">
      <c r="A88" s="0" t="str">
        <f aca="false">Inputs!$E$14</f>
        <v>6m</v>
      </c>
      <c r="B88" s="0" t="n">
        <f aca="false">D33</f>
        <v>0</v>
      </c>
      <c r="C88" s="0" t="n">
        <f aca="false">SIMM_Delta!$B$11^2*$B$88*$B$85</f>
        <v>0</v>
      </c>
      <c r="D88" s="0" t="n">
        <f aca="false">SIMM_Delta!$C$11^2*$B$88*$B$86</f>
        <v>0</v>
      </c>
      <c r="E88" s="0" t="n">
        <f aca="false">SIMM_Delta!$D$11^2*$B$88*$B$87</f>
        <v>0</v>
      </c>
      <c r="F88" s="0" t="n">
        <f aca="false">SIMM_Delta!$E$11^2*$B$88*$B$88</f>
        <v>0</v>
      </c>
      <c r="G88" s="0" t="n">
        <f aca="false">SIMM_Delta!$F$11^2*$B$88*$B$89</f>
        <v>0</v>
      </c>
      <c r="H88" s="0" t="n">
        <f aca="false">SIMM_Delta!$G$11^2*$B$88*$B$90</f>
        <v>0</v>
      </c>
      <c r="I88" s="0" t="n">
        <f aca="false">SIMM_Delta!$H$11^2*$B$88*$B$91</f>
        <v>0</v>
      </c>
      <c r="J88" s="0" t="n">
        <f aca="false">SIMM_Delta!$I$11^2*$B$88*$B$92</f>
        <v>-0</v>
      </c>
      <c r="K88" s="0" t="n">
        <f aca="false">SIMM_Delta!$J$11^2*$B$88*$B$93</f>
        <v>0</v>
      </c>
      <c r="L88" s="0" t="n">
        <f aca="false">SIMM_Delta!$K$11^2*$B$88*$B$94</f>
        <v>0</v>
      </c>
      <c r="M88" s="0" t="n">
        <f aca="false">SIMM_Delta!$L$11^2*$B$88*$B$95</f>
        <v>0</v>
      </c>
      <c r="N88" s="0" t="n">
        <f aca="false">SIMM_Delta!$M$11^2*$B$88*$B$96</f>
        <v>0</v>
      </c>
    </row>
    <row r="89" customFormat="false" ht="15" hidden="false" customHeight="false" outlineLevel="0" collapsed="false">
      <c r="A89" s="0" t="str">
        <f aca="false">Inputs!$F$14</f>
        <v>1y</v>
      </c>
      <c r="B89" s="0" t="n">
        <f aca="false">D34</f>
        <v>0</v>
      </c>
      <c r="C89" s="0" t="n">
        <f aca="false">SIMM_Delta!$B$12^2*$B$89*$B$85</f>
        <v>0</v>
      </c>
      <c r="D89" s="0" t="n">
        <f aca="false">SIMM_Delta!$C$12^2*$B$89*$B$86</f>
        <v>0</v>
      </c>
      <c r="E89" s="0" t="n">
        <f aca="false">SIMM_Delta!$D$12^2*$B$89*$B$87</f>
        <v>0</v>
      </c>
      <c r="F89" s="0" t="n">
        <f aca="false">SIMM_Delta!$E$12^2*$B$89*$B$88</f>
        <v>0</v>
      </c>
      <c r="G89" s="0" t="n">
        <f aca="false">SIMM_Delta!$F$12^2*$B$89*$B$89</f>
        <v>0</v>
      </c>
      <c r="H89" s="0" t="n">
        <f aca="false">SIMM_Delta!$G$12^2*$B$89*$B$90</f>
        <v>0</v>
      </c>
      <c r="I89" s="0" t="n">
        <f aca="false">SIMM_Delta!$H$12^2*$B$89*$B$91</f>
        <v>0</v>
      </c>
      <c r="J89" s="0" t="n">
        <f aca="false">SIMM_Delta!$I$12^2*$B$89*$B$92</f>
        <v>-0</v>
      </c>
      <c r="K89" s="0" t="n">
        <f aca="false">SIMM_Delta!$J$12^2*$B$89*$B$93</f>
        <v>0</v>
      </c>
      <c r="L89" s="0" t="n">
        <f aca="false">SIMM_Delta!$K$12^2*$B$89*$B$94</f>
        <v>0</v>
      </c>
      <c r="M89" s="0" t="n">
        <f aca="false">SIMM_Delta!$L$12^2*$B$89*$B$95</f>
        <v>0</v>
      </c>
      <c r="N89" s="0" t="n">
        <f aca="false">SIMM_Delta!$M$12^2*$B$89*$B$96</f>
        <v>0</v>
      </c>
    </row>
    <row r="90" customFormat="false" ht="15" hidden="false" customHeight="false" outlineLevel="0" collapsed="false">
      <c r="A90" s="0" t="str">
        <f aca="false">Inputs!$G$14</f>
        <v>2y</v>
      </c>
      <c r="B90" s="0" t="n">
        <f aca="false">D35</f>
        <v>0</v>
      </c>
      <c r="C90" s="0" t="n">
        <f aca="false">SIMM_Delta!$B$13^2*$B$90*$B$85</f>
        <v>0</v>
      </c>
      <c r="D90" s="0" t="n">
        <f aca="false">SIMM_Delta!$C$13^2*$B$90*$B$86</f>
        <v>0</v>
      </c>
      <c r="E90" s="0" t="n">
        <f aca="false">SIMM_Delta!$D$13^2*$B$90*$B$87</f>
        <v>0</v>
      </c>
      <c r="F90" s="0" t="n">
        <f aca="false">SIMM_Delta!$E$13^2*$B$90*$B$88</f>
        <v>0</v>
      </c>
      <c r="G90" s="0" t="n">
        <f aca="false">SIMM_Delta!$F$13^2*$B$90*$B$89</f>
        <v>0</v>
      </c>
      <c r="H90" s="0" t="n">
        <f aca="false">SIMM_Delta!$G$13^2*$B$90*$B$90</f>
        <v>0</v>
      </c>
      <c r="I90" s="0" t="n">
        <f aca="false">SIMM_Delta!$H$13^2*$B$90*$B$91</f>
        <v>0</v>
      </c>
      <c r="J90" s="0" t="n">
        <f aca="false">SIMM_Delta!$I$13^2*$B$90*$B$92</f>
        <v>-0</v>
      </c>
      <c r="K90" s="0" t="n">
        <f aca="false">SIMM_Delta!$J$13^2*$B$90*$B$93</f>
        <v>0</v>
      </c>
      <c r="L90" s="0" t="n">
        <f aca="false">SIMM_Delta!$K$13^2*$B$90*$B$94</f>
        <v>0</v>
      </c>
      <c r="M90" s="0" t="n">
        <f aca="false">SIMM_Delta!$L$13^2*$B$90*$B$95</f>
        <v>0</v>
      </c>
      <c r="N90" s="0" t="n">
        <f aca="false">SIMM_Delta!$M$13^2*$B$90*$B$96</f>
        <v>0</v>
      </c>
    </row>
    <row r="91" customFormat="false" ht="15" hidden="false" customHeight="false" outlineLevel="0" collapsed="false">
      <c r="A91" s="0" t="str">
        <f aca="false">Inputs!$H$14</f>
        <v>3y</v>
      </c>
      <c r="B91" s="0" t="n">
        <f aca="false">D36</f>
        <v>0</v>
      </c>
      <c r="C91" s="0" t="n">
        <f aca="false">SIMM_Delta!$B$14^2*$B$91*$B$85</f>
        <v>0</v>
      </c>
      <c r="D91" s="0" t="n">
        <f aca="false">SIMM_Delta!$C$14^2*$B$91*$B$86</f>
        <v>0</v>
      </c>
      <c r="E91" s="0" t="n">
        <f aca="false">SIMM_Delta!$D$14^2*$B$91*$B$87</f>
        <v>0</v>
      </c>
      <c r="F91" s="0" t="n">
        <f aca="false">SIMM_Delta!$E$14^2*$B$91*$B$88</f>
        <v>0</v>
      </c>
      <c r="G91" s="0" t="n">
        <f aca="false">SIMM_Delta!$F$14^2*$B$91*$B$89</f>
        <v>0</v>
      </c>
      <c r="H91" s="0" t="n">
        <f aca="false">SIMM_Delta!$G$14^2*$B$91*$B$90</f>
        <v>0</v>
      </c>
      <c r="I91" s="0" t="n">
        <f aca="false">SIMM_Delta!$H$14^2*$B$91*$B$91</f>
        <v>0</v>
      </c>
      <c r="J91" s="0" t="n">
        <f aca="false">SIMM_Delta!$I$14^2*$B$91*$B$92</f>
        <v>-0</v>
      </c>
      <c r="K91" s="0" t="n">
        <f aca="false">SIMM_Delta!$J$14^2*$B$91*$B$93</f>
        <v>0</v>
      </c>
      <c r="L91" s="0" t="n">
        <f aca="false">SIMM_Delta!$K$14^2*$B$91*$B$94</f>
        <v>0</v>
      </c>
      <c r="M91" s="0" t="n">
        <f aca="false">SIMM_Delta!$L$14^2*$B$91*$B$95</f>
        <v>0</v>
      </c>
      <c r="N91" s="0" t="n">
        <f aca="false">SIMM_Delta!$M$14^2*$B$91*$B$96</f>
        <v>0</v>
      </c>
    </row>
    <row r="92" customFormat="false" ht="15" hidden="false" customHeight="false" outlineLevel="0" collapsed="false">
      <c r="A92" s="0" t="str">
        <f aca="false">Inputs!$I$14</f>
        <v>5y</v>
      </c>
      <c r="B92" s="0" t="n">
        <f aca="false">D37</f>
        <v>-3956.16269322761</v>
      </c>
      <c r="C92" s="0" t="n">
        <f aca="false">SIMM_Delta!$B$15^2*$B$92*$B$85</f>
        <v>-0</v>
      </c>
      <c r="D92" s="0" t="n">
        <f aca="false">SIMM_Delta!$C$15^2*$B$92*$B$86</f>
        <v>-0</v>
      </c>
      <c r="E92" s="0" t="n">
        <f aca="false">SIMM_Delta!$D$15^2*$B$92*$B$87</f>
        <v>-0</v>
      </c>
      <c r="F92" s="0" t="n">
        <f aca="false">SIMM_Delta!$E$15^2*$B$92*$B$88</f>
        <v>-0</v>
      </c>
      <c r="G92" s="0" t="n">
        <f aca="false">SIMM_Delta!$F$15^2*$B$92*$B$89</f>
        <v>-0</v>
      </c>
      <c r="H92" s="0" t="n">
        <f aca="false">SIMM_Delta!$G$15^2*$B$92*$B$90</f>
        <v>-0</v>
      </c>
      <c r="I92" s="0" t="n">
        <f aca="false">SIMM_Delta!$H$15^2*$B$92*$B$91</f>
        <v>-0</v>
      </c>
      <c r="J92" s="0" t="n">
        <f aca="false">SIMM_Delta!$I$15^2*$B$92*$B$92</f>
        <v>15651223.2552859</v>
      </c>
      <c r="K92" s="0" t="n">
        <f aca="false">SIMM_Delta!$J$15^2*$B$92*$B$93</f>
        <v>-0</v>
      </c>
      <c r="L92" s="0" t="n">
        <f aca="false">SIMM_Delta!$K$15^2*$B$92*$B$94</f>
        <v>-0</v>
      </c>
      <c r="M92" s="0" t="n">
        <f aca="false">SIMM_Delta!$L$15^2*$B$92*$B$95</f>
        <v>-0</v>
      </c>
      <c r="N92" s="0" t="n">
        <f aca="false">SIMM_Delta!$M$15^2*$B$92*$B$96</f>
        <v>-0</v>
      </c>
    </row>
    <row r="93" customFormat="false" ht="15" hidden="false" customHeight="false" outlineLevel="0" collapsed="false">
      <c r="A93" s="0" t="str">
        <f aca="false">Inputs!$J$14</f>
        <v>10y</v>
      </c>
      <c r="B93" s="0" t="n">
        <f aca="false">D38</f>
        <v>0</v>
      </c>
      <c r="C93" s="0" t="n">
        <f aca="false">SIMM_Delta!$B$16^2*$B$93*$B$85</f>
        <v>0</v>
      </c>
      <c r="D93" s="0" t="n">
        <f aca="false">SIMM_Delta!$C$16^2*$B$93*$B$86</f>
        <v>0</v>
      </c>
      <c r="E93" s="0" t="n">
        <f aca="false">SIMM_Delta!$D$16^2*$B$93*$B$87</f>
        <v>0</v>
      </c>
      <c r="F93" s="0" t="n">
        <f aca="false">SIMM_Delta!$E$16^2*$B$93*$B$88</f>
        <v>0</v>
      </c>
      <c r="G93" s="0" t="n">
        <f aca="false">SIMM_Delta!$F$16^2*$B$93*$B$89</f>
        <v>0</v>
      </c>
      <c r="H93" s="0" t="n">
        <f aca="false">SIMM_Delta!$G$16^2*$B$93*$B$90</f>
        <v>0</v>
      </c>
      <c r="I93" s="0" t="n">
        <f aca="false">SIMM_Delta!$H$16^2*$B$93*$B$91</f>
        <v>0</v>
      </c>
      <c r="J93" s="0" t="n">
        <f aca="false">SIMM_Delta!$I$16^2*$B$93*$B$92</f>
        <v>-0</v>
      </c>
      <c r="K93" s="0" t="n">
        <f aca="false">SIMM_Delta!$J$16^2*$B$93*$B$93</f>
        <v>0</v>
      </c>
      <c r="L93" s="0" t="n">
        <f aca="false">SIMM_Delta!$K$16^2*$B$93*$B$94</f>
        <v>0</v>
      </c>
      <c r="M93" s="0" t="n">
        <f aca="false">SIMM_Delta!$L$16^2*$B$93*$B$95</f>
        <v>0</v>
      </c>
      <c r="N93" s="0" t="n">
        <f aca="false">SIMM_Delta!$M$16^2*$B$93*$B$96</f>
        <v>0</v>
      </c>
    </row>
    <row r="94" customFormat="false" ht="15" hidden="false" customHeight="false" outlineLevel="0" collapsed="false">
      <c r="A94" s="0" t="str">
        <f aca="false">Inputs!$K$14</f>
        <v>15y</v>
      </c>
      <c r="B94" s="0" t="n">
        <f aca="false">D39</f>
        <v>0</v>
      </c>
      <c r="C94" s="0" t="n">
        <f aca="false">SIMM_Delta!$B$17^2*$B$94*$B$85</f>
        <v>0</v>
      </c>
      <c r="D94" s="0" t="n">
        <f aca="false">SIMM_Delta!$C$17^2*$B$94*$B$86</f>
        <v>0</v>
      </c>
      <c r="E94" s="0" t="n">
        <f aca="false">SIMM_Delta!$D$17^2*$B$94*$B$87</f>
        <v>0</v>
      </c>
      <c r="F94" s="0" t="n">
        <f aca="false">SIMM_Delta!$E$17^2*$B$94*$B$88</f>
        <v>0</v>
      </c>
      <c r="G94" s="0" t="n">
        <f aca="false">SIMM_Delta!$F$17^2*$B$94*$B$89</f>
        <v>0</v>
      </c>
      <c r="H94" s="0" t="n">
        <f aca="false">SIMM_Delta!$G$17^2*$B$94*$B$90</f>
        <v>0</v>
      </c>
      <c r="I94" s="0" t="n">
        <f aca="false">SIMM_Delta!$H$17^2*$B$94*$B$91</f>
        <v>0</v>
      </c>
      <c r="J94" s="0" t="n">
        <f aca="false">SIMM_Delta!$I$17^2*$B$94*$B$92</f>
        <v>-0</v>
      </c>
      <c r="K94" s="0" t="n">
        <f aca="false">SIMM_Delta!$J$17^2*$B$94*$B$93</f>
        <v>0</v>
      </c>
      <c r="L94" s="0" t="n">
        <f aca="false">SIMM_Delta!$K$17^2*$B$94*$B$94</f>
        <v>0</v>
      </c>
      <c r="M94" s="0" t="n">
        <f aca="false">SIMM_Delta!$L$17^2*$B$94*$B$95</f>
        <v>0</v>
      </c>
      <c r="N94" s="0" t="n">
        <f aca="false">SIMM_Delta!$M$17^2*$B$94*$B$96</f>
        <v>0</v>
      </c>
    </row>
    <row r="95" customFormat="false" ht="15" hidden="false" customHeight="false" outlineLevel="0" collapsed="false">
      <c r="A95" s="0" t="str">
        <f aca="false">Inputs!$L$14</f>
        <v>20y</v>
      </c>
      <c r="B95" s="0" t="n">
        <f aca="false">D40</f>
        <v>0</v>
      </c>
      <c r="C95" s="0" t="n">
        <f aca="false">SIMM_Delta!$B$18^2*$B$95*$B$85</f>
        <v>0</v>
      </c>
      <c r="D95" s="0" t="n">
        <f aca="false">SIMM_Delta!$C$18^2*$B$95*$B$86</f>
        <v>0</v>
      </c>
      <c r="E95" s="0" t="n">
        <f aca="false">SIMM_Delta!$D$18^2*$B$95*$B$87</f>
        <v>0</v>
      </c>
      <c r="F95" s="0" t="n">
        <f aca="false">SIMM_Delta!$E$18^2*$B$95*$B$88</f>
        <v>0</v>
      </c>
      <c r="G95" s="0" t="n">
        <f aca="false">SIMM_Delta!$F$18^2*$B$95*$B$89</f>
        <v>0</v>
      </c>
      <c r="H95" s="0" t="n">
        <f aca="false">SIMM_Delta!$G$18^2*$B$95*$B$90</f>
        <v>0</v>
      </c>
      <c r="I95" s="0" t="n">
        <f aca="false">SIMM_Delta!$H$18^2*$B$95*$B$91</f>
        <v>0</v>
      </c>
      <c r="J95" s="0" t="n">
        <f aca="false">SIMM_Delta!$I$18^2*$B$95*$B$92</f>
        <v>-0</v>
      </c>
      <c r="K95" s="0" t="n">
        <f aca="false">SIMM_Delta!$J$18^2*$B$95*$B$93</f>
        <v>0</v>
      </c>
      <c r="L95" s="0" t="n">
        <f aca="false">SIMM_Delta!$K$18^2*$B$95*$B$94</f>
        <v>0</v>
      </c>
      <c r="M95" s="0" t="n">
        <f aca="false">SIMM_Delta!$L$18^2*$B$95*$B$95</f>
        <v>0</v>
      </c>
      <c r="N95" s="0" t="n">
        <f aca="false">SIMM_Delta!$M$18^2*$B$95*$B$96</f>
        <v>0</v>
      </c>
    </row>
    <row r="96" customFormat="false" ht="15" hidden="false" customHeight="false" outlineLevel="0" collapsed="false">
      <c r="A96" s="0" t="str">
        <f aca="false">Inputs!$M$14</f>
        <v>30y</v>
      </c>
      <c r="B96" s="0" t="n">
        <f aca="false">D41</f>
        <v>0</v>
      </c>
      <c r="C96" s="0" t="n">
        <f aca="false">SIMM_Delta!$B$19^2*$B$96*$B$85</f>
        <v>0</v>
      </c>
      <c r="D96" s="0" t="n">
        <f aca="false">SIMM_Delta!$C$19^2*$B$96*$B$86</f>
        <v>0</v>
      </c>
      <c r="E96" s="0" t="n">
        <f aca="false">SIMM_Delta!$D$19^2*$B$96*$B$87</f>
        <v>0</v>
      </c>
      <c r="F96" s="0" t="n">
        <f aca="false">SIMM_Delta!$E$19^2*$B$96*$B$88</f>
        <v>0</v>
      </c>
      <c r="G96" s="0" t="n">
        <f aca="false">SIMM_Delta!$F$19^2*$B$96*$B$89</f>
        <v>0</v>
      </c>
      <c r="H96" s="0" t="n">
        <f aca="false">SIMM_Delta!$G$19^2*$B$96*$B$90</f>
        <v>0</v>
      </c>
      <c r="I96" s="0" t="n">
        <f aca="false">SIMM_Delta!$H$19^2*$B$96*$B$91</f>
        <v>0</v>
      </c>
      <c r="J96" s="0" t="n">
        <f aca="false">SIMM_Delta!$I$19^2*$B$96*$B$92</f>
        <v>-0</v>
      </c>
      <c r="K96" s="0" t="n">
        <f aca="false">SIMM_Delta!$J$19^2*$B$96*$B$93</f>
        <v>0</v>
      </c>
      <c r="L96" s="0" t="n">
        <f aca="false">SIMM_Delta!$K$19^2*$B$96*$B$94</f>
        <v>0</v>
      </c>
      <c r="M96" s="0" t="n">
        <f aca="false">SIMM_Delta!$L$19^2*$B$96*$B$95</f>
        <v>0</v>
      </c>
      <c r="N96" s="0" t="n">
        <f aca="false">SIMM_Delta!$M$19^2*$B$96*$B$96</f>
        <v>0</v>
      </c>
    </row>
    <row r="97" customFormat="false" ht="15" hidden="false" customHeight="false" outlineLevel="0" collapsed="false">
      <c r="A97" s="1" t="s">
        <v>43</v>
      </c>
      <c r="B97" s="0" t="str">
        <f aca="false">Inputs!$E$13</f>
        <v>JPY</v>
      </c>
    </row>
    <row r="98" customFormat="false" ht="15" hidden="false" customHeight="false" outlineLevel="0" collapsed="false">
      <c r="A98" s="1" t="s">
        <v>257</v>
      </c>
      <c r="B98" s="0" t="n">
        <f aca="false">SQRT(MAX(0,SUM(C101:N112)))</f>
        <v>0</v>
      </c>
    </row>
    <row r="99" customFormat="false" ht="15" hidden="false" customHeight="false" outlineLevel="0" collapsed="false">
      <c r="A99" s="1" t="s">
        <v>417</v>
      </c>
      <c r="B99" s="0" t="n">
        <f aca="false">MAX(-B98,MIN(B98,SUM(B101:B112)))</f>
        <v>0</v>
      </c>
    </row>
    <row r="100" customFormat="false" ht="15" hidden="false" customHeight="false" outlineLevel="0" collapsed="false">
      <c r="A100" s="1" t="s">
        <v>418</v>
      </c>
      <c r="B100" s="1" t="s">
        <v>485</v>
      </c>
      <c r="C100" s="1" t="str">
        <f aca="false">Inputs!$B$14</f>
        <v>2w</v>
      </c>
      <c r="D100" s="1" t="str">
        <f aca="false">Inputs!$C$14</f>
        <v>1m</v>
      </c>
      <c r="E100" s="1" t="str">
        <f aca="false">Inputs!$D$14</f>
        <v>3m</v>
      </c>
      <c r="F100" s="1" t="str">
        <f aca="false">Inputs!$E$14</f>
        <v>6m</v>
      </c>
      <c r="G100" s="1" t="str">
        <f aca="false">Inputs!$F$14</f>
        <v>1y</v>
      </c>
      <c r="H100" s="1" t="str">
        <f aca="false">Inputs!$G$14</f>
        <v>2y</v>
      </c>
      <c r="I100" s="1" t="str">
        <f aca="false">Inputs!$H$14</f>
        <v>3y</v>
      </c>
      <c r="J100" s="1" t="str">
        <f aca="false">Inputs!$I$14</f>
        <v>5y</v>
      </c>
      <c r="K100" s="1" t="str">
        <f aca="false">Inputs!$J$14</f>
        <v>10y</v>
      </c>
      <c r="L100" s="1" t="str">
        <f aca="false">Inputs!$K$14</f>
        <v>15y</v>
      </c>
      <c r="M100" s="1" t="str">
        <f aca="false">Inputs!$L$14</f>
        <v>20y</v>
      </c>
      <c r="N100" s="1" t="str">
        <f aca="false">Inputs!$M$14</f>
        <v>30y</v>
      </c>
    </row>
    <row r="101" customFormat="false" ht="15" hidden="false" customHeight="false" outlineLevel="0" collapsed="false">
      <c r="A101" s="0" t="str">
        <f aca="false">Inputs!$B$14</f>
        <v>2w</v>
      </c>
      <c r="B101" s="0" t="n">
        <f aca="false">E30</f>
        <v>0</v>
      </c>
      <c r="C101" s="0" t="n">
        <f aca="false">SIMM_Delta!$B$8^2*$B$101*$B$101</f>
        <v>0</v>
      </c>
      <c r="D101" s="0" t="n">
        <f aca="false">SIMM_Delta!$C$8^2*$B$101*$B$102</f>
        <v>0</v>
      </c>
      <c r="E101" s="0" t="n">
        <f aca="false">SIMM_Delta!$D$8^2*$B$101*$B$103</f>
        <v>0</v>
      </c>
      <c r="F101" s="0" t="n">
        <f aca="false">SIMM_Delta!$E$8^2*$B$101*$B$104</f>
        <v>0</v>
      </c>
      <c r="G101" s="0" t="n">
        <f aca="false">SIMM_Delta!$F$8^2*$B$101*$B$105</f>
        <v>0</v>
      </c>
      <c r="H101" s="0" t="n">
        <f aca="false">SIMM_Delta!$G$8^2*$B$101*$B$106</f>
        <v>0</v>
      </c>
      <c r="I101" s="0" t="n">
        <f aca="false">SIMM_Delta!$H$8^2*$B$101*$B$107</f>
        <v>0</v>
      </c>
      <c r="J101" s="0" t="n">
        <f aca="false">SIMM_Delta!$I$8^2*$B$101*$B$108</f>
        <v>0</v>
      </c>
      <c r="K101" s="0" t="n">
        <f aca="false">SIMM_Delta!$J$8^2*$B$101*$B$109</f>
        <v>0</v>
      </c>
      <c r="L101" s="0" t="n">
        <f aca="false">SIMM_Delta!$K$8^2*$B$101*$B$110</f>
        <v>0</v>
      </c>
      <c r="M101" s="0" t="n">
        <f aca="false">SIMM_Delta!$L$8^2*$B$101*$B$111</f>
        <v>0</v>
      </c>
      <c r="N101" s="0" t="n">
        <f aca="false">SIMM_Delta!$M$8^2*$B$101*$B$112</f>
        <v>0</v>
      </c>
    </row>
    <row r="102" customFormat="false" ht="15" hidden="false" customHeight="false" outlineLevel="0" collapsed="false">
      <c r="A102" s="0" t="str">
        <f aca="false">Inputs!$C$14</f>
        <v>1m</v>
      </c>
      <c r="B102" s="0" t="n">
        <f aca="false">E31</f>
        <v>0</v>
      </c>
      <c r="C102" s="0" t="n">
        <f aca="false">SIMM_Delta!$B$9^2*$B$102*$B$101</f>
        <v>0</v>
      </c>
      <c r="D102" s="0" t="n">
        <f aca="false">SIMM_Delta!$C$9^2*$B$102*$B$102</f>
        <v>0</v>
      </c>
      <c r="E102" s="0" t="n">
        <f aca="false">SIMM_Delta!$D$9^2*$B$102*$B$103</f>
        <v>0</v>
      </c>
      <c r="F102" s="0" t="n">
        <f aca="false">SIMM_Delta!$E$9^2*$B$102*$B$104</f>
        <v>0</v>
      </c>
      <c r="G102" s="0" t="n">
        <f aca="false">SIMM_Delta!$F$9^2*$B$102*$B$105</f>
        <v>0</v>
      </c>
      <c r="H102" s="0" t="n">
        <f aca="false">SIMM_Delta!$G$9^2*$B$102*$B$106</f>
        <v>0</v>
      </c>
      <c r="I102" s="0" t="n">
        <f aca="false">SIMM_Delta!$H$9^2*$B$102*$B$107</f>
        <v>0</v>
      </c>
      <c r="J102" s="0" t="n">
        <f aca="false">SIMM_Delta!$I$9^2*$B$102*$B$108</f>
        <v>0</v>
      </c>
      <c r="K102" s="0" t="n">
        <f aca="false">SIMM_Delta!$J$9^2*$B$102*$B$109</f>
        <v>0</v>
      </c>
      <c r="L102" s="0" t="n">
        <f aca="false">SIMM_Delta!$K$9^2*$B$102*$B$110</f>
        <v>0</v>
      </c>
      <c r="M102" s="0" t="n">
        <f aca="false">SIMM_Delta!$L$9^2*$B$102*$B$111</f>
        <v>0</v>
      </c>
      <c r="N102" s="0" t="n">
        <f aca="false">SIMM_Delta!$M$9^2*$B$102*$B$112</f>
        <v>0</v>
      </c>
    </row>
    <row r="103" customFormat="false" ht="15" hidden="false" customHeight="false" outlineLevel="0" collapsed="false">
      <c r="A103" s="0" t="str">
        <f aca="false">Inputs!$D$14</f>
        <v>3m</v>
      </c>
      <c r="B103" s="0" t="n">
        <f aca="false">E32</f>
        <v>0</v>
      </c>
      <c r="C103" s="0" t="n">
        <f aca="false">SIMM_Delta!$B$10^2*$B$103*$B$101</f>
        <v>0</v>
      </c>
      <c r="D103" s="0" t="n">
        <f aca="false">SIMM_Delta!$C$10^2*$B$103*$B$102</f>
        <v>0</v>
      </c>
      <c r="E103" s="0" t="n">
        <f aca="false">SIMM_Delta!$D$10^2*$B$103*$B$103</f>
        <v>0</v>
      </c>
      <c r="F103" s="0" t="n">
        <f aca="false">SIMM_Delta!$E$10^2*$B$103*$B$104</f>
        <v>0</v>
      </c>
      <c r="G103" s="0" t="n">
        <f aca="false">SIMM_Delta!$F$10^2*$B$103*$B$105</f>
        <v>0</v>
      </c>
      <c r="H103" s="0" t="n">
        <f aca="false">SIMM_Delta!$G$10^2*$B$103*$B$106</f>
        <v>0</v>
      </c>
      <c r="I103" s="0" t="n">
        <f aca="false">SIMM_Delta!$H$10^2*$B$103*$B$107</f>
        <v>0</v>
      </c>
      <c r="J103" s="0" t="n">
        <f aca="false">SIMM_Delta!$I$10^2*$B$103*$B$108</f>
        <v>0</v>
      </c>
      <c r="K103" s="0" t="n">
        <f aca="false">SIMM_Delta!$J$10^2*$B$103*$B$109</f>
        <v>0</v>
      </c>
      <c r="L103" s="0" t="n">
        <f aca="false">SIMM_Delta!$K$10^2*$B$103*$B$110</f>
        <v>0</v>
      </c>
      <c r="M103" s="0" t="n">
        <f aca="false">SIMM_Delta!$L$10^2*$B$103*$B$111</f>
        <v>0</v>
      </c>
      <c r="N103" s="0" t="n">
        <f aca="false">SIMM_Delta!$M$10^2*$B$103*$B$112</f>
        <v>0</v>
      </c>
    </row>
    <row r="104" customFormat="false" ht="15" hidden="false" customHeight="false" outlineLevel="0" collapsed="false">
      <c r="A104" s="0" t="str">
        <f aca="false">Inputs!$E$14</f>
        <v>6m</v>
      </c>
      <c r="B104" s="0" t="n">
        <f aca="false">E33</f>
        <v>0</v>
      </c>
      <c r="C104" s="0" t="n">
        <f aca="false">SIMM_Delta!$B$11^2*$B$104*$B$101</f>
        <v>0</v>
      </c>
      <c r="D104" s="0" t="n">
        <f aca="false">SIMM_Delta!$C$11^2*$B$104*$B$102</f>
        <v>0</v>
      </c>
      <c r="E104" s="0" t="n">
        <f aca="false">SIMM_Delta!$D$11^2*$B$104*$B$103</f>
        <v>0</v>
      </c>
      <c r="F104" s="0" t="n">
        <f aca="false">SIMM_Delta!$E$11^2*$B$104*$B$104</f>
        <v>0</v>
      </c>
      <c r="G104" s="0" t="n">
        <f aca="false">SIMM_Delta!$F$11^2*$B$104*$B$105</f>
        <v>0</v>
      </c>
      <c r="H104" s="0" t="n">
        <f aca="false">SIMM_Delta!$G$11^2*$B$104*$B$106</f>
        <v>0</v>
      </c>
      <c r="I104" s="0" t="n">
        <f aca="false">SIMM_Delta!$H$11^2*$B$104*$B$107</f>
        <v>0</v>
      </c>
      <c r="J104" s="0" t="n">
        <f aca="false">SIMM_Delta!$I$11^2*$B$104*$B$108</f>
        <v>0</v>
      </c>
      <c r="K104" s="0" t="n">
        <f aca="false">SIMM_Delta!$J$11^2*$B$104*$B$109</f>
        <v>0</v>
      </c>
      <c r="L104" s="0" t="n">
        <f aca="false">SIMM_Delta!$K$11^2*$B$104*$B$110</f>
        <v>0</v>
      </c>
      <c r="M104" s="0" t="n">
        <f aca="false">SIMM_Delta!$L$11^2*$B$104*$B$111</f>
        <v>0</v>
      </c>
      <c r="N104" s="0" t="n">
        <f aca="false">SIMM_Delta!$M$11^2*$B$104*$B$112</f>
        <v>0</v>
      </c>
    </row>
    <row r="105" customFormat="false" ht="15" hidden="false" customHeight="false" outlineLevel="0" collapsed="false">
      <c r="A105" s="0" t="str">
        <f aca="false">Inputs!$F$14</f>
        <v>1y</v>
      </c>
      <c r="B105" s="0" t="n">
        <f aca="false">E34</f>
        <v>0</v>
      </c>
      <c r="C105" s="0" t="n">
        <f aca="false">SIMM_Delta!$B$12^2*$B$105*$B$101</f>
        <v>0</v>
      </c>
      <c r="D105" s="0" t="n">
        <f aca="false">SIMM_Delta!$C$12^2*$B$105*$B$102</f>
        <v>0</v>
      </c>
      <c r="E105" s="0" t="n">
        <f aca="false">SIMM_Delta!$D$12^2*$B$105*$B$103</f>
        <v>0</v>
      </c>
      <c r="F105" s="0" t="n">
        <f aca="false">SIMM_Delta!$E$12^2*$B$105*$B$104</f>
        <v>0</v>
      </c>
      <c r="G105" s="0" t="n">
        <f aca="false">SIMM_Delta!$F$12^2*$B$105*$B$105</f>
        <v>0</v>
      </c>
      <c r="H105" s="0" t="n">
        <f aca="false">SIMM_Delta!$G$12^2*$B$105*$B$106</f>
        <v>0</v>
      </c>
      <c r="I105" s="0" t="n">
        <f aca="false">SIMM_Delta!$H$12^2*$B$105*$B$107</f>
        <v>0</v>
      </c>
      <c r="J105" s="0" t="n">
        <f aca="false">SIMM_Delta!$I$12^2*$B$105*$B$108</f>
        <v>0</v>
      </c>
      <c r="K105" s="0" t="n">
        <f aca="false">SIMM_Delta!$J$12^2*$B$105*$B$109</f>
        <v>0</v>
      </c>
      <c r="L105" s="0" t="n">
        <f aca="false">SIMM_Delta!$K$12^2*$B$105*$B$110</f>
        <v>0</v>
      </c>
      <c r="M105" s="0" t="n">
        <f aca="false">SIMM_Delta!$L$12^2*$B$105*$B$111</f>
        <v>0</v>
      </c>
      <c r="N105" s="0" t="n">
        <f aca="false">SIMM_Delta!$M$12^2*$B$105*$B$112</f>
        <v>0</v>
      </c>
    </row>
    <row r="106" customFormat="false" ht="15" hidden="false" customHeight="false" outlineLevel="0" collapsed="false">
      <c r="A106" s="0" t="str">
        <f aca="false">Inputs!$G$14</f>
        <v>2y</v>
      </c>
      <c r="B106" s="0" t="n">
        <f aca="false">E35</f>
        <v>0</v>
      </c>
      <c r="C106" s="0" t="n">
        <f aca="false">SIMM_Delta!$B$13^2*$B$106*$B$101</f>
        <v>0</v>
      </c>
      <c r="D106" s="0" t="n">
        <f aca="false">SIMM_Delta!$C$13^2*$B$106*$B$102</f>
        <v>0</v>
      </c>
      <c r="E106" s="0" t="n">
        <f aca="false">SIMM_Delta!$D$13^2*$B$106*$B$103</f>
        <v>0</v>
      </c>
      <c r="F106" s="0" t="n">
        <f aca="false">SIMM_Delta!$E$13^2*$B$106*$B$104</f>
        <v>0</v>
      </c>
      <c r="G106" s="0" t="n">
        <f aca="false">SIMM_Delta!$F$13^2*$B$106*$B$105</f>
        <v>0</v>
      </c>
      <c r="H106" s="0" t="n">
        <f aca="false">SIMM_Delta!$G$13^2*$B$106*$B$106</f>
        <v>0</v>
      </c>
      <c r="I106" s="0" t="n">
        <f aca="false">SIMM_Delta!$H$13^2*$B$106*$B$107</f>
        <v>0</v>
      </c>
      <c r="J106" s="0" t="n">
        <f aca="false">SIMM_Delta!$I$13^2*$B$106*$B$108</f>
        <v>0</v>
      </c>
      <c r="K106" s="0" t="n">
        <f aca="false">SIMM_Delta!$J$13^2*$B$106*$B$109</f>
        <v>0</v>
      </c>
      <c r="L106" s="0" t="n">
        <f aca="false">SIMM_Delta!$K$13^2*$B$106*$B$110</f>
        <v>0</v>
      </c>
      <c r="M106" s="0" t="n">
        <f aca="false">SIMM_Delta!$L$13^2*$B$106*$B$111</f>
        <v>0</v>
      </c>
      <c r="N106" s="0" t="n">
        <f aca="false">SIMM_Delta!$M$13^2*$B$106*$B$112</f>
        <v>0</v>
      </c>
    </row>
    <row r="107" customFormat="false" ht="15" hidden="false" customHeight="false" outlineLevel="0" collapsed="false">
      <c r="A107" s="0" t="str">
        <f aca="false">Inputs!$H$14</f>
        <v>3y</v>
      </c>
      <c r="B107" s="0" t="n">
        <f aca="false">E36</f>
        <v>0</v>
      </c>
      <c r="C107" s="0" t="n">
        <f aca="false">SIMM_Delta!$B$14^2*$B$107*$B$101</f>
        <v>0</v>
      </c>
      <c r="D107" s="0" t="n">
        <f aca="false">SIMM_Delta!$C$14^2*$B$107*$B$102</f>
        <v>0</v>
      </c>
      <c r="E107" s="0" t="n">
        <f aca="false">SIMM_Delta!$D$14^2*$B$107*$B$103</f>
        <v>0</v>
      </c>
      <c r="F107" s="0" t="n">
        <f aca="false">SIMM_Delta!$E$14^2*$B$107*$B$104</f>
        <v>0</v>
      </c>
      <c r="G107" s="0" t="n">
        <f aca="false">SIMM_Delta!$F$14^2*$B$107*$B$105</f>
        <v>0</v>
      </c>
      <c r="H107" s="0" t="n">
        <f aca="false">SIMM_Delta!$G$14^2*$B$107*$B$106</f>
        <v>0</v>
      </c>
      <c r="I107" s="0" t="n">
        <f aca="false">SIMM_Delta!$H$14^2*$B$107*$B$107</f>
        <v>0</v>
      </c>
      <c r="J107" s="0" t="n">
        <f aca="false">SIMM_Delta!$I$14^2*$B$107*$B$108</f>
        <v>0</v>
      </c>
      <c r="K107" s="0" t="n">
        <f aca="false">SIMM_Delta!$J$14^2*$B$107*$B$109</f>
        <v>0</v>
      </c>
      <c r="L107" s="0" t="n">
        <f aca="false">SIMM_Delta!$K$14^2*$B$107*$B$110</f>
        <v>0</v>
      </c>
      <c r="M107" s="0" t="n">
        <f aca="false">SIMM_Delta!$L$14^2*$B$107*$B$111</f>
        <v>0</v>
      </c>
      <c r="N107" s="0" t="n">
        <f aca="false">SIMM_Delta!$M$14^2*$B$107*$B$112</f>
        <v>0</v>
      </c>
    </row>
    <row r="108" customFormat="false" ht="15" hidden="false" customHeight="false" outlineLevel="0" collapsed="false">
      <c r="A108" s="0" t="str">
        <f aca="false">Inputs!$I$14</f>
        <v>5y</v>
      </c>
      <c r="B108" s="0" t="n">
        <f aca="false">E37</f>
        <v>0</v>
      </c>
      <c r="C108" s="0" t="n">
        <f aca="false">SIMM_Delta!$B$15^2*$B$108*$B$101</f>
        <v>0</v>
      </c>
      <c r="D108" s="0" t="n">
        <f aca="false">SIMM_Delta!$C$15^2*$B$108*$B$102</f>
        <v>0</v>
      </c>
      <c r="E108" s="0" t="n">
        <f aca="false">SIMM_Delta!$D$15^2*$B$108*$B$103</f>
        <v>0</v>
      </c>
      <c r="F108" s="0" t="n">
        <f aca="false">SIMM_Delta!$E$15^2*$B$108*$B$104</f>
        <v>0</v>
      </c>
      <c r="G108" s="0" t="n">
        <f aca="false">SIMM_Delta!$F$15^2*$B$108*$B$105</f>
        <v>0</v>
      </c>
      <c r="H108" s="0" t="n">
        <f aca="false">SIMM_Delta!$G$15^2*$B$108*$B$106</f>
        <v>0</v>
      </c>
      <c r="I108" s="0" t="n">
        <f aca="false">SIMM_Delta!$H$15^2*$B$108*$B$107</f>
        <v>0</v>
      </c>
      <c r="J108" s="0" t="n">
        <f aca="false">SIMM_Delta!$I$15^2*$B$108*$B$108</f>
        <v>0</v>
      </c>
      <c r="K108" s="0" t="n">
        <f aca="false">SIMM_Delta!$J$15^2*$B$108*$B$109</f>
        <v>0</v>
      </c>
      <c r="L108" s="0" t="n">
        <f aca="false">SIMM_Delta!$K$15^2*$B$108*$B$110</f>
        <v>0</v>
      </c>
      <c r="M108" s="0" t="n">
        <f aca="false">SIMM_Delta!$L$15^2*$B$108*$B$111</f>
        <v>0</v>
      </c>
      <c r="N108" s="0" t="n">
        <f aca="false">SIMM_Delta!$M$15^2*$B$108*$B$112</f>
        <v>0</v>
      </c>
    </row>
    <row r="109" customFormat="false" ht="15" hidden="false" customHeight="false" outlineLevel="0" collapsed="false">
      <c r="A109" s="0" t="str">
        <f aca="false">Inputs!$J$14</f>
        <v>10y</v>
      </c>
      <c r="B109" s="0" t="n">
        <f aca="false">E38</f>
        <v>0</v>
      </c>
      <c r="C109" s="0" t="n">
        <f aca="false">SIMM_Delta!$B$16^2*$B$109*$B$101</f>
        <v>0</v>
      </c>
      <c r="D109" s="0" t="n">
        <f aca="false">SIMM_Delta!$C$16^2*$B$109*$B$102</f>
        <v>0</v>
      </c>
      <c r="E109" s="0" t="n">
        <f aca="false">SIMM_Delta!$D$16^2*$B$109*$B$103</f>
        <v>0</v>
      </c>
      <c r="F109" s="0" t="n">
        <f aca="false">SIMM_Delta!$E$16^2*$B$109*$B$104</f>
        <v>0</v>
      </c>
      <c r="G109" s="0" t="n">
        <f aca="false">SIMM_Delta!$F$16^2*$B$109*$B$105</f>
        <v>0</v>
      </c>
      <c r="H109" s="0" t="n">
        <f aca="false">SIMM_Delta!$G$16^2*$B$109*$B$106</f>
        <v>0</v>
      </c>
      <c r="I109" s="0" t="n">
        <f aca="false">SIMM_Delta!$H$16^2*$B$109*$B$107</f>
        <v>0</v>
      </c>
      <c r="J109" s="0" t="n">
        <f aca="false">SIMM_Delta!$I$16^2*$B$109*$B$108</f>
        <v>0</v>
      </c>
      <c r="K109" s="0" t="n">
        <f aca="false">SIMM_Delta!$J$16^2*$B$109*$B$109</f>
        <v>0</v>
      </c>
      <c r="L109" s="0" t="n">
        <f aca="false">SIMM_Delta!$K$16^2*$B$109*$B$110</f>
        <v>0</v>
      </c>
      <c r="M109" s="0" t="n">
        <f aca="false">SIMM_Delta!$L$16^2*$B$109*$B$111</f>
        <v>0</v>
      </c>
      <c r="N109" s="0" t="n">
        <f aca="false">SIMM_Delta!$M$16^2*$B$109*$B$112</f>
        <v>0</v>
      </c>
    </row>
    <row r="110" customFormat="false" ht="15" hidden="false" customHeight="false" outlineLevel="0" collapsed="false">
      <c r="A110" s="0" t="str">
        <f aca="false">Inputs!$K$14</f>
        <v>15y</v>
      </c>
      <c r="B110" s="0" t="n">
        <f aca="false">E39</f>
        <v>0</v>
      </c>
      <c r="C110" s="0" t="n">
        <f aca="false">SIMM_Delta!$B$17^2*$B$110*$B$101</f>
        <v>0</v>
      </c>
      <c r="D110" s="0" t="n">
        <f aca="false">SIMM_Delta!$C$17^2*$B$110*$B$102</f>
        <v>0</v>
      </c>
      <c r="E110" s="0" t="n">
        <f aca="false">SIMM_Delta!$D$17^2*$B$110*$B$103</f>
        <v>0</v>
      </c>
      <c r="F110" s="0" t="n">
        <f aca="false">SIMM_Delta!$E$17^2*$B$110*$B$104</f>
        <v>0</v>
      </c>
      <c r="G110" s="0" t="n">
        <f aca="false">SIMM_Delta!$F$17^2*$B$110*$B$105</f>
        <v>0</v>
      </c>
      <c r="H110" s="0" t="n">
        <f aca="false">SIMM_Delta!$G$17^2*$B$110*$B$106</f>
        <v>0</v>
      </c>
      <c r="I110" s="0" t="n">
        <f aca="false">SIMM_Delta!$H$17^2*$B$110*$B$107</f>
        <v>0</v>
      </c>
      <c r="J110" s="0" t="n">
        <f aca="false">SIMM_Delta!$I$17^2*$B$110*$B$108</f>
        <v>0</v>
      </c>
      <c r="K110" s="0" t="n">
        <f aca="false">SIMM_Delta!$J$17^2*$B$110*$B$109</f>
        <v>0</v>
      </c>
      <c r="L110" s="0" t="n">
        <f aca="false">SIMM_Delta!$K$17^2*$B$110*$B$110</f>
        <v>0</v>
      </c>
      <c r="M110" s="0" t="n">
        <f aca="false">SIMM_Delta!$L$17^2*$B$110*$B$111</f>
        <v>0</v>
      </c>
      <c r="N110" s="0" t="n">
        <f aca="false">SIMM_Delta!$M$17^2*$B$110*$B$112</f>
        <v>0</v>
      </c>
    </row>
    <row r="111" customFormat="false" ht="15" hidden="false" customHeight="false" outlineLevel="0" collapsed="false">
      <c r="A111" s="0" t="str">
        <f aca="false">Inputs!$L$14</f>
        <v>20y</v>
      </c>
      <c r="B111" s="0" t="n">
        <f aca="false">E40</f>
        <v>0</v>
      </c>
      <c r="C111" s="0" t="n">
        <f aca="false">SIMM_Delta!$B$18^2*$B$111*$B$101</f>
        <v>0</v>
      </c>
      <c r="D111" s="0" t="n">
        <f aca="false">SIMM_Delta!$C$18^2*$B$111*$B$102</f>
        <v>0</v>
      </c>
      <c r="E111" s="0" t="n">
        <f aca="false">SIMM_Delta!$D$18^2*$B$111*$B$103</f>
        <v>0</v>
      </c>
      <c r="F111" s="0" t="n">
        <f aca="false">SIMM_Delta!$E$18^2*$B$111*$B$104</f>
        <v>0</v>
      </c>
      <c r="G111" s="0" t="n">
        <f aca="false">SIMM_Delta!$F$18^2*$B$111*$B$105</f>
        <v>0</v>
      </c>
      <c r="H111" s="0" t="n">
        <f aca="false">SIMM_Delta!$G$18^2*$B$111*$B$106</f>
        <v>0</v>
      </c>
      <c r="I111" s="0" t="n">
        <f aca="false">SIMM_Delta!$H$18^2*$B$111*$B$107</f>
        <v>0</v>
      </c>
      <c r="J111" s="0" t="n">
        <f aca="false">SIMM_Delta!$I$18^2*$B$111*$B$108</f>
        <v>0</v>
      </c>
      <c r="K111" s="0" t="n">
        <f aca="false">SIMM_Delta!$J$18^2*$B$111*$B$109</f>
        <v>0</v>
      </c>
      <c r="L111" s="0" t="n">
        <f aca="false">SIMM_Delta!$K$18^2*$B$111*$B$110</f>
        <v>0</v>
      </c>
      <c r="M111" s="0" t="n">
        <f aca="false">SIMM_Delta!$L$18^2*$B$111*$B$111</f>
        <v>0</v>
      </c>
      <c r="N111" s="0" t="n">
        <f aca="false">SIMM_Delta!$M$18^2*$B$111*$B$112</f>
        <v>0</v>
      </c>
    </row>
    <row r="112" customFormat="false" ht="15" hidden="false" customHeight="false" outlineLevel="0" collapsed="false">
      <c r="A112" s="0" t="str">
        <f aca="false">Inputs!$M$14</f>
        <v>30y</v>
      </c>
      <c r="B112" s="0" t="n">
        <f aca="false">E41</f>
        <v>0</v>
      </c>
      <c r="C112" s="0" t="n">
        <f aca="false">SIMM_Delta!$B$19^2*$B$112*$B$101</f>
        <v>0</v>
      </c>
      <c r="D112" s="0" t="n">
        <f aca="false">SIMM_Delta!$C$19^2*$B$112*$B$102</f>
        <v>0</v>
      </c>
      <c r="E112" s="0" t="n">
        <f aca="false">SIMM_Delta!$D$19^2*$B$112*$B$103</f>
        <v>0</v>
      </c>
      <c r="F112" s="0" t="n">
        <f aca="false">SIMM_Delta!$E$19^2*$B$112*$B$104</f>
        <v>0</v>
      </c>
      <c r="G112" s="0" t="n">
        <f aca="false">SIMM_Delta!$F$19^2*$B$112*$B$105</f>
        <v>0</v>
      </c>
      <c r="H112" s="0" t="n">
        <f aca="false">SIMM_Delta!$G$19^2*$B$112*$B$106</f>
        <v>0</v>
      </c>
      <c r="I112" s="0" t="n">
        <f aca="false">SIMM_Delta!$H$19^2*$B$112*$B$107</f>
        <v>0</v>
      </c>
      <c r="J112" s="0" t="n">
        <f aca="false">SIMM_Delta!$I$19^2*$B$112*$B$108</f>
        <v>0</v>
      </c>
      <c r="K112" s="0" t="n">
        <f aca="false">SIMM_Delta!$J$19^2*$B$112*$B$109</f>
        <v>0</v>
      </c>
      <c r="L112" s="0" t="n">
        <f aca="false">SIMM_Delta!$K$19^2*$B$112*$B$110</f>
        <v>0</v>
      </c>
      <c r="M112" s="0" t="n">
        <f aca="false">SIMM_Delta!$L$19^2*$B$112*$B$111</f>
        <v>0</v>
      </c>
      <c r="N112" s="0" t="n">
        <f aca="false">SIMM_Delta!$M$19^2*$B$112*$B$112</f>
        <v>0</v>
      </c>
    </row>
    <row r="113" customFormat="false" ht="15" hidden="false" customHeight="false" outlineLevel="0" collapsed="false">
      <c r="A113" s="1" t="s">
        <v>43</v>
      </c>
      <c r="B113" s="0" t="str">
        <f aca="false">Inputs!$F$13</f>
        <v>MXN</v>
      </c>
    </row>
    <row r="114" customFormat="false" ht="15" hidden="false" customHeight="false" outlineLevel="0" collapsed="false">
      <c r="A114" s="1" t="s">
        <v>257</v>
      </c>
      <c r="B114" s="0" t="n">
        <f aca="false">SQRT(MAX(0,SUM(C117:N128)))</f>
        <v>0</v>
      </c>
    </row>
    <row r="115" customFormat="false" ht="15" hidden="false" customHeight="false" outlineLevel="0" collapsed="false">
      <c r="A115" s="1" t="s">
        <v>417</v>
      </c>
      <c r="B115" s="0" t="n">
        <f aca="false">MAX(-B114,MIN(B114,SUM(B117:B128)))</f>
        <v>0</v>
      </c>
    </row>
    <row r="116" customFormat="false" ht="15" hidden="false" customHeight="false" outlineLevel="0" collapsed="false">
      <c r="A116" s="1" t="s">
        <v>418</v>
      </c>
      <c r="B116" s="1" t="s">
        <v>485</v>
      </c>
      <c r="C116" s="1" t="str">
        <f aca="false">Inputs!$B$14</f>
        <v>2w</v>
      </c>
      <c r="D116" s="1" t="str">
        <f aca="false">Inputs!$C$14</f>
        <v>1m</v>
      </c>
      <c r="E116" s="1" t="str">
        <f aca="false">Inputs!$D$14</f>
        <v>3m</v>
      </c>
      <c r="F116" s="1" t="str">
        <f aca="false">Inputs!$E$14</f>
        <v>6m</v>
      </c>
      <c r="G116" s="1" t="str">
        <f aca="false">Inputs!$F$14</f>
        <v>1y</v>
      </c>
      <c r="H116" s="1" t="str">
        <f aca="false">Inputs!$G$14</f>
        <v>2y</v>
      </c>
      <c r="I116" s="1" t="str">
        <f aca="false">Inputs!$H$14</f>
        <v>3y</v>
      </c>
      <c r="J116" s="1" t="str">
        <f aca="false">Inputs!$I$14</f>
        <v>5y</v>
      </c>
      <c r="K116" s="1" t="str">
        <f aca="false">Inputs!$J$14</f>
        <v>10y</v>
      </c>
      <c r="L116" s="1" t="str">
        <f aca="false">Inputs!$K$14</f>
        <v>15y</v>
      </c>
      <c r="M116" s="1" t="str">
        <f aca="false">Inputs!$L$14</f>
        <v>20y</v>
      </c>
      <c r="N116" s="1" t="str">
        <f aca="false">Inputs!$M$14</f>
        <v>30y</v>
      </c>
    </row>
    <row r="117" customFormat="false" ht="15" hidden="false" customHeight="false" outlineLevel="0" collapsed="false">
      <c r="A117" s="0" t="str">
        <f aca="false">Inputs!$B$14</f>
        <v>2w</v>
      </c>
      <c r="B117" s="0" t="n">
        <f aca="false">F30</f>
        <v>0</v>
      </c>
      <c r="C117" s="0" t="n">
        <f aca="false">SIMM_Delta!$B$8^2*$B$117*$B$117</f>
        <v>0</v>
      </c>
      <c r="D117" s="0" t="n">
        <f aca="false">SIMM_Delta!$C$8^2*$B$117*$B$118</f>
        <v>0</v>
      </c>
      <c r="E117" s="0" t="n">
        <f aca="false">SIMM_Delta!$D$8^2*$B$117*$B$119</f>
        <v>0</v>
      </c>
      <c r="F117" s="0" t="n">
        <f aca="false">SIMM_Delta!$E$8^2*$B$117*$B$120</f>
        <v>0</v>
      </c>
      <c r="G117" s="0" t="n">
        <f aca="false">SIMM_Delta!$F$8^2*$B$117*$B$121</f>
        <v>0</v>
      </c>
      <c r="H117" s="0" t="n">
        <f aca="false">SIMM_Delta!$G$8^2*$B$117*$B$122</f>
        <v>0</v>
      </c>
      <c r="I117" s="0" t="n">
        <f aca="false">SIMM_Delta!$H$8^2*$B$117*$B$123</f>
        <v>0</v>
      </c>
      <c r="J117" s="0" t="n">
        <f aca="false">SIMM_Delta!$I$8^2*$B$117*$B$124</f>
        <v>0</v>
      </c>
      <c r="K117" s="0" t="n">
        <f aca="false">SIMM_Delta!$J$8^2*$B$117*$B$125</f>
        <v>0</v>
      </c>
      <c r="L117" s="0" t="n">
        <f aca="false">SIMM_Delta!$K$8^2*$B$117*$B$126</f>
        <v>0</v>
      </c>
      <c r="M117" s="0" t="n">
        <f aca="false">SIMM_Delta!$L$8^2*$B$117*$B$127</f>
        <v>0</v>
      </c>
      <c r="N117" s="0" t="n">
        <f aca="false">SIMM_Delta!$M$8^2*$B$117*$B$128</f>
        <v>0</v>
      </c>
    </row>
    <row r="118" customFormat="false" ht="15" hidden="false" customHeight="false" outlineLevel="0" collapsed="false">
      <c r="A118" s="0" t="str">
        <f aca="false">Inputs!$C$14</f>
        <v>1m</v>
      </c>
      <c r="B118" s="0" t="n">
        <f aca="false">F31</f>
        <v>0</v>
      </c>
      <c r="C118" s="0" t="n">
        <f aca="false">SIMM_Delta!$B$9^2*$B$118*$B$117</f>
        <v>0</v>
      </c>
      <c r="D118" s="0" t="n">
        <f aca="false">SIMM_Delta!$C$9^2*$B$118*$B$118</f>
        <v>0</v>
      </c>
      <c r="E118" s="0" t="n">
        <f aca="false">SIMM_Delta!$D$9^2*$B$118*$B$119</f>
        <v>0</v>
      </c>
      <c r="F118" s="0" t="n">
        <f aca="false">SIMM_Delta!$E$9^2*$B$118*$B$120</f>
        <v>0</v>
      </c>
      <c r="G118" s="0" t="n">
        <f aca="false">SIMM_Delta!$F$9^2*$B$118*$B$121</f>
        <v>0</v>
      </c>
      <c r="H118" s="0" t="n">
        <f aca="false">SIMM_Delta!$G$9^2*$B$118*$B$122</f>
        <v>0</v>
      </c>
      <c r="I118" s="0" t="n">
        <f aca="false">SIMM_Delta!$H$9^2*$B$118*$B$123</f>
        <v>0</v>
      </c>
      <c r="J118" s="0" t="n">
        <f aca="false">SIMM_Delta!$I$9^2*$B$118*$B$124</f>
        <v>0</v>
      </c>
      <c r="K118" s="0" t="n">
        <f aca="false">SIMM_Delta!$J$9^2*$B$118*$B$125</f>
        <v>0</v>
      </c>
      <c r="L118" s="0" t="n">
        <f aca="false">SIMM_Delta!$K$9^2*$B$118*$B$126</f>
        <v>0</v>
      </c>
      <c r="M118" s="0" t="n">
        <f aca="false">SIMM_Delta!$L$9^2*$B$118*$B$127</f>
        <v>0</v>
      </c>
      <c r="N118" s="0" t="n">
        <f aca="false">SIMM_Delta!$M$9^2*$B$118*$B$128</f>
        <v>0</v>
      </c>
    </row>
    <row r="119" customFormat="false" ht="15" hidden="false" customHeight="false" outlineLevel="0" collapsed="false">
      <c r="A119" s="0" t="str">
        <f aca="false">Inputs!$D$14</f>
        <v>3m</v>
      </c>
      <c r="B119" s="0" t="n">
        <f aca="false">F32</f>
        <v>0</v>
      </c>
      <c r="C119" s="0" t="n">
        <f aca="false">SIMM_Delta!$B$10^2*$B$119*$B$117</f>
        <v>0</v>
      </c>
      <c r="D119" s="0" t="n">
        <f aca="false">SIMM_Delta!$C$10^2*$B$119*$B$118</f>
        <v>0</v>
      </c>
      <c r="E119" s="0" t="n">
        <f aca="false">SIMM_Delta!$D$10^2*$B$119*$B$119</f>
        <v>0</v>
      </c>
      <c r="F119" s="0" t="n">
        <f aca="false">SIMM_Delta!$E$10^2*$B$119*$B$120</f>
        <v>0</v>
      </c>
      <c r="G119" s="0" t="n">
        <f aca="false">SIMM_Delta!$F$10^2*$B$119*$B$121</f>
        <v>0</v>
      </c>
      <c r="H119" s="0" t="n">
        <f aca="false">SIMM_Delta!$G$10^2*$B$119*$B$122</f>
        <v>0</v>
      </c>
      <c r="I119" s="0" t="n">
        <f aca="false">SIMM_Delta!$H$10^2*$B$119*$B$123</f>
        <v>0</v>
      </c>
      <c r="J119" s="0" t="n">
        <f aca="false">SIMM_Delta!$I$10^2*$B$119*$B$124</f>
        <v>0</v>
      </c>
      <c r="K119" s="0" t="n">
        <f aca="false">SIMM_Delta!$J$10^2*$B$119*$B$125</f>
        <v>0</v>
      </c>
      <c r="L119" s="0" t="n">
        <f aca="false">SIMM_Delta!$K$10^2*$B$119*$B$126</f>
        <v>0</v>
      </c>
      <c r="M119" s="0" t="n">
        <f aca="false">SIMM_Delta!$L$10^2*$B$119*$B$127</f>
        <v>0</v>
      </c>
      <c r="N119" s="0" t="n">
        <f aca="false">SIMM_Delta!$M$10^2*$B$119*$B$128</f>
        <v>0</v>
      </c>
    </row>
    <row r="120" customFormat="false" ht="15" hidden="false" customHeight="false" outlineLevel="0" collapsed="false">
      <c r="A120" s="0" t="str">
        <f aca="false">Inputs!$E$14</f>
        <v>6m</v>
      </c>
      <c r="B120" s="0" t="n">
        <f aca="false">F33</f>
        <v>0</v>
      </c>
      <c r="C120" s="0" t="n">
        <f aca="false">SIMM_Delta!$B$11^2*$B$120*$B$117</f>
        <v>0</v>
      </c>
      <c r="D120" s="0" t="n">
        <f aca="false">SIMM_Delta!$C$11^2*$B$120*$B$118</f>
        <v>0</v>
      </c>
      <c r="E120" s="0" t="n">
        <f aca="false">SIMM_Delta!$D$11^2*$B$120*$B$119</f>
        <v>0</v>
      </c>
      <c r="F120" s="0" t="n">
        <f aca="false">SIMM_Delta!$E$11^2*$B$120*$B$120</f>
        <v>0</v>
      </c>
      <c r="G120" s="0" t="n">
        <f aca="false">SIMM_Delta!$F$11^2*$B$120*$B$121</f>
        <v>0</v>
      </c>
      <c r="H120" s="0" t="n">
        <f aca="false">SIMM_Delta!$G$11^2*$B$120*$B$122</f>
        <v>0</v>
      </c>
      <c r="I120" s="0" t="n">
        <f aca="false">SIMM_Delta!$H$11^2*$B$120*$B$123</f>
        <v>0</v>
      </c>
      <c r="J120" s="0" t="n">
        <f aca="false">SIMM_Delta!$I$11^2*$B$120*$B$124</f>
        <v>0</v>
      </c>
      <c r="K120" s="0" t="n">
        <f aca="false">SIMM_Delta!$J$11^2*$B$120*$B$125</f>
        <v>0</v>
      </c>
      <c r="L120" s="0" t="n">
        <f aca="false">SIMM_Delta!$K$11^2*$B$120*$B$126</f>
        <v>0</v>
      </c>
      <c r="M120" s="0" t="n">
        <f aca="false">SIMM_Delta!$L$11^2*$B$120*$B$127</f>
        <v>0</v>
      </c>
      <c r="N120" s="0" t="n">
        <f aca="false">SIMM_Delta!$M$11^2*$B$120*$B$128</f>
        <v>0</v>
      </c>
    </row>
    <row r="121" customFormat="false" ht="15" hidden="false" customHeight="false" outlineLevel="0" collapsed="false">
      <c r="A121" s="0" t="str">
        <f aca="false">Inputs!$F$14</f>
        <v>1y</v>
      </c>
      <c r="B121" s="0" t="n">
        <f aca="false">F34</f>
        <v>0</v>
      </c>
      <c r="C121" s="0" t="n">
        <f aca="false">SIMM_Delta!$B$12^2*$B$121*$B$117</f>
        <v>0</v>
      </c>
      <c r="D121" s="0" t="n">
        <f aca="false">SIMM_Delta!$C$12^2*$B$121*$B$118</f>
        <v>0</v>
      </c>
      <c r="E121" s="0" t="n">
        <f aca="false">SIMM_Delta!$D$12^2*$B$121*$B$119</f>
        <v>0</v>
      </c>
      <c r="F121" s="0" t="n">
        <f aca="false">SIMM_Delta!$E$12^2*$B$121*$B$120</f>
        <v>0</v>
      </c>
      <c r="G121" s="0" t="n">
        <f aca="false">SIMM_Delta!$F$12^2*$B$121*$B$121</f>
        <v>0</v>
      </c>
      <c r="H121" s="0" t="n">
        <f aca="false">SIMM_Delta!$G$12^2*$B$121*$B$122</f>
        <v>0</v>
      </c>
      <c r="I121" s="0" t="n">
        <f aca="false">SIMM_Delta!$H$12^2*$B$121*$B$123</f>
        <v>0</v>
      </c>
      <c r="J121" s="0" t="n">
        <f aca="false">SIMM_Delta!$I$12^2*$B$121*$B$124</f>
        <v>0</v>
      </c>
      <c r="K121" s="0" t="n">
        <f aca="false">SIMM_Delta!$J$12^2*$B$121*$B$125</f>
        <v>0</v>
      </c>
      <c r="L121" s="0" t="n">
        <f aca="false">SIMM_Delta!$K$12^2*$B$121*$B$126</f>
        <v>0</v>
      </c>
      <c r="M121" s="0" t="n">
        <f aca="false">SIMM_Delta!$L$12^2*$B$121*$B$127</f>
        <v>0</v>
      </c>
      <c r="N121" s="0" t="n">
        <f aca="false">SIMM_Delta!$M$12^2*$B$121*$B$128</f>
        <v>0</v>
      </c>
    </row>
    <row r="122" customFormat="false" ht="15" hidden="false" customHeight="false" outlineLevel="0" collapsed="false">
      <c r="A122" s="0" t="str">
        <f aca="false">Inputs!$G$14</f>
        <v>2y</v>
      </c>
      <c r="B122" s="0" t="n">
        <f aca="false">F35</f>
        <v>0</v>
      </c>
      <c r="C122" s="0" t="n">
        <f aca="false">SIMM_Delta!$B$13^2*$B$122*$B$117</f>
        <v>0</v>
      </c>
      <c r="D122" s="0" t="n">
        <f aca="false">SIMM_Delta!$C$13^2*$B$122*$B$118</f>
        <v>0</v>
      </c>
      <c r="E122" s="0" t="n">
        <f aca="false">SIMM_Delta!$D$13^2*$B$122*$B$119</f>
        <v>0</v>
      </c>
      <c r="F122" s="0" t="n">
        <f aca="false">SIMM_Delta!$E$13^2*$B$122*$B$120</f>
        <v>0</v>
      </c>
      <c r="G122" s="0" t="n">
        <f aca="false">SIMM_Delta!$F$13^2*$B$122*$B$121</f>
        <v>0</v>
      </c>
      <c r="H122" s="0" t="n">
        <f aca="false">SIMM_Delta!$G$13^2*$B$122*$B$122</f>
        <v>0</v>
      </c>
      <c r="I122" s="0" t="n">
        <f aca="false">SIMM_Delta!$H$13^2*$B$122*$B$123</f>
        <v>0</v>
      </c>
      <c r="J122" s="0" t="n">
        <f aca="false">SIMM_Delta!$I$13^2*$B$122*$B$124</f>
        <v>0</v>
      </c>
      <c r="K122" s="0" t="n">
        <f aca="false">SIMM_Delta!$J$13^2*$B$122*$B$125</f>
        <v>0</v>
      </c>
      <c r="L122" s="0" t="n">
        <f aca="false">SIMM_Delta!$K$13^2*$B$122*$B$126</f>
        <v>0</v>
      </c>
      <c r="M122" s="0" t="n">
        <f aca="false">SIMM_Delta!$L$13^2*$B$122*$B$127</f>
        <v>0</v>
      </c>
      <c r="N122" s="0" t="n">
        <f aca="false">SIMM_Delta!$M$13^2*$B$122*$B$128</f>
        <v>0</v>
      </c>
    </row>
    <row r="123" customFormat="false" ht="15" hidden="false" customHeight="false" outlineLevel="0" collapsed="false">
      <c r="A123" s="0" t="str">
        <f aca="false">Inputs!$H$14</f>
        <v>3y</v>
      </c>
      <c r="B123" s="0" t="n">
        <f aca="false">F36</f>
        <v>0</v>
      </c>
      <c r="C123" s="0" t="n">
        <f aca="false">SIMM_Delta!$B$14^2*$B$123*$B$117</f>
        <v>0</v>
      </c>
      <c r="D123" s="0" t="n">
        <f aca="false">SIMM_Delta!$C$14^2*$B$123*$B$118</f>
        <v>0</v>
      </c>
      <c r="E123" s="0" t="n">
        <f aca="false">SIMM_Delta!$D$14^2*$B$123*$B$119</f>
        <v>0</v>
      </c>
      <c r="F123" s="0" t="n">
        <f aca="false">SIMM_Delta!$E$14^2*$B$123*$B$120</f>
        <v>0</v>
      </c>
      <c r="G123" s="0" t="n">
        <f aca="false">SIMM_Delta!$F$14^2*$B$123*$B$121</f>
        <v>0</v>
      </c>
      <c r="H123" s="0" t="n">
        <f aca="false">SIMM_Delta!$G$14^2*$B$123*$B$122</f>
        <v>0</v>
      </c>
      <c r="I123" s="0" t="n">
        <f aca="false">SIMM_Delta!$H$14^2*$B$123*$B$123</f>
        <v>0</v>
      </c>
      <c r="J123" s="0" t="n">
        <f aca="false">SIMM_Delta!$I$14^2*$B$123*$B$124</f>
        <v>0</v>
      </c>
      <c r="K123" s="0" t="n">
        <f aca="false">SIMM_Delta!$J$14^2*$B$123*$B$125</f>
        <v>0</v>
      </c>
      <c r="L123" s="0" t="n">
        <f aca="false">SIMM_Delta!$K$14^2*$B$123*$B$126</f>
        <v>0</v>
      </c>
      <c r="M123" s="0" t="n">
        <f aca="false">SIMM_Delta!$L$14^2*$B$123*$B$127</f>
        <v>0</v>
      </c>
      <c r="N123" s="0" t="n">
        <f aca="false">SIMM_Delta!$M$14^2*$B$123*$B$128</f>
        <v>0</v>
      </c>
    </row>
    <row r="124" customFormat="false" ht="15" hidden="false" customHeight="false" outlineLevel="0" collapsed="false">
      <c r="A124" s="0" t="str">
        <f aca="false">Inputs!$I$14</f>
        <v>5y</v>
      </c>
      <c r="B124" s="0" t="n">
        <f aca="false">F37</f>
        <v>0</v>
      </c>
      <c r="C124" s="0" t="n">
        <f aca="false">SIMM_Delta!$B$15^2*$B$124*$B$117</f>
        <v>0</v>
      </c>
      <c r="D124" s="0" t="n">
        <f aca="false">SIMM_Delta!$C$15^2*$B$124*$B$118</f>
        <v>0</v>
      </c>
      <c r="E124" s="0" t="n">
        <f aca="false">SIMM_Delta!$D$15^2*$B$124*$B$119</f>
        <v>0</v>
      </c>
      <c r="F124" s="0" t="n">
        <f aca="false">SIMM_Delta!$E$15^2*$B$124*$B$120</f>
        <v>0</v>
      </c>
      <c r="G124" s="0" t="n">
        <f aca="false">SIMM_Delta!$F$15^2*$B$124*$B$121</f>
        <v>0</v>
      </c>
      <c r="H124" s="0" t="n">
        <f aca="false">SIMM_Delta!$G$15^2*$B$124*$B$122</f>
        <v>0</v>
      </c>
      <c r="I124" s="0" t="n">
        <f aca="false">SIMM_Delta!$H$15^2*$B$124*$B$123</f>
        <v>0</v>
      </c>
      <c r="J124" s="0" t="n">
        <f aca="false">SIMM_Delta!$I$15^2*$B$124*$B$124</f>
        <v>0</v>
      </c>
      <c r="K124" s="0" t="n">
        <f aca="false">SIMM_Delta!$J$15^2*$B$124*$B$125</f>
        <v>0</v>
      </c>
      <c r="L124" s="0" t="n">
        <f aca="false">SIMM_Delta!$K$15^2*$B$124*$B$126</f>
        <v>0</v>
      </c>
      <c r="M124" s="0" t="n">
        <f aca="false">SIMM_Delta!$L$15^2*$B$124*$B$127</f>
        <v>0</v>
      </c>
      <c r="N124" s="0" t="n">
        <f aca="false">SIMM_Delta!$M$15^2*$B$124*$B$128</f>
        <v>0</v>
      </c>
    </row>
    <row r="125" customFormat="false" ht="15" hidden="false" customHeight="false" outlineLevel="0" collapsed="false">
      <c r="A125" s="0" t="str">
        <f aca="false">Inputs!$J$14</f>
        <v>10y</v>
      </c>
      <c r="B125" s="0" t="n">
        <f aca="false">F38</f>
        <v>0</v>
      </c>
      <c r="C125" s="0" t="n">
        <f aca="false">SIMM_Delta!$B$16^2*$B$125*$B$117</f>
        <v>0</v>
      </c>
      <c r="D125" s="0" t="n">
        <f aca="false">SIMM_Delta!$C$16^2*$B$125*$B$118</f>
        <v>0</v>
      </c>
      <c r="E125" s="0" t="n">
        <f aca="false">SIMM_Delta!$D$16^2*$B$125*$B$119</f>
        <v>0</v>
      </c>
      <c r="F125" s="0" t="n">
        <f aca="false">SIMM_Delta!$E$16^2*$B$125*$B$120</f>
        <v>0</v>
      </c>
      <c r="G125" s="0" t="n">
        <f aca="false">SIMM_Delta!$F$16^2*$B$125*$B$121</f>
        <v>0</v>
      </c>
      <c r="H125" s="0" t="n">
        <f aca="false">SIMM_Delta!$G$16^2*$B$125*$B$122</f>
        <v>0</v>
      </c>
      <c r="I125" s="0" t="n">
        <f aca="false">SIMM_Delta!$H$16^2*$B$125*$B$123</f>
        <v>0</v>
      </c>
      <c r="J125" s="0" t="n">
        <f aca="false">SIMM_Delta!$I$16^2*$B$125*$B$124</f>
        <v>0</v>
      </c>
      <c r="K125" s="0" t="n">
        <f aca="false">SIMM_Delta!$J$16^2*$B$125*$B$125</f>
        <v>0</v>
      </c>
      <c r="L125" s="0" t="n">
        <f aca="false">SIMM_Delta!$K$16^2*$B$125*$B$126</f>
        <v>0</v>
      </c>
      <c r="M125" s="0" t="n">
        <f aca="false">SIMM_Delta!$L$16^2*$B$125*$B$127</f>
        <v>0</v>
      </c>
      <c r="N125" s="0" t="n">
        <f aca="false">SIMM_Delta!$M$16^2*$B$125*$B$128</f>
        <v>0</v>
      </c>
    </row>
    <row r="126" customFormat="false" ht="15" hidden="false" customHeight="false" outlineLevel="0" collapsed="false">
      <c r="A126" s="0" t="str">
        <f aca="false">Inputs!$K$14</f>
        <v>15y</v>
      </c>
      <c r="B126" s="0" t="n">
        <f aca="false">F39</f>
        <v>0</v>
      </c>
      <c r="C126" s="0" t="n">
        <f aca="false">SIMM_Delta!$B$17^2*$B$126*$B$117</f>
        <v>0</v>
      </c>
      <c r="D126" s="0" t="n">
        <f aca="false">SIMM_Delta!$C$17^2*$B$126*$B$118</f>
        <v>0</v>
      </c>
      <c r="E126" s="0" t="n">
        <f aca="false">SIMM_Delta!$D$17^2*$B$126*$B$119</f>
        <v>0</v>
      </c>
      <c r="F126" s="0" t="n">
        <f aca="false">SIMM_Delta!$E$17^2*$B$126*$B$120</f>
        <v>0</v>
      </c>
      <c r="G126" s="0" t="n">
        <f aca="false">SIMM_Delta!$F$17^2*$B$126*$B$121</f>
        <v>0</v>
      </c>
      <c r="H126" s="0" t="n">
        <f aca="false">SIMM_Delta!$G$17^2*$B$126*$B$122</f>
        <v>0</v>
      </c>
      <c r="I126" s="0" t="n">
        <f aca="false">SIMM_Delta!$H$17^2*$B$126*$B$123</f>
        <v>0</v>
      </c>
      <c r="J126" s="0" t="n">
        <f aca="false">SIMM_Delta!$I$17^2*$B$126*$B$124</f>
        <v>0</v>
      </c>
      <c r="K126" s="0" t="n">
        <f aca="false">SIMM_Delta!$J$17^2*$B$126*$B$125</f>
        <v>0</v>
      </c>
      <c r="L126" s="0" t="n">
        <f aca="false">SIMM_Delta!$K$17^2*$B$126*$B$126</f>
        <v>0</v>
      </c>
      <c r="M126" s="0" t="n">
        <f aca="false">SIMM_Delta!$L$17^2*$B$126*$B$127</f>
        <v>0</v>
      </c>
      <c r="N126" s="0" t="n">
        <f aca="false">SIMM_Delta!$M$17^2*$B$126*$B$128</f>
        <v>0</v>
      </c>
    </row>
    <row r="127" customFormat="false" ht="15" hidden="false" customHeight="false" outlineLevel="0" collapsed="false">
      <c r="A127" s="0" t="str">
        <f aca="false">Inputs!$L$14</f>
        <v>20y</v>
      </c>
      <c r="B127" s="0" t="n">
        <f aca="false">F40</f>
        <v>0</v>
      </c>
      <c r="C127" s="0" t="n">
        <f aca="false">SIMM_Delta!$B$18^2*$B$127*$B$117</f>
        <v>0</v>
      </c>
      <c r="D127" s="0" t="n">
        <f aca="false">SIMM_Delta!$C$18^2*$B$127*$B$118</f>
        <v>0</v>
      </c>
      <c r="E127" s="0" t="n">
        <f aca="false">SIMM_Delta!$D$18^2*$B$127*$B$119</f>
        <v>0</v>
      </c>
      <c r="F127" s="0" t="n">
        <f aca="false">SIMM_Delta!$E$18^2*$B$127*$B$120</f>
        <v>0</v>
      </c>
      <c r="G127" s="0" t="n">
        <f aca="false">SIMM_Delta!$F$18^2*$B$127*$B$121</f>
        <v>0</v>
      </c>
      <c r="H127" s="0" t="n">
        <f aca="false">SIMM_Delta!$G$18^2*$B$127*$B$122</f>
        <v>0</v>
      </c>
      <c r="I127" s="0" t="n">
        <f aca="false">SIMM_Delta!$H$18^2*$B$127*$B$123</f>
        <v>0</v>
      </c>
      <c r="J127" s="0" t="n">
        <f aca="false">SIMM_Delta!$I$18^2*$B$127*$B$124</f>
        <v>0</v>
      </c>
      <c r="K127" s="0" t="n">
        <f aca="false">SIMM_Delta!$J$18^2*$B$127*$B$125</f>
        <v>0</v>
      </c>
      <c r="L127" s="0" t="n">
        <f aca="false">SIMM_Delta!$K$18^2*$B$127*$B$126</f>
        <v>0</v>
      </c>
      <c r="M127" s="0" t="n">
        <f aca="false">SIMM_Delta!$L$18^2*$B$127*$B$127</f>
        <v>0</v>
      </c>
      <c r="N127" s="0" t="n">
        <f aca="false">SIMM_Delta!$M$18^2*$B$127*$B$128</f>
        <v>0</v>
      </c>
    </row>
    <row r="128" customFormat="false" ht="15" hidden="false" customHeight="false" outlineLevel="0" collapsed="false">
      <c r="A128" s="0" t="str">
        <f aca="false">Inputs!$M$14</f>
        <v>30y</v>
      </c>
      <c r="B128" s="0" t="n">
        <f aca="false">F41</f>
        <v>0</v>
      </c>
      <c r="C128" s="0" t="n">
        <f aca="false">SIMM_Delta!$B$19^2*$B$128*$B$117</f>
        <v>0</v>
      </c>
      <c r="D128" s="0" t="n">
        <f aca="false">SIMM_Delta!$C$19^2*$B$128*$B$118</f>
        <v>0</v>
      </c>
      <c r="E128" s="0" t="n">
        <f aca="false">SIMM_Delta!$D$19^2*$B$128*$B$119</f>
        <v>0</v>
      </c>
      <c r="F128" s="0" t="n">
        <f aca="false">SIMM_Delta!$E$19^2*$B$128*$B$120</f>
        <v>0</v>
      </c>
      <c r="G128" s="0" t="n">
        <f aca="false">SIMM_Delta!$F$19^2*$B$128*$B$121</f>
        <v>0</v>
      </c>
      <c r="H128" s="0" t="n">
        <f aca="false">SIMM_Delta!$G$19^2*$B$128*$B$122</f>
        <v>0</v>
      </c>
      <c r="I128" s="0" t="n">
        <f aca="false">SIMM_Delta!$H$19^2*$B$128*$B$123</f>
        <v>0</v>
      </c>
      <c r="J128" s="0" t="n">
        <f aca="false">SIMM_Delta!$I$19^2*$B$128*$B$124</f>
        <v>0</v>
      </c>
      <c r="K128" s="0" t="n">
        <f aca="false">SIMM_Delta!$J$19^2*$B$128*$B$125</f>
        <v>0</v>
      </c>
      <c r="L128" s="0" t="n">
        <f aca="false">SIMM_Delta!$K$19^2*$B$128*$B$126</f>
        <v>0</v>
      </c>
      <c r="M128" s="0" t="n">
        <f aca="false">SIMM_Delta!$L$19^2*$B$128*$B$127</f>
        <v>0</v>
      </c>
      <c r="N128" s="0" t="n">
        <f aca="false">SIMM_Delta!$M$19^2*$B$128*$B$128</f>
        <v>0</v>
      </c>
    </row>
    <row r="129" customFormat="false" ht="15" hidden="false" customHeight="false" outlineLevel="0" collapsed="false">
      <c r="A129" s="1" t="s">
        <v>486</v>
      </c>
    </row>
    <row r="130" customFormat="false" ht="15" hidden="false" customHeight="false" outlineLevel="0" collapsed="false">
      <c r="A130" s="1" t="s">
        <v>43</v>
      </c>
      <c r="B130" s="1" t="str">
        <f aca="false">Inputs!$B$13</f>
        <v>USD</v>
      </c>
      <c r="C130" s="1" t="str">
        <f aca="false">Inputs!$C$13</f>
        <v>EUR</v>
      </c>
      <c r="D130" s="1" t="str">
        <f aca="false">Inputs!$D$13</f>
        <v>GBP</v>
      </c>
      <c r="E130" s="1" t="str">
        <f aca="false">Inputs!$E$13</f>
        <v>JPY</v>
      </c>
      <c r="F130" s="1" t="str">
        <f aca="false">Inputs!$F$13</f>
        <v>MXN</v>
      </c>
    </row>
    <row r="131" customFormat="false" ht="15" hidden="false" customHeight="false" outlineLevel="0" collapsed="false">
      <c r="A131" s="1" t="s">
        <v>257</v>
      </c>
      <c r="B131" s="0" t="n">
        <f aca="false">$B$50</f>
        <v>12248.0394442069</v>
      </c>
      <c r="C131" s="0" t="n">
        <f aca="false">$B$66</f>
        <v>10670.1606430939</v>
      </c>
      <c r="D131" s="0" t="n">
        <f aca="false">$B$82</f>
        <v>3956.16269322761</v>
      </c>
      <c r="E131" s="0" t="n">
        <f aca="false">$B$98</f>
        <v>0</v>
      </c>
      <c r="F131" s="0" t="n">
        <f aca="false">$B$114</f>
        <v>0</v>
      </c>
    </row>
    <row r="132" customFormat="false" ht="15" hidden="false" customHeight="false" outlineLevel="0" collapsed="false">
      <c r="A132" s="1" t="s">
        <v>417</v>
      </c>
      <c r="B132" s="0" t="n">
        <f aca="false">$B$51</f>
        <v>12248.0394442069</v>
      </c>
      <c r="C132" s="0" t="n">
        <f aca="false">$B$67</f>
        <v>10670.1606430939</v>
      </c>
      <c r="D132" s="0" t="n">
        <f aca="false">$B$83</f>
        <v>-3956.16269322761</v>
      </c>
      <c r="E132" s="0" t="n">
        <f aca="false">$B$99</f>
        <v>0</v>
      </c>
      <c r="F132" s="0" t="n">
        <f aca="false">$B$115</f>
        <v>0</v>
      </c>
    </row>
    <row r="133" customFormat="false" ht="15" hidden="false" customHeight="false" outlineLevel="0" collapsed="false">
      <c r="A133" s="0" t="str">
        <f aca="false">Inputs!$B$13</f>
        <v>USD</v>
      </c>
      <c r="C133" s="0" t="n">
        <f aca="false">$B$9^2*B$132*C$132</f>
        <v>16009347.1829982</v>
      </c>
      <c r="D133" s="0" t="n">
        <f aca="false">$B$9^2*B$132*D$132</f>
        <v>-5935766.49750807</v>
      </c>
      <c r="E133" s="0" t="n">
        <f aca="false">$B$9^2*B$132*E$132</f>
        <v>0</v>
      </c>
      <c r="F133" s="0" t="n">
        <f aca="false">$B$9^2*B$132*F$132</f>
        <v>0</v>
      </c>
    </row>
    <row r="134" customFormat="false" ht="15" hidden="false" customHeight="false" outlineLevel="0" collapsed="false">
      <c r="A134" s="0" t="str">
        <f aca="false">Inputs!$C$13</f>
        <v>EUR</v>
      </c>
      <c r="B134" s="0" t="n">
        <f aca="false">$B$9^2*C$132*B$132</f>
        <v>16009347.1829982</v>
      </c>
      <c r="D134" s="0" t="n">
        <f aca="false">$B$9^2*C$132*D$132</f>
        <v>-5171079.20470182</v>
      </c>
      <c r="E134" s="0" t="n">
        <f aca="false">$B$9^2*C$132*E$132</f>
        <v>0</v>
      </c>
      <c r="F134" s="0" t="n">
        <f aca="false">$B$9^2*C$132*F$132</f>
        <v>0</v>
      </c>
    </row>
    <row r="135" customFormat="false" ht="15" hidden="false" customHeight="false" outlineLevel="0" collapsed="false">
      <c r="A135" s="0" t="str">
        <f aca="false">Inputs!$D$13</f>
        <v>GBP</v>
      </c>
      <c r="B135" s="0" t="n">
        <f aca="false">$B$9^2*D$132*B$132</f>
        <v>-5935766.49750807</v>
      </c>
      <c r="C135" s="0" t="n">
        <f aca="false">$B$9^2*D$132*C$132</f>
        <v>-5171079.20470182</v>
      </c>
      <c r="E135" s="0" t="n">
        <f aca="false">$B$9^2*D$132*E$132</f>
        <v>-0</v>
      </c>
      <c r="F135" s="0" t="n">
        <f aca="false">$B$9^2*D$132*F$132</f>
        <v>-0</v>
      </c>
    </row>
    <row r="136" customFormat="false" ht="15" hidden="false" customHeight="false" outlineLevel="0" collapsed="false">
      <c r="A136" s="0" t="str">
        <f aca="false">Inputs!$E$13</f>
        <v>JPY</v>
      </c>
      <c r="B136" s="0" t="n">
        <f aca="false">$B$9^2*E$132*B$132</f>
        <v>0</v>
      </c>
      <c r="C136" s="0" t="n">
        <f aca="false">$B$9^2*E$132*C$132</f>
        <v>0</v>
      </c>
      <c r="D136" s="0" t="n">
        <f aca="false">$B$9^2*E$132*D$132</f>
        <v>-0</v>
      </c>
      <c r="F136" s="0" t="n">
        <f aca="false">$B$9^2*E$132*F$132</f>
        <v>0</v>
      </c>
    </row>
    <row r="137" customFormat="false" ht="15" hidden="false" customHeight="false" outlineLevel="0" collapsed="false">
      <c r="A137" s="0" t="str">
        <f aca="false">Inputs!$F$13</f>
        <v>MXN</v>
      </c>
      <c r="B137" s="0" t="n">
        <f aca="false">$B$9^2*F$132*B$132</f>
        <v>0</v>
      </c>
      <c r="C137" s="0" t="n">
        <f aca="false">$B$9^2*F$132*C$132</f>
        <v>0</v>
      </c>
      <c r="D137" s="0" t="n">
        <f aca="false">$B$9^2*F$132*D$132</f>
        <v>-0</v>
      </c>
      <c r="E137" s="0" t="n">
        <f aca="false">$B$9^2*F$132*E$132</f>
        <v>0</v>
      </c>
    </row>
    <row r="138" customFormat="false" ht="15" hidden="false" customHeight="false" outlineLevel="0" collapsed="false">
      <c r="A138" s="1" t="s">
        <v>487</v>
      </c>
      <c r="B138" s="0" t="n">
        <f aca="false">SQRT(MAX(0,SUMPRODUCT(B131:F131,B131:F131)+SUM(B133:F137)))</f>
        <v>17009.4980699943</v>
      </c>
    </row>
    <row r="139" customFormat="false" ht="15" hidden="false" customHeight="false" outlineLevel="0" collapsed="false">
      <c r="A139" s="1" t="s">
        <v>488</v>
      </c>
      <c r="B139" s="0" t="n">
        <f aca="false">MAX(B42+B45*B138,0)*$B$12</f>
        <v>209933.787737353</v>
      </c>
    </row>
    <row r="143" customFormat="false" ht="15" hidden="false" customHeight="false" outlineLevel="0" collapsed="false">
      <c r="A143" s="1" t="s">
        <v>489</v>
      </c>
    </row>
    <row r="144" customFormat="false" ht="15" hidden="false" customHeight="false" outlineLevel="0" collapsed="false">
      <c r="A144" s="1" t="s">
        <v>454</v>
      </c>
      <c r="B144" s="1" t="s">
        <v>485</v>
      </c>
      <c r="C144" s="1" t="str">
        <f aca="false">Inputs!$B$17</f>
        <v>EURUSD</v>
      </c>
      <c r="D144" s="1" t="str">
        <f aca="false">Inputs!$C$17</f>
        <v>GBPUSD</v>
      </c>
      <c r="E144" s="1" t="str">
        <f aca="false">Inputs!$D$17</f>
        <v>USDJPY</v>
      </c>
      <c r="F144" s="1" t="str">
        <f aca="false">Inputs!$E$17</f>
        <v>USDMXN</v>
      </c>
    </row>
    <row r="145" customFormat="false" ht="15" hidden="false" customHeight="false" outlineLevel="0" collapsed="false">
      <c r="A145" s="0" t="str">
        <f aca="false">Inputs!$B$17</f>
        <v>EURUSD</v>
      </c>
      <c r="B145" s="0" t="n">
        <f aca="false">SUMIFS(Sensitivities!$M$5:$M$100,Sensitivities!$B$5:$B$100,"Risk_FXVol",Sensitivities!$C$5:$C$100,$A145)*SIMM_Vega!$G$152</f>
        <v>737.534941163706</v>
      </c>
      <c r="C145" s="0" t="n">
        <f aca="false">$B145^2</f>
        <v>543957.789437351</v>
      </c>
      <c r="D145" s="0" t="n">
        <f aca="false">$B$8^2*$B145*$B146</f>
        <v>12081449.7666226</v>
      </c>
      <c r="E145" s="0" t="n">
        <f aca="false">$B$8^2*$B145*$B147</f>
        <v>0</v>
      </c>
      <c r="F145" s="0" t="n">
        <f aca="false">$B$8^2*$B145*$B148</f>
        <v>1720491.27072984</v>
      </c>
    </row>
    <row r="146" customFormat="false" ht="15" hidden="false" customHeight="false" outlineLevel="0" collapsed="false">
      <c r="A146" s="0" t="str">
        <f aca="false">Inputs!$C$17</f>
        <v>GBPUSD</v>
      </c>
      <c r="B146" s="0" t="n">
        <f aca="false">SUMIFS(Sensitivities!$M$5:$M$100,Sensitivities!$B$5:$B$100,"Risk_FXVol",Sensitivities!$C$5:$C$100,$A146)*SIMM_Vega!$G$153</f>
        <v>65523.4028509084</v>
      </c>
      <c r="C146" s="0" t="n">
        <f aca="false">$B$8^2*$B146*$B145</f>
        <v>12081449.7666226</v>
      </c>
      <c r="D146" s="0" t="n">
        <f aca="false">$B146^2</f>
        <v>4293316321.16244</v>
      </c>
      <c r="E146" s="0" t="n">
        <f aca="false">$B$8^2*$B146*$B147</f>
        <v>0</v>
      </c>
      <c r="F146" s="0" t="n">
        <f aca="false">$B$8^2*$B146*$B148</f>
        <v>152850307.614755</v>
      </c>
    </row>
    <row r="147" customFormat="false" ht="15" hidden="false" customHeight="false" outlineLevel="0" collapsed="false">
      <c r="A147" s="0" t="str">
        <f aca="false">Inputs!$D$17</f>
        <v>USDJPY</v>
      </c>
      <c r="B147" s="0" t="n">
        <f aca="false">SUMIFS(Sensitivities!$M$5:$M$100,Sensitivities!$B$5:$B$100,"Risk_FXVol",Sensitivities!$C$5:$C$100,$A147)*SIMM_Vega!$G$154</f>
        <v>0</v>
      </c>
      <c r="C147" s="0" t="n">
        <f aca="false">$B$8^2*$B147*$B145</f>
        <v>0</v>
      </c>
      <c r="D147" s="0" t="n">
        <f aca="false">$B$8^2*$B147*$B146</f>
        <v>0</v>
      </c>
      <c r="E147" s="0" t="n">
        <f aca="false">$B147^2</f>
        <v>0</v>
      </c>
      <c r="F147" s="0" t="n">
        <f aca="false">$B$8^2*$B147*$B148</f>
        <v>0</v>
      </c>
    </row>
    <row r="148" customFormat="false" ht="15" hidden="false" customHeight="false" outlineLevel="0" collapsed="false">
      <c r="A148" s="0" t="str">
        <f aca="false">Inputs!$E$17</f>
        <v>USDMXN</v>
      </c>
      <c r="B148" s="0" t="n">
        <f aca="false">SUMIFS(Sensitivities!$M$5:$M$100,Sensitivities!$B$5:$B$100,"Risk_FXVol",Sensitivities!$C$5:$C$100,$A148)*SIMM_Vega!$G$155</f>
        <v>9331.03599411952</v>
      </c>
      <c r="C148" s="0" t="n">
        <f aca="false">$B$8^2*$B148*$B145</f>
        <v>1720491.27072984</v>
      </c>
      <c r="D148" s="0" t="n">
        <f aca="false">$B$8^2*$B148*$B146</f>
        <v>152850307.614755</v>
      </c>
      <c r="E148" s="0" t="n">
        <f aca="false">$B$8^2*$B148*$B147</f>
        <v>0</v>
      </c>
      <c r="F148" s="0" t="n">
        <f aca="false">$B148^2</f>
        <v>87068232.723554</v>
      </c>
    </row>
    <row r="149" customFormat="false" ht="15" hidden="false" customHeight="false" outlineLevel="0" collapsed="false">
      <c r="A149" s="1" t="s">
        <v>490</v>
      </c>
      <c r="B149" s="0" t="n">
        <f aca="false">SUM(B145:B148)</f>
        <v>75591.9737861917</v>
      </c>
    </row>
    <row r="150" customFormat="false" ht="15" hidden="false" customHeight="false" outlineLevel="0" collapsed="false">
      <c r="A150" s="1" t="s">
        <v>482</v>
      </c>
      <c r="B150" s="0" t="n">
        <f aca="false">SUMPRODUCT(ABS(B145:B148))</f>
        <v>75591.9737861917</v>
      </c>
    </row>
    <row r="151" customFormat="false" ht="15" hidden="false" customHeight="false" outlineLevel="0" collapsed="false">
      <c r="A151" s="1" t="s">
        <v>483</v>
      </c>
      <c r="B151" s="0" t="n">
        <f aca="false">IF(B150=0,0,MIN(B149/B150,0))</f>
        <v>0</v>
      </c>
    </row>
    <row r="152" customFormat="false" ht="15" hidden="false" customHeight="false" outlineLevel="0" collapsed="false">
      <c r="A152" s="1" t="s">
        <v>484</v>
      </c>
      <c r="B152" s="0" t="n">
        <f aca="false">($B$7^2-1)*(1+B151)-B151</f>
        <v>5.63489660102121</v>
      </c>
    </row>
    <row r="153" customFormat="false" ht="15" hidden="false" customHeight="false" outlineLevel="0" collapsed="false">
      <c r="A153" s="1" t="s">
        <v>257</v>
      </c>
      <c r="B153" s="0" t="n">
        <f aca="false">SQRT(MAX(0,SUM(C145:F148)))</f>
        <v>68660.2724213911</v>
      </c>
    </row>
    <row r="154" customFormat="false" ht="15" hidden="false" customHeight="false" outlineLevel="0" collapsed="false">
      <c r="A154" s="1" t="s">
        <v>491</v>
      </c>
      <c r="B154" s="0" t="n">
        <f aca="false">MAX(B149+B152*B153,0)</f>
        <v>462485.509478679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2734375" defaultRowHeight="15" customHeight="false" zeroHeight="false" outlineLevelRow="0" outlineLevelCol="0"/>
  <cols>
    <col collapsed="false" customWidth="true" hidden="false" outlineLevel="0" max="1" min="1" style="0" width="46"/>
  </cols>
  <sheetData>
    <row r="1" customFormat="false" ht="15" hidden="false" customHeight="false" outlineLevel="0" collapsed="false">
      <c r="A1" s="1" t="s">
        <v>492</v>
      </c>
    </row>
    <row r="3" customFormat="false" ht="15" hidden="false" customHeight="false" outlineLevel="0" collapsed="false">
      <c r="A3" s="1" t="s">
        <v>493</v>
      </c>
      <c r="B3" s="1" t="s">
        <v>68</v>
      </c>
      <c r="C3" s="1" t="s">
        <v>170</v>
      </c>
    </row>
    <row r="4" customFormat="false" ht="15" hidden="false" customHeight="false" outlineLevel="0" collapsed="false">
      <c r="A4" s="1" t="s">
        <v>494</v>
      </c>
      <c r="B4" s="0" t="n">
        <f aca="false">SIMM_Delta!$B$163</f>
        <v>1718578.18010253</v>
      </c>
      <c r="C4" s="0" t="n">
        <f aca="false">SIMM_Delta!$B$175</f>
        <v>3678282.10518996</v>
      </c>
    </row>
    <row r="5" customFormat="false" ht="15" hidden="false" customHeight="false" outlineLevel="0" collapsed="false">
      <c r="A5" s="1" t="s">
        <v>495</v>
      </c>
      <c r="B5" s="0" t="n">
        <f aca="false">SIMM_Vega!$B$140</f>
        <v>440143.454064883</v>
      </c>
      <c r="C5" s="0" t="n">
        <f aca="false">SIMM_Vega!$B$156</f>
        <v>442605.255085219</v>
      </c>
    </row>
    <row r="6" customFormat="false" ht="15" hidden="false" customHeight="false" outlineLevel="0" collapsed="false">
      <c r="A6" s="1" t="s">
        <v>496</v>
      </c>
      <c r="B6" s="0" t="n">
        <f aca="false">SIMM_Curvature!$B$139</f>
        <v>209933.787737353</v>
      </c>
      <c r="C6" s="0" t="n">
        <f aca="false">SIMM_Curvature!$B$154</f>
        <v>462485.509478679</v>
      </c>
    </row>
    <row r="7" customFormat="false" ht="15" hidden="false" customHeight="false" outlineLevel="0" collapsed="false">
      <c r="A7" s="1" t="s">
        <v>497</v>
      </c>
      <c r="B7" s="0" t="n">
        <f aca="false">SUM(B4:B6)</f>
        <v>2368655.42190476</v>
      </c>
      <c r="C7" s="0" t="n">
        <f aca="false">SUM(C4:C6)</f>
        <v>4583372.86975386</v>
      </c>
    </row>
    <row r="8" customFormat="false" ht="15" hidden="false" customHeight="false" outlineLevel="0" collapsed="false">
      <c r="A8" s="1" t="s">
        <v>498</v>
      </c>
      <c r="B8" s="0" t="n">
        <f aca="false">INDEX(Parameters!$G$5:$G$689,MATCH(Inputs!$B$4&amp;"|ALL|"&amp;"psi"&amp;"|"&amp;"IR"&amp;"|"&amp;"FX",Parameters!$A$5:$A$689,0))</f>
        <v>0.15</v>
      </c>
    </row>
    <row r="9" customFormat="false" ht="15" hidden="false" customHeight="false" outlineLevel="0" collapsed="false">
      <c r="A9" s="1" t="s">
        <v>499</v>
      </c>
      <c r="B9" s="0" t="n">
        <f aca="false">INDEX(Parameters!$G$5:$G$689,MATCH(Inputs!$B$4&amp;"|ALL|"&amp;"multiplicative_scale_default"&amp;"|"&amp;"RatesFX"&amp;"|"&amp;"",Parameters!$A$5:$A$689,0))</f>
        <v>1</v>
      </c>
    </row>
    <row r="10" customFormat="false" ht="15" hidden="false" customHeight="false" outlineLevel="0" collapsed="false">
      <c r="A10" s="1" t="s">
        <v>500</v>
      </c>
      <c r="B10" s="0" t="n">
        <f aca="false">SQRT(MAX(0,B7^2+C7^2+2*B8*B7*C7))*B9</f>
        <v>5465781.24978311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2734375" defaultRowHeight="15" customHeight="false" zeroHeight="false" outlineLevelRow="0" outlineLevelCol="0"/>
  <cols>
    <col collapsed="false" customWidth="true" hidden="false" outlineLevel="0" max="1" min="1" style="0" width="46"/>
  </cols>
  <sheetData>
    <row r="1" customFormat="false" ht="15" hidden="false" customHeight="false" outlineLevel="0" collapsed="false">
      <c r="A1" s="1" t="s">
        <v>501</v>
      </c>
    </row>
    <row r="6" customFormat="false" ht="15" hidden="false" customHeight="false" outlineLevel="0" collapsed="false">
      <c r="A6" s="1" t="s">
        <v>502</v>
      </c>
      <c r="B6" s="1" t="s">
        <v>503</v>
      </c>
      <c r="C6" s="1" t="s">
        <v>504</v>
      </c>
      <c r="D6" s="1" t="s">
        <v>505</v>
      </c>
      <c r="E6" s="1" t="s">
        <v>506</v>
      </c>
      <c r="F6" s="1" t="s">
        <v>507</v>
      </c>
      <c r="G6" s="1" t="s">
        <v>508</v>
      </c>
      <c r="H6" s="1" t="s">
        <v>509</v>
      </c>
    </row>
    <row r="7" customFormat="false" ht="15" hidden="false" customHeight="false" outlineLevel="0" collapsed="false">
      <c r="A7" s="0" t="str">
        <f aca="false">Portfolio!$A$5</f>
        <v>IRS_USD_2Y</v>
      </c>
      <c r="B7" s="0" t="str">
        <f aca="false">Portfolio!$C$5</f>
        <v>IRS</v>
      </c>
      <c r="C7" s="0" t="str">
        <f aca="false">IF(OR(B7="IRS",B7="SWAPTION"),"Interest rate",IF(OR(B7="FXFWD",B7="FXOPT"),"Foreign exchange","Cross-currency swap"))</f>
        <v>Interest rate</v>
      </c>
      <c r="D7" s="0" t="n">
        <f aca="false">Portfolio!$I$5</f>
        <v>2</v>
      </c>
      <c r="E7" s="0" t="n">
        <f aca="false">ABS(Portfolio!$F$5)*INDEX(Inputs!$B$20:$B$24,MATCH(Portfolio!$D$5,Inputs!$A$20:$A$24,0))</f>
        <v>60000000</v>
      </c>
      <c r="F7" s="0" t="n">
        <f aca="false">SUMIFS(Parameters_Reg!$D$5:$D$17,Parameters_Reg!$A$5:$A$17,C7,Parameters_Reg!$B$5:$B$17,"&lt;="&amp;D7,Parameters_Reg!$C$5:$C$17,"&gt;"&amp;D7)/100</f>
        <v>0.02</v>
      </c>
      <c r="G7" s="0" t="n">
        <f aca="false">E7*F7</f>
        <v>1200000</v>
      </c>
      <c r="H7" s="0" t="n">
        <f aca="false">Portfolio!$M$5</f>
        <v>475770.616606461</v>
      </c>
    </row>
    <row r="8" customFormat="false" ht="15" hidden="false" customHeight="false" outlineLevel="0" collapsed="false">
      <c r="A8" s="0" t="str">
        <f aca="false">Portfolio!$A$6</f>
        <v>IRS_USD_5Y</v>
      </c>
      <c r="B8" s="0" t="str">
        <f aca="false">Portfolio!$C$6</f>
        <v>IRS</v>
      </c>
      <c r="C8" s="0" t="str">
        <f aca="false">IF(OR(B8="IRS",B8="SWAPTION"),"Interest rate",IF(OR(B8="FXFWD",B8="FXOPT"),"Foreign exchange","Cross-currency swap"))</f>
        <v>Interest rate</v>
      </c>
      <c r="D8" s="0" t="n">
        <f aca="false">Portfolio!$I$6</f>
        <v>5</v>
      </c>
      <c r="E8" s="0" t="n">
        <f aca="false">ABS(Portfolio!$F$6)*INDEX(Inputs!$B$20:$B$24,MATCH(Portfolio!$D$6,Inputs!$A$20:$A$24,0))</f>
        <v>40000000</v>
      </c>
      <c r="F8" s="0" t="n">
        <f aca="false">SUMIFS(Parameters_Reg!$D$5:$D$17,Parameters_Reg!$A$5:$A$17,C8,Parameters_Reg!$B$5:$B$17,"&lt;="&amp;D8,Parameters_Reg!$C$5:$C$17,"&gt;"&amp;D8)/100</f>
        <v>0.04</v>
      </c>
      <c r="G8" s="0" t="n">
        <f aca="false">E8*F8</f>
        <v>1600000</v>
      </c>
      <c r="H8" s="0" t="n">
        <f aca="false">Portfolio!$M$6</f>
        <v>-1042407.75255617</v>
      </c>
    </row>
    <row r="9" customFormat="false" ht="15" hidden="false" customHeight="false" outlineLevel="0" collapsed="false">
      <c r="A9" s="0" t="str">
        <f aca="false">Portfolio!$A$7</f>
        <v>IRS_USD_10Y</v>
      </c>
      <c r="B9" s="0" t="str">
        <f aca="false">Portfolio!$C$7</f>
        <v>IRS</v>
      </c>
      <c r="C9" s="0" t="str">
        <f aca="false">IF(OR(B9="IRS",B9="SWAPTION"),"Interest rate",IF(OR(B9="FXFWD",B9="FXOPT"),"Foreign exchange","Cross-currency swap"))</f>
        <v>Interest rate</v>
      </c>
      <c r="D9" s="0" t="n">
        <f aca="false">Portfolio!$I$7</f>
        <v>10</v>
      </c>
      <c r="E9" s="0" t="n">
        <f aca="false">ABS(Portfolio!$F$7)*INDEX(Inputs!$B$20:$B$24,MATCH(Portfolio!$D$7,Inputs!$A$20:$A$24,0))</f>
        <v>25000000</v>
      </c>
      <c r="F9" s="0" t="n">
        <f aca="false">SUMIFS(Parameters_Reg!$D$5:$D$17,Parameters_Reg!$A$5:$A$17,C9,Parameters_Reg!$B$5:$B$17,"&lt;="&amp;D9,Parameters_Reg!$C$5:$C$17,"&gt;"&amp;D9)/100</f>
        <v>0.04</v>
      </c>
      <c r="G9" s="0" t="n">
        <f aca="false">E9*F9</f>
        <v>1000000</v>
      </c>
      <c r="H9" s="0" t="n">
        <f aca="false">Portfolio!$M$7</f>
        <v>904650.831702938</v>
      </c>
    </row>
    <row r="10" customFormat="false" ht="15" hidden="false" customHeight="false" outlineLevel="0" collapsed="false">
      <c r="A10" s="0" t="str">
        <f aca="false">Portfolio!$A$8</f>
        <v>IRS_USD_30Y</v>
      </c>
      <c r="B10" s="0" t="str">
        <f aca="false">Portfolio!$C$8</f>
        <v>IRS</v>
      </c>
      <c r="C10" s="0" t="str">
        <f aca="false">IF(OR(B10="IRS",B10="SWAPTION"),"Interest rate",IF(OR(B10="FXFWD",B10="FXOPT"),"Foreign exchange","Cross-currency swap"))</f>
        <v>Interest rate</v>
      </c>
      <c r="D10" s="0" t="n">
        <f aca="false">Portfolio!$I$8</f>
        <v>30</v>
      </c>
      <c r="E10" s="0" t="n">
        <f aca="false">ABS(Portfolio!$F$8)*INDEX(Inputs!$B$20:$B$24,MATCH(Portfolio!$D$8,Inputs!$A$20:$A$24,0))</f>
        <v>10000000</v>
      </c>
      <c r="F10" s="0" t="n">
        <f aca="false">SUMIFS(Parameters_Reg!$D$5:$D$17,Parameters_Reg!$A$5:$A$17,C10,Parameters_Reg!$B$5:$B$17,"&lt;="&amp;D10,Parameters_Reg!$C$5:$C$17,"&gt;"&amp;D10)/100</f>
        <v>0.04</v>
      </c>
      <c r="G10" s="0" t="n">
        <f aca="false">E10*F10</f>
        <v>400000</v>
      </c>
      <c r="H10" s="0" t="n">
        <f aca="false">Portfolio!$M$8</f>
        <v>-539620.163258573</v>
      </c>
    </row>
    <row r="11" customFormat="false" ht="15" hidden="false" customHeight="false" outlineLevel="0" collapsed="false">
      <c r="A11" s="0" t="str">
        <f aca="false">Portfolio!$A$9</f>
        <v>IRS_EUR_5Y</v>
      </c>
      <c r="B11" s="0" t="str">
        <f aca="false">Portfolio!$C$9</f>
        <v>IRS</v>
      </c>
      <c r="C11" s="0" t="str">
        <f aca="false">IF(OR(B11="IRS",B11="SWAPTION"),"Interest rate",IF(OR(B11="FXFWD",B11="FXOPT"),"Foreign exchange","Cross-currency swap"))</f>
        <v>Interest rate</v>
      </c>
      <c r="D11" s="0" t="n">
        <f aca="false">Portfolio!$I$9</f>
        <v>5</v>
      </c>
      <c r="E11" s="0" t="n">
        <f aca="false">ABS(Portfolio!$F$9)*INDEX(Inputs!$B$20:$B$24,MATCH(Portfolio!$D$9,Inputs!$A$20:$A$24,0))</f>
        <v>32400000</v>
      </c>
      <c r="F11" s="0" t="n">
        <f aca="false">SUMIFS(Parameters_Reg!$D$5:$D$17,Parameters_Reg!$A$5:$A$17,C11,Parameters_Reg!$B$5:$B$17,"&lt;="&amp;D11,Parameters_Reg!$C$5:$C$17,"&gt;"&amp;D11)/100</f>
        <v>0.04</v>
      </c>
      <c r="G11" s="0" t="n">
        <f aca="false">E11*F11</f>
        <v>1296000</v>
      </c>
      <c r="H11" s="0" t="n">
        <f aca="false">Portfolio!$M$9</f>
        <v>362788.000573817</v>
      </c>
    </row>
    <row r="12" customFormat="false" ht="15" hidden="false" customHeight="false" outlineLevel="0" collapsed="false">
      <c r="A12" s="0" t="str">
        <f aca="false">Portfolio!$A$10</f>
        <v>IRS_EUR_10Y</v>
      </c>
      <c r="B12" s="0" t="str">
        <f aca="false">Portfolio!$C$10</f>
        <v>IRS</v>
      </c>
      <c r="C12" s="0" t="str">
        <f aca="false">IF(OR(B12="IRS",B12="SWAPTION"),"Interest rate",IF(OR(B12="FXFWD",B12="FXOPT"),"Foreign exchange","Cross-currency swap"))</f>
        <v>Interest rate</v>
      </c>
      <c r="D12" s="0" t="n">
        <f aca="false">Portfolio!$I$10</f>
        <v>10</v>
      </c>
      <c r="E12" s="0" t="n">
        <f aca="false">ABS(Portfolio!$F$10)*INDEX(Inputs!$B$20:$B$24,MATCH(Portfolio!$D$10,Inputs!$A$20:$A$24,0))</f>
        <v>21600000</v>
      </c>
      <c r="F12" s="0" t="n">
        <f aca="false">SUMIFS(Parameters_Reg!$D$5:$D$17,Parameters_Reg!$A$5:$A$17,C12,Parameters_Reg!$B$5:$B$17,"&lt;="&amp;D12,Parameters_Reg!$C$5:$C$17,"&gt;"&amp;D12)/100</f>
        <v>0.04</v>
      </c>
      <c r="G12" s="0" t="n">
        <f aca="false">E12*F12</f>
        <v>864000</v>
      </c>
      <c r="H12" s="0" t="n">
        <f aca="false">Portfolio!$M$10</f>
        <v>179763.14919883</v>
      </c>
    </row>
    <row r="13" customFormat="false" ht="15" hidden="false" customHeight="false" outlineLevel="0" collapsed="false">
      <c r="A13" s="0" t="str">
        <f aca="false">Portfolio!$A$11</f>
        <v>IRS_GBP_7Y</v>
      </c>
      <c r="B13" s="0" t="str">
        <f aca="false">Portfolio!$C$11</f>
        <v>IRS</v>
      </c>
      <c r="C13" s="0" t="str">
        <f aca="false">IF(OR(B13="IRS",B13="SWAPTION"),"Interest rate",IF(OR(B13="FXFWD",B13="FXOPT"),"Foreign exchange","Cross-currency swap"))</f>
        <v>Interest rate</v>
      </c>
      <c r="D13" s="0" t="n">
        <f aca="false">Portfolio!$I$11</f>
        <v>7</v>
      </c>
      <c r="E13" s="0" t="n">
        <f aca="false">ABS(Portfolio!$F$11)*INDEX(Inputs!$B$20:$B$24,MATCH(Portfolio!$D$11,Inputs!$A$20:$A$24,0))</f>
        <v>31750000</v>
      </c>
      <c r="F13" s="0" t="n">
        <f aca="false">SUMIFS(Parameters_Reg!$D$5:$D$17,Parameters_Reg!$A$5:$A$17,C13,Parameters_Reg!$B$5:$B$17,"&lt;="&amp;D13,Parameters_Reg!$C$5:$C$17,"&gt;"&amp;D13)/100</f>
        <v>0.04</v>
      </c>
      <c r="G13" s="0" t="n">
        <f aca="false">E13*F13</f>
        <v>1270000</v>
      </c>
      <c r="H13" s="0" t="n">
        <f aca="false">Portfolio!$M$11</f>
        <v>152323.825170485</v>
      </c>
    </row>
    <row r="14" customFormat="false" ht="15" hidden="false" customHeight="false" outlineLevel="0" collapsed="false">
      <c r="A14" s="0" t="str">
        <f aca="false">Portfolio!$A$12</f>
        <v>IRS_JPY_10Y</v>
      </c>
      <c r="B14" s="0" t="str">
        <f aca="false">Portfolio!$C$12</f>
        <v>IRS</v>
      </c>
      <c r="C14" s="0" t="str">
        <f aca="false">IF(OR(B14="IRS",B14="SWAPTION"),"Interest rate",IF(OR(B14="FXFWD",B14="FXOPT"),"Foreign exchange","Cross-currency swap"))</f>
        <v>Interest rate</v>
      </c>
      <c r="D14" s="0" t="n">
        <f aca="false">Portfolio!$I$12</f>
        <v>10</v>
      </c>
      <c r="E14" s="0" t="n">
        <f aca="false">ABS(Portfolio!$F$12)*INDEX(Inputs!$B$20:$B$24,MATCH(Portfolio!$D$12,Inputs!$A$20:$A$24,0))</f>
        <v>27027027.027027</v>
      </c>
      <c r="F14" s="0" t="n">
        <f aca="false">SUMIFS(Parameters_Reg!$D$5:$D$17,Parameters_Reg!$A$5:$A$17,C14,Parameters_Reg!$B$5:$B$17,"&lt;="&amp;D14,Parameters_Reg!$C$5:$C$17,"&gt;"&amp;D14)/100</f>
        <v>0.04</v>
      </c>
      <c r="G14" s="0" t="n">
        <f aca="false">E14*F14</f>
        <v>1081081.08108108</v>
      </c>
      <c r="H14" s="0" t="n">
        <f aca="false">Portfolio!$M$12</f>
        <v>-865234.251276554</v>
      </c>
    </row>
    <row r="15" customFormat="false" ht="15" hidden="false" customHeight="false" outlineLevel="0" collapsed="false">
      <c r="A15" s="0" t="str">
        <f aca="false">Portfolio!$A$13</f>
        <v>IRS_MXN_3Y</v>
      </c>
      <c r="B15" s="0" t="str">
        <f aca="false">Portfolio!$C$13</f>
        <v>IRS</v>
      </c>
      <c r="C15" s="0" t="str">
        <f aca="false">IF(OR(B15="IRS",B15="SWAPTION"),"Interest rate",IF(OR(B15="FXFWD",B15="FXOPT"),"Foreign exchange","Cross-currency swap"))</f>
        <v>Interest rate</v>
      </c>
      <c r="D15" s="0" t="n">
        <f aca="false">Portfolio!$I$13</f>
        <v>3</v>
      </c>
      <c r="E15" s="0" t="n">
        <f aca="false">ABS(Portfolio!$F$13)*INDEX(Inputs!$B$20:$B$24,MATCH(Portfolio!$D$13,Inputs!$A$20:$A$24,0))</f>
        <v>27777777.7777778</v>
      </c>
      <c r="F15" s="0" t="n">
        <f aca="false">SUMIFS(Parameters_Reg!$D$5:$D$17,Parameters_Reg!$A$5:$A$17,C15,Parameters_Reg!$B$5:$B$17,"&lt;="&amp;D15,Parameters_Reg!$C$5:$C$17,"&gt;"&amp;D15)/100</f>
        <v>0.02</v>
      </c>
      <c r="G15" s="0" t="n">
        <f aca="false">E15*F15</f>
        <v>555555.555555556</v>
      </c>
      <c r="H15" s="0" t="n">
        <f aca="false">Portfolio!$M$13</f>
        <v>1891311.2353144</v>
      </c>
    </row>
    <row r="16" customFormat="false" ht="15" hidden="false" customHeight="false" outlineLevel="0" collapsed="false">
      <c r="A16" s="0" t="str">
        <f aca="false">Portfolio!$A$14</f>
        <v>SWPT_USD_1Yx5Y</v>
      </c>
      <c r="B16" s="0" t="str">
        <f aca="false">Portfolio!$C$14</f>
        <v>SWAPTION</v>
      </c>
      <c r="C16" s="0" t="str">
        <f aca="false">IF(OR(B16="IRS",B16="SWAPTION"),"Interest rate",IF(OR(B16="FXFWD",B16="FXOPT"),"Foreign exchange","Cross-currency swap"))</f>
        <v>Interest rate</v>
      </c>
      <c r="D16" s="0" t="n">
        <f aca="false">Portfolio!$I$14</f>
        <v>6</v>
      </c>
      <c r="E16" s="0" t="n">
        <f aca="false">ABS(Portfolio!$F$14)*INDEX(Inputs!$B$20:$B$24,MATCH(Portfolio!$D$14,Inputs!$A$20:$A$24,0))</f>
        <v>50000000</v>
      </c>
      <c r="F16" s="0" t="n">
        <f aca="false">SUMIFS(Parameters_Reg!$D$5:$D$17,Parameters_Reg!$A$5:$A$17,C16,Parameters_Reg!$B$5:$B$17,"&lt;="&amp;D16,Parameters_Reg!$C$5:$C$17,"&gt;"&amp;D16)/100</f>
        <v>0.04</v>
      </c>
      <c r="G16" s="0" t="n">
        <f aca="false">E16*F16</f>
        <v>2000000</v>
      </c>
      <c r="H16" s="0" t="n">
        <f aca="false">Portfolio!$M$14</f>
        <v>1213662.4175248</v>
      </c>
    </row>
    <row r="17" customFormat="false" ht="15" hidden="false" customHeight="false" outlineLevel="0" collapsed="false">
      <c r="A17" s="0" t="str">
        <f aca="false">Portfolio!$A$15</f>
        <v>SWPT_EUR_4Yx10Y</v>
      </c>
      <c r="B17" s="0" t="str">
        <f aca="false">Portfolio!$C$15</f>
        <v>SWAPTION</v>
      </c>
      <c r="C17" s="0" t="str">
        <f aca="false">IF(OR(B17="IRS",B17="SWAPTION"),"Interest rate",IF(OR(B17="FXFWD",B17="FXOPT"),"Foreign exchange","Cross-currency swap"))</f>
        <v>Interest rate</v>
      </c>
      <c r="D17" s="0" t="n">
        <f aca="false">Portfolio!$I$15</f>
        <v>14</v>
      </c>
      <c r="E17" s="0" t="n">
        <f aca="false">ABS(Portfolio!$F$15)*INDEX(Inputs!$B$20:$B$24,MATCH(Portfolio!$D$15,Inputs!$A$20:$A$24,0))</f>
        <v>32400000</v>
      </c>
      <c r="F17" s="0" t="n">
        <f aca="false">SUMIFS(Parameters_Reg!$D$5:$D$17,Parameters_Reg!$A$5:$A$17,C17,Parameters_Reg!$B$5:$B$17,"&lt;="&amp;D17,Parameters_Reg!$C$5:$C$17,"&gt;"&amp;D17)/100</f>
        <v>0.04</v>
      </c>
      <c r="G17" s="0" t="n">
        <f aca="false">E17*F17</f>
        <v>1296000</v>
      </c>
      <c r="H17" s="0" t="n">
        <f aca="false">Portfolio!$M$15</f>
        <v>2062559.8388872</v>
      </c>
    </row>
    <row r="18" customFormat="false" ht="15" hidden="false" customHeight="false" outlineLevel="0" collapsed="false">
      <c r="A18" s="0" t="str">
        <f aca="false">Portfolio!$A$16</f>
        <v>SWPT_GBP_5Yx5Y</v>
      </c>
      <c r="B18" s="0" t="str">
        <f aca="false">Portfolio!$C$16</f>
        <v>SWAPTION</v>
      </c>
      <c r="C18" s="0" t="str">
        <f aca="false">IF(OR(B18="IRS",B18="SWAPTION"),"Interest rate",IF(OR(B18="FXFWD",B18="FXOPT"),"Foreign exchange","Cross-currency swap"))</f>
        <v>Interest rate</v>
      </c>
      <c r="D18" s="0" t="n">
        <f aca="false">Portfolio!$I$16</f>
        <v>10</v>
      </c>
      <c r="E18" s="0" t="n">
        <f aca="false">ABS(Portfolio!$F$16)*INDEX(Inputs!$B$20:$B$24,MATCH(Portfolio!$D$16,Inputs!$A$20:$A$24,0))</f>
        <v>31750000</v>
      </c>
      <c r="F18" s="0" t="n">
        <f aca="false">SUMIFS(Parameters_Reg!$D$5:$D$17,Parameters_Reg!$A$5:$A$17,C18,Parameters_Reg!$B$5:$B$17,"&lt;="&amp;D18,Parameters_Reg!$C$5:$C$17,"&gt;"&amp;D18)/100</f>
        <v>0.04</v>
      </c>
      <c r="G18" s="0" t="n">
        <f aca="false">E18*F18</f>
        <v>1270000</v>
      </c>
      <c r="H18" s="0" t="n">
        <f aca="false">Portfolio!$M$16</f>
        <v>-1037840.31239474</v>
      </c>
    </row>
    <row r="19" customFormat="false" ht="15" hidden="false" customHeight="false" outlineLevel="0" collapsed="false">
      <c r="A19" s="0" t="str">
        <f aca="false">Portfolio!$A$17</f>
        <v>FXF_EURUSD_6M</v>
      </c>
      <c r="B19" s="0" t="str">
        <f aca="false">Portfolio!$C$17</f>
        <v>FXFWD</v>
      </c>
      <c r="C19" s="0" t="str">
        <f aca="false">IF(OR(B19="IRS",B19="SWAPTION"),"Interest rate",IF(OR(B19="FXFWD",B19="FXOPT"),"Foreign exchange","Cross-currency swap"))</f>
        <v>Foreign exchange</v>
      </c>
      <c r="D19" s="0" t="n">
        <f aca="false">Portfolio!$I$17</f>
        <v>0.5</v>
      </c>
      <c r="E19" s="0" t="n">
        <f aca="false">ABS(Portfolio!$F$17)*INDEX(Inputs!$B$20:$B$24,MATCH(Portfolio!$D$17,Inputs!$A$20:$A$24,0))</f>
        <v>27000000</v>
      </c>
      <c r="F19" s="0" t="n">
        <f aca="false">SUMIFS(Parameters_Reg!$D$5:$D$17,Parameters_Reg!$A$5:$A$17,C19,Parameters_Reg!$B$5:$B$17,"&lt;="&amp;D19,Parameters_Reg!$C$5:$C$17,"&gt;"&amp;D19)/100</f>
        <v>0.06</v>
      </c>
      <c r="G19" s="0" t="n">
        <f aca="false">E19*F19</f>
        <v>1620000</v>
      </c>
      <c r="H19" s="0" t="n">
        <f aca="false">Portfolio!$M$17</f>
        <v>3371586.69905723</v>
      </c>
    </row>
    <row r="20" customFormat="false" ht="15" hidden="false" customHeight="false" outlineLevel="0" collapsed="false">
      <c r="A20" s="0" t="str">
        <f aca="false">Portfolio!$A$18</f>
        <v>FXF_GBPUSD_1Y</v>
      </c>
      <c r="B20" s="0" t="str">
        <f aca="false">Portfolio!$C$18</f>
        <v>FXFWD</v>
      </c>
      <c r="C20" s="0" t="str">
        <f aca="false">IF(OR(B20="IRS",B20="SWAPTION"),"Interest rate",IF(OR(B20="FXFWD",B20="FXOPT"),"Foreign exchange","Cross-currency swap"))</f>
        <v>Foreign exchange</v>
      </c>
      <c r="D20" s="0" t="n">
        <f aca="false">Portfolio!$I$18</f>
        <v>1</v>
      </c>
      <c r="E20" s="0" t="n">
        <f aca="false">ABS(Portfolio!$F$18)*INDEX(Inputs!$B$20:$B$24,MATCH(Portfolio!$D$18,Inputs!$A$20:$A$24,0))</f>
        <v>19050000</v>
      </c>
      <c r="F20" s="0" t="n">
        <f aca="false">SUMIFS(Parameters_Reg!$D$5:$D$17,Parameters_Reg!$A$5:$A$17,C20,Parameters_Reg!$B$5:$B$17,"&lt;="&amp;D20,Parameters_Reg!$C$5:$C$17,"&gt;"&amp;D20)/100</f>
        <v>0.06</v>
      </c>
      <c r="G20" s="0" t="n">
        <f aca="false">E20*F20</f>
        <v>1143000</v>
      </c>
      <c r="H20" s="0" t="n">
        <f aca="false">Portfolio!$M$18</f>
        <v>-299975.153860155</v>
      </c>
    </row>
    <row r="21" customFormat="false" ht="15" hidden="false" customHeight="false" outlineLevel="0" collapsed="false">
      <c r="A21" s="0" t="str">
        <f aca="false">Portfolio!$A$19</f>
        <v>FXF_USDJPY_3M</v>
      </c>
      <c r="B21" s="0" t="str">
        <f aca="false">Portfolio!$C$19</f>
        <v>FXFWD</v>
      </c>
      <c r="C21" s="0" t="str">
        <f aca="false">IF(OR(B21="IRS",B21="SWAPTION"),"Interest rate",IF(OR(B21="FXFWD",B21="FXOPT"),"Foreign exchange","Cross-currency swap"))</f>
        <v>Foreign exchange</v>
      </c>
      <c r="D21" s="0" t="n">
        <f aca="false">Portfolio!$I$19</f>
        <v>0.25</v>
      </c>
      <c r="E21" s="0" t="n">
        <f aca="false">ABS(Portfolio!$F$19)*INDEX(Inputs!$B$20:$B$24,MATCH(Portfolio!$D$19,Inputs!$A$20:$A$24,0))</f>
        <v>20000000</v>
      </c>
      <c r="F21" s="0" t="n">
        <f aca="false">SUMIFS(Parameters_Reg!$D$5:$D$17,Parameters_Reg!$A$5:$A$17,C21,Parameters_Reg!$B$5:$B$17,"&lt;="&amp;D21,Parameters_Reg!$C$5:$C$17,"&gt;"&amp;D21)/100</f>
        <v>0.06</v>
      </c>
      <c r="G21" s="0" t="n">
        <f aca="false">E21*F21</f>
        <v>1200000</v>
      </c>
      <c r="H21" s="0" t="n">
        <f aca="false">Portfolio!$M$19</f>
        <v>-250225.025804161</v>
      </c>
    </row>
    <row r="22" customFormat="false" ht="15" hidden="false" customHeight="false" outlineLevel="0" collapsed="false">
      <c r="A22" s="0" t="str">
        <f aca="false">Portfolio!$A$20</f>
        <v>FXF_USDMXN_6M</v>
      </c>
      <c r="B22" s="0" t="str">
        <f aca="false">Portfolio!$C$20</f>
        <v>FXFWD</v>
      </c>
      <c r="C22" s="0" t="str">
        <f aca="false">IF(OR(B22="IRS",B22="SWAPTION"),"Interest rate",IF(OR(B22="FXFWD",B22="FXOPT"),"Foreign exchange","Cross-currency swap"))</f>
        <v>Foreign exchange</v>
      </c>
      <c r="D22" s="0" t="n">
        <f aca="false">Portfolio!$I$20</f>
        <v>0.5</v>
      </c>
      <c r="E22" s="0" t="n">
        <f aca="false">ABS(Portfolio!$F$20)*INDEX(Inputs!$B$20:$B$24,MATCH(Portfolio!$D$20,Inputs!$A$20:$A$24,0))</f>
        <v>10000000</v>
      </c>
      <c r="F22" s="0" t="n">
        <f aca="false">SUMIFS(Parameters_Reg!$D$5:$D$17,Parameters_Reg!$A$5:$A$17,C22,Parameters_Reg!$B$5:$B$17,"&lt;="&amp;D22,Parameters_Reg!$C$5:$C$17,"&gt;"&amp;D22)/100</f>
        <v>0.06</v>
      </c>
      <c r="G22" s="0" t="n">
        <f aca="false">E22*F22</f>
        <v>600000</v>
      </c>
      <c r="H22" s="0" t="n">
        <f aca="false">Portfolio!$M$20</f>
        <v>918421.285157551</v>
      </c>
    </row>
    <row r="23" customFormat="false" ht="15" hidden="false" customHeight="false" outlineLevel="0" collapsed="false">
      <c r="A23" s="0" t="str">
        <f aca="false">Portfolio!$A$21</f>
        <v>FXO_EURUSD_C3M</v>
      </c>
      <c r="B23" s="0" t="str">
        <f aca="false">Portfolio!$C$21</f>
        <v>FXOPT</v>
      </c>
      <c r="C23" s="0" t="str">
        <f aca="false">IF(OR(B23="IRS",B23="SWAPTION"),"Interest rate",IF(OR(B23="FXFWD",B23="FXOPT"),"Foreign exchange","Cross-currency swap"))</f>
        <v>Foreign exchange</v>
      </c>
      <c r="D23" s="0" t="n">
        <f aca="false">Portfolio!$I$21</f>
        <v>0.25</v>
      </c>
      <c r="E23" s="0" t="n">
        <f aca="false">ABS(Portfolio!$F$21)*INDEX(Inputs!$B$20:$B$24,MATCH(Portfolio!$D$21,Inputs!$A$20:$A$24,0))</f>
        <v>21600000</v>
      </c>
      <c r="F23" s="0" t="n">
        <f aca="false">SUMIFS(Parameters_Reg!$D$5:$D$17,Parameters_Reg!$A$5:$A$17,C23,Parameters_Reg!$B$5:$B$17,"&lt;="&amp;D23,Parameters_Reg!$C$5:$C$17,"&gt;"&amp;D23)/100</f>
        <v>0.06</v>
      </c>
      <c r="G23" s="0" t="n">
        <f aca="false">E23*F23</f>
        <v>1296000</v>
      </c>
      <c r="H23" s="0" t="n">
        <f aca="false">Portfolio!$M$21</f>
        <v>2572583.61199879</v>
      </c>
    </row>
    <row r="24" customFormat="false" ht="15" hidden="false" customHeight="false" outlineLevel="0" collapsed="false">
      <c r="A24" s="0" t="str">
        <f aca="false">Portfolio!$A$22</f>
        <v>FXO_USDMXN_C1Y</v>
      </c>
      <c r="B24" s="0" t="str">
        <f aca="false">Portfolio!$C$22</f>
        <v>FXOPT</v>
      </c>
      <c r="C24" s="0" t="str">
        <f aca="false">IF(OR(B24="IRS",B24="SWAPTION"),"Interest rate",IF(OR(B24="FXFWD",B24="FXOPT"),"Foreign exchange","Cross-currency swap"))</f>
        <v>Foreign exchange</v>
      </c>
      <c r="D24" s="0" t="n">
        <f aca="false">Portfolio!$I$22</f>
        <v>1</v>
      </c>
      <c r="E24" s="0" t="n">
        <f aca="false">ABS(Portfolio!$F$22)*INDEX(Inputs!$B$20:$B$24,MATCH(Portfolio!$D$22,Inputs!$A$20:$A$24,0))</f>
        <v>10000000</v>
      </c>
      <c r="F24" s="0" t="n">
        <f aca="false">SUMIFS(Parameters_Reg!$D$5:$D$17,Parameters_Reg!$A$5:$A$17,C24,Parameters_Reg!$B$5:$B$17,"&lt;="&amp;D24,Parameters_Reg!$C$5:$C$17,"&gt;"&amp;D24)/100</f>
        <v>0.06</v>
      </c>
      <c r="G24" s="0" t="n">
        <f aca="false">E24*F24</f>
        <v>600000</v>
      </c>
      <c r="H24" s="0" t="n">
        <f aca="false">Portfolio!$M$22</f>
        <v>187279.150043305</v>
      </c>
    </row>
    <row r="25" customFormat="false" ht="15" hidden="false" customHeight="false" outlineLevel="0" collapsed="false">
      <c r="A25" s="0" t="str">
        <f aca="false">Portfolio!$A$23</f>
        <v>FXO_GBPUSD_STRADDLE_C</v>
      </c>
      <c r="B25" s="0" t="str">
        <f aca="false">Portfolio!$C$23</f>
        <v>FXOPT</v>
      </c>
      <c r="C25" s="0" t="str">
        <f aca="false">IF(OR(B25="IRS",B25="SWAPTION"),"Interest rate",IF(OR(B25="FXFWD",B25="FXOPT"),"Foreign exchange","Cross-currency swap"))</f>
        <v>Foreign exchange</v>
      </c>
      <c r="D25" s="0" t="n">
        <f aca="false">Portfolio!$I$23</f>
        <v>0.5</v>
      </c>
      <c r="E25" s="0" t="n">
        <f aca="false">ABS(Portfolio!$F$23)*INDEX(Inputs!$B$20:$B$24,MATCH(Portfolio!$D$23,Inputs!$A$20:$A$24,0))</f>
        <v>19050000</v>
      </c>
      <c r="F25" s="0" t="n">
        <f aca="false">SUMIFS(Parameters_Reg!$D$5:$D$17,Parameters_Reg!$A$5:$A$17,C25,Parameters_Reg!$B$5:$B$17,"&lt;="&amp;D25,Parameters_Reg!$C$5:$C$17,"&gt;"&amp;D25)/100</f>
        <v>0.06</v>
      </c>
      <c r="G25" s="0" t="n">
        <f aca="false">E25*F25</f>
        <v>1143000</v>
      </c>
      <c r="H25" s="0" t="n">
        <f aca="false">Portfolio!$M$23</f>
        <v>796644.10571804</v>
      </c>
    </row>
    <row r="26" customFormat="false" ht="15" hidden="false" customHeight="false" outlineLevel="0" collapsed="false">
      <c r="A26" s="0" t="str">
        <f aca="false">Portfolio!$A$24</f>
        <v>FXO_GBPUSD_STRADDLE_P</v>
      </c>
      <c r="B26" s="0" t="str">
        <f aca="false">Portfolio!$C$24</f>
        <v>FXOPT</v>
      </c>
      <c r="C26" s="0" t="str">
        <f aca="false">IF(OR(B26="IRS",B26="SWAPTION"),"Interest rate",IF(OR(B26="FXFWD",B26="FXOPT"),"Foreign exchange","Cross-currency swap"))</f>
        <v>Foreign exchange</v>
      </c>
      <c r="D26" s="0" t="n">
        <f aca="false">Portfolio!$I$24</f>
        <v>0.5</v>
      </c>
      <c r="E26" s="0" t="n">
        <f aca="false">ABS(Portfolio!$F$24)*INDEX(Inputs!$B$20:$B$24,MATCH(Portfolio!$D$24,Inputs!$A$20:$A$24,0))</f>
        <v>19050000</v>
      </c>
      <c r="F26" s="0" t="n">
        <f aca="false">SUMIFS(Parameters_Reg!$D$5:$D$17,Parameters_Reg!$A$5:$A$17,C26,Parameters_Reg!$B$5:$B$17,"&lt;="&amp;D26,Parameters_Reg!$C$5:$C$17,"&gt;"&amp;D26)/100</f>
        <v>0.06</v>
      </c>
      <c r="G26" s="0" t="n">
        <f aca="false">E26*F26</f>
        <v>1143000</v>
      </c>
      <c r="H26" s="0" t="n">
        <f aca="false">Portfolio!$M$24</f>
        <v>627283.677598768</v>
      </c>
    </row>
    <row r="28" customFormat="false" ht="15" hidden="false" customHeight="false" outlineLevel="0" collapsed="false">
      <c r="A28" s="1" t="s">
        <v>508</v>
      </c>
      <c r="B28" s="0" t="n">
        <f aca="false">SUM(G7:G26)</f>
        <v>22577636.6366366</v>
      </c>
    </row>
    <row r="29" customFormat="false" ht="15" hidden="false" customHeight="false" outlineLevel="0" collapsed="false">
      <c r="A29" s="1" t="s">
        <v>510</v>
      </c>
      <c r="B29" s="0" t="n">
        <f aca="false">SUM(H7:H26)</f>
        <v>11681325.7854023</v>
      </c>
    </row>
    <row r="30" customFormat="false" ht="15" hidden="false" customHeight="false" outlineLevel="0" collapsed="false">
      <c r="A30" s="1" t="s">
        <v>511</v>
      </c>
      <c r="B30" s="0" t="n">
        <f aca="false">SUMIF(H7:H26,"&gt;0")</f>
        <v>15716628.4445526</v>
      </c>
    </row>
    <row r="31" customFormat="false" ht="15" hidden="false" customHeight="false" outlineLevel="0" collapsed="false">
      <c r="A31" s="1" t="s">
        <v>512</v>
      </c>
      <c r="B31" s="0" t="n">
        <f aca="false">IF(B30&lt;=0,1,MAX(B29,0)/B30)</f>
        <v>0.743246290170524</v>
      </c>
    </row>
    <row r="32" customFormat="false" ht="15" hidden="false" customHeight="false" outlineLevel="0" collapsed="false">
      <c r="A32" s="1" t="s">
        <v>513</v>
      </c>
      <c r="B32" s="0" t="n">
        <f aca="false">Parameters_Reg!$K$5</f>
        <v>0.4</v>
      </c>
    </row>
    <row r="33" customFormat="false" ht="15" hidden="false" customHeight="false" outlineLevel="0" collapsed="false">
      <c r="A33" s="1" t="s">
        <v>514</v>
      </c>
      <c r="B33" s="0" t="n">
        <f aca="false">Parameters_Reg!$K$6</f>
        <v>0.6</v>
      </c>
    </row>
    <row r="34" customFormat="false" ht="15" hidden="false" customHeight="false" outlineLevel="0" collapsed="false">
      <c r="A34" s="1" t="s">
        <v>515</v>
      </c>
      <c r="B34" s="0" t="n">
        <f aca="false">B32*B28+B33*B31*B28</f>
        <v>19099501.4572536</v>
      </c>
    </row>
    <row r="35" customFormat="false" ht="15" hidden="false" customHeight="false" outlineLevel="0" collapsed="false">
      <c r="A35" s="1" t="s">
        <v>516</v>
      </c>
      <c r="B35" s="0" t="n">
        <f aca="false">SIMM_Total!$B$10</f>
        <v>5465781.24978311</v>
      </c>
    </row>
    <row r="36" customFormat="false" ht="15" hidden="false" customHeight="false" outlineLevel="0" collapsed="false">
      <c r="A36" s="1" t="s">
        <v>517</v>
      </c>
      <c r="B36" s="0" t="n">
        <f aca="false">B35/B34</f>
        <v>0.286174027213015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13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2734375" defaultRowHeight="15" customHeight="false" zeroHeight="false" outlineLevelRow="0" outlineLevelCol="0"/>
  <cols>
    <col collapsed="false" customWidth="true" hidden="false" outlineLevel="0" max="1" min="1" style="0" width="46"/>
  </cols>
  <sheetData>
    <row r="1" customFormat="false" ht="15" hidden="false" customHeight="false" outlineLevel="0" collapsed="false">
      <c r="A1" s="1" t="s">
        <v>518</v>
      </c>
    </row>
    <row r="3" customFormat="false" ht="15" hidden="false" customHeight="false" outlineLevel="0" collapsed="false">
      <c r="A3" s="1" t="s">
        <v>519</v>
      </c>
      <c r="F3" s="1" t="s">
        <v>520</v>
      </c>
    </row>
    <row r="4" customFormat="false" ht="15" hidden="false" customHeight="false" outlineLevel="0" collapsed="false">
      <c r="A4" s="1" t="s">
        <v>521</v>
      </c>
      <c r="B4" s="1" t="s">
        <v>522</v>
      </c>
      <c r="C4" s="1" t="s">
        <v>523</v>
      </c>
      <c r="D4" s="1" t="s">
        <v>524</v>
      </c>
      <c r="F4" s="1" t="s">
        <v>521</v>
      </c>
      <c r="G4" s="1" t="s">
        <v>522</v>
      </c>
      <c r="H4" s="1" t="s">
        <v>523</v>
      </c>
      <c r="I4" s="1" t="s">
        <v>524</v>
      </c>
      <c r="L4" s="1" t="s">
        <v>525</v>
      </c>
      <c r="M4" s="1" t="s">
        <v>526</v>
      </c>
      <c r="O4" s="1" t="s">
        <v>527</v>
      </c>
      <c r="P4" s="1" t="s">
        <v>528</v>
      </c>
      <c r="Q4" s="1" t="s">
        <v>529</v>
      </c>
      <c r="R4" s="1" t="s">
        <v>530</v>
      </c>
    </row>
    <row r="5" customFormat="false" ht="15" hidden="false" customHeight="false" outlineLevel="0" collapsed="false">
      <c r="A5" s="0" t="s">
        <v>531</v>
      </c>
      <c r="B5" s="0" t="n">
        <v>143961.613221272</v>
      </c>
      <c r="C5" s="0" t="n">
        <v>1501193.84657868</v>
      </c>
      <c r="D5" s="0" t="n">
        <f aca="false">IF(B5&gt;C5,1,0)</f>
        <v>0</v>
      </c>
      <c r="F5" s="0" t="s">
        <v>531</v>
      </c>
      <c r="G5" s="0" t="n">
        <v>465742.553106728</v>
      </c>
      <c r="H5" s="0" t="n">
        <v>3845550.94094743</v>
      </c>
      <c r="I5" s="0" t="n">
        <f aca="false">IF(G5&gt;H5,1,0)</f>
        <v>0</v>
      </c>
      <c r="K5" s="1" t="s">
        <v>532</v>
      </c>
      <c r="L5" s="0" t="n">
        <f aca="false">COUNT($B$5:$B$1331)</f>
        <v>1327</v>
      </c>
      <c r="M5" s="0" t="n">
        <f aca="false">COUNT($G$5:$G$136)</f>
        <v>132</v>
      </c>
      <c r="O5" s="0" t="n">
        <f aca="false">ROW()-5</f>
        <v>0</v>
      </c>
      <c r="P5" s="0" t="n">
        <f aca="false">IF(O5&gt;$L$5,1,BINOMDIST(O5,$L$5,$L$7,TRUE()))</f>
        <v>1.61399888717981E-006</v>
      </c>
      <c r="Q5" s="0" t="n">
        <f aca="false">IF(O5&gt;$M$5,1,BINOMDIST(O5,$M$5,$M$7,TRUE()))</f>
        <v>0.265366249747705</v>
      </c>
      <c r="R5" s="0" t="n">
        <f aca="false">IF(O5&gt;Inputs!$B$10,1,BINOMDIST(O5,Inputs!$B$10,Inputs!$B$6,TRUE()))</f>
        <v>0.0810585161621813</v>
      </c>
    </row>
    <row r="6" customFormat="false" ht="15" hidden="false" customHeight="false" outlineLevel="0" collapsed="false">
      <c r="A6" s="0" t="s">
        <v>533</v>
      </c>
      <c r="B6" s="0" t="n">
        <v>399798.948557766</v>
      </c>
      <c r="C6" s="0" t="n">
        <v>1520594.93173507</v>
      </c>
      <c r="D6" s="0" t="n">
        <f aca="false">IF(B6&gt;C6,1,0)</f>
        <v>0</v>
      </c>
      <c r="F6" s="0" t="s">
        <v>534</v>
      </c>
      <c r="G6" s="0" t="n">
        <v>150589.185799314</v>
      </c>
      <c r="H6" s="0" t="n">
        <v>3793849.94395703</v>
      </c>
      <c r="I6" s="0" t="n">
        <f aca="false">IF(G6&gt;H6,1,0)</f>
        <v>0</v>
      </c>
      <c r="K6" s="1" t="s">
        <v>535</v>
      </c>
      <c r="L6" s="0" t="n">
        <f aca="false">SUM($D$5:$D$1331)</f>
        <v>18</v>
      </c>
      <c r="M6" s="0" t="n">
        <f aca="false">SUM($I$5:$I$136)</f>
        <v>1</v>
      </c>
      <c r="O6" s="0" t="n">
        <f aca="false">ROW()-5</f>
        <v>1</v>
      </c>
      <c r="P6" s="0" t="n">
        <f aca="false">IF(O6&gt;$L$5,1,BINOMDIST(O6,$L$5,$L$7,TRUE()))</f>
        <v>2.32481051830143E-005</v>
      </c>
      <c r="Q6" s="0" t="n">
        <f aca="false">IF(O6&gt;$M$5,1,BINOMDIST(O6,$M$5,$M$7,TRUE()))</f>
        <v>0.61918791607798</v>
      </c>
      <c r="R6" s="0" t="n">
        <f aca="false">IF(O6&gt;Inputs!$B$10,1,BINOMDIST(O6,Inputs!$B$10,Inputs!$B$6,TRUE()))</f>
        <v>0.285751738793952</v>
      </c>
    </row>
    <row r="7" customFormat="false" ht="15" hidden="false" customHeight="false" outlineLevel="0" collapsed="false">
      <c r="A7" s="0" t="s">
        <v>536</v>
      </c>
      <c r="B7" s="0" t="n">
        <v>18566.5358410389</v>
      </c>
      <c r="C7" s="0" t="n">
        <v>1492286.97601601</v>
      </c>
      <c r="D7" s="0" t="n">
        <f aca="false">IF(B7&gt;C7,1,0)</f>
        <v>0</v>
      </c>
      <c r="F7" s="0" t="s">
        <v>537</v>
      </c>
      <c r="G7" s="0" t="n">
        <v>-129891.913617262</v>
      </c>
      <c r="H7" s="0" t="n">
        <v>3768419.47967603</v>
      </c>
      <c r="I7" s="0" t="n">
        <f aca="false">IF(G7&gt;H7,1,0)</f>
        <v>0</v>
      </c>
      <c r="K7" s="1" t="s">
        <v>538</v>
      </c>
      <c r="L7" s="0" t="n">
        <f aca="false">Inputs!$B$6</f>
        <v>0.01</v>
      </c>
      <c r="M7" s="0" t="n">
        <f aca="false">Inputs!$B$6</f>
        <v>0.01</v>
      </c>
      <c r="O7" s="0" t="n">
        <f aca="false">ROW()-5</f>
        <v>2</v>
      </c>
      <c r="P7" s="0" t="n">
        <f aca="false">IF(O7&gt;$L$5,1,BINOMDIST(O7,$L$5,$L$7,TRUE()))</f>
        <v>0.000168131059467239</v>
      </c>
      <c r="Q7" s="0" t="n">
        <f aca="false">IF(O7&gt;$M$5,1,BINOMDIST(O7,$M$5,$M$7,TRUE()))</f>
        <v>0.85328204885205</v>
      </c>
      <c r="R7" s="0" t="n">
        <f aca="false">IF(O7&gt;Inputs!$B$10,1,BINOMDIST(O7,Inputs!$B$10,Inputs!$B$6,TRUE()))</f>
        <v>0.543168973315725</v>
      </c>
    </row>
    <row r="8" customFormat="false" ht="15" hidden="false" customHeight="false" outlineLevel="0" collapsed="false">
      <c r="A8" s="0" t="s">
        <v>539</v>
      </c>
      <c r="B8" s="0" t="n">
        <v>-111814.107231363</v>
      </c>
      <c r="C8" s="0" t="n">
        <v>1489482.01775762</v>
      </c>
      <c r="D8" s="0" t="n">
        <f aca="false">IF(B8&gt;C8,1,0)</f>
        <v>0</v>
      </c>
      <c r="F8" s="0" t="s">
        <v>540</v>
      </c>
      <c r="G8" s="0" t="n">
        <v>291881.355139025</v>
      </c>
      <c r="H8" s="0" t="n">
        <v>3702054.64872584</v>
      </c>
      <c r="I8" s="0" t="n">
        <f aca="false">IF(G8&gt;H8,1,0)</f>
        <v>0</v>
      </c>
      <c r="K8" s="1" t="s">
        <v>541</v>
      </c>
      <c r="L8" s="0" t="n">
        <f aca="false">L6/L5</f>
        <v>0.0135644310474755</v>
      </c>
      <c r="M8" s="0" t="n">
        <f aca="false">M6/M5</f>
        <v>0.00757575757575758</v>
      </c>
      <c r="O8" s="0" t="n">
        <f aca="false">ROW()-5</f>
        <v>3</v>
      </c>
      <c r="P8" s="0" t="n">
        <f aca="false">IF(O8&gt;$L$5,1,BINOMDIST(O8,$L$5,$L$7,TRUE()))</f>
        <v>0.000814494407704945</v>
      </c>
      <c r="Q8" s="0" t="n">
        <f aca="false">IF(O8&gt;$M$5,1,BINOMDIST(O8,$M$5,$M$7,TRUE()))</f>
        <v>0.955747494174034</v>
      </c>
      <c r="R8" s="0" t="n">
        <f aca="false">IF(O8&gt;Inputs!$B$10,1,BINOMDIST(O8,Inputs!$B$10,Inputs!$B$6,TRUE()))</f>
        <v>0.758116697764883</v>
      </c>
    </row>
    <row r="9" customFormat="false" ht="15" hidden="false" customHeight="false" outlineLevel="0" collapsed="false">
      <c r="A9" s="0" t="s">
        <v>542</v>
      </c>
      <c r="B9" s="0" t="n">
        <v>72805.0760305449</v>
      </c>
      <c r="C9" s="0" t="n">
        <v>1494584.19644707</v>
      </c>
      <c r="D9" s="0" t="n">
        <f aca="false">IF(B9&gt;C9,1,0)</f>
        <v>0</v>
      </c>
      <c r="F9" s="0" t="s">
        <v>543</v>
      </c>
      <c r="G9" s="0" t="n">
        <v>-389376.591553704</v>
      </c>
      <c r="H9" s="0" t="n">
        <v>3804857.96907202</v>
      </c>
      <c r="I9" s="0" t="n">
        <f aca="false">IF(G9&gt;H9,1,0)</f>
        <v>0</v>
      </c>
      <c r="K9" s="1" t="s">
        <v>544</v>
      </c>
      <c r="L9" s="0" t="n">
        <f aca="false">(L5-L6)*LN(1-L7)+L6*LN(L7)</f>
        <v>-96.048952980019</v>
      </c>
      <c r="M9" s="0" t="n">
        <f aca="false">(M5-M6)*LN(1-M7)+M6*LN(M7)</f>
        <v>-5.92176418279678</v>
      </c>
      <c r="O9" s="0" t="n">
        <f aca="false">ROW()-5</f>
        <v>4</v>
      </c>
      <c r="P9" s="0" t="n">
        <f aca="false">IF(O9&gt;$L$5,1,BINOMDIST(O9,$L$5,$L$7,TRUE()))</f>
        <v>0.0029755678245401</v>
      </c>
      <c r="Q9" s="0" t="n">
        <f aca="false">IF(O9&gt;$M$5,1,BINOMDIST(O9,$M$5,$M$7,TRUE()))</f>
        <v>0.989126389241044</v>
      </c>
      <c r="R9" s="0" t="n">
        <f aca="false">IF(O9&gt;Inputs!$B$10,1,BINOMDIST(O9,Inputs!$B$10,Inputs!$B$6,TRUE()))</f>
        <v>0.892187626903625</v>
      </c>
    </row>
    <row r="10" customFormat="false" ht="15" hidden="false" customHeight="false" outlineLevel="0" collapsed="false">
      <c r="A10" s="0" t="s">
        <v>545</v>
      </c>
      <c r="B10" s="0" t="n">
        <v>-198751.416187643</v>
      </c>
      <c r="C10" s="0" t="n">
        <v>1499747.44931486</v>
      </c>
      <c r="D10" s="0" t="n">
        <f aca="false">IF(B10&gt;C10,1,0)</f>
        <v>0</v>
      </c>
      <c r="F10" s="0" t="s">
        <v>546</v>
      </c>
      <c r="G10" s="0" t="n">
        <v>-1063919.59496251</v>
      </c>
      <c r="H10" s="0" t="n">
        <v>3686587.63978075</v>
      </c>
      <c r="I10" s="0" t="n">
        <f aca="false">IF(G10&gt;H10,1,0)</f>
        <v>0</v>
      </c>
      <c r="K10" s="1" t="s">
        <v>547</v>
      </c>
      <c r="L10" s="0" t="n">
        <f aca="false">IF(L6=0,0,L6*LN(L8))+IF(L5-L6=0,0,(L5-L6)*LN(1-L8))</f>
        <v>-95.2828413406494</v>
      </c>
      <c r="M10" s="0" t="n">
        <f aca="false">IF(M6=0,0,M6*LN(M8))+IF(M5-M6=0,0,(M5-M6)*LN(1-M8))</f>
        <v>-5.8790044420501</v>
      </c>
      <c r="O10" s="0" t="n">
        <f aca="false">ROW()-5</f>
        <v>5</v>
      </c>
      <c r="P10" s="0" t="n">
        <f aca="false">IF(O10&gt;$L$5,1,BINOMDIST(O10,$L$5,$L$7,TRUE()))</f>
        <v>0.00875152768408135</v>
      </c>
      <c r="Q10" s="0" t="n">
        <f aca="false">IF(O10&gt;$M$5,1,BINOMDIST(O10,$M$5,$M$7,TRUE()))</f>
        <v>0.997757699480594</v>
      </c>
      <c r="R10" s="0" t="n">
        <f aca="false">IF(O10&gt;Inputs!$B$10,1,BINOMDIST(O10,Inputs!$B$10,Inputs!$B$6,TRUE()))</f>
        <v>0.958816815930152</v>
      </c>
    </row>
    <row r="11" customFormat="false" ht="15" hidden="false" customHeight="false" outlineLevel="0" collapsed="false">
      <c r="A11" s="0" t="s">
        <v>548</v>
      </c>
      <c r="B11" s="0" t="n">
        <v>-191218.792064252</v>
      </c>
      <c r="C11" s="0" t="n">
        <v>1503242.58496595</v>
      </c>
      <c r="D11" s="0" t="n">
        <f aca="false">IF(B11&gt;C11,1,0)</f>
        <v>0</v>
      </c>
      <c r="F11" s="0" t="s">
        <v>549</v>
      </c>
      <c r="G11" s="0" t="n">
        <v>1262662.88586921</v>
      </c>
      <c r="H11" s="0" t="n">
        <v>3599884.75177144</v>
      </c>
      <c r="I11" s="0" t="n">
        <f aca="false">IF(G11&gt;H11,1,0)</f>
        <v>0</v>
      </c>
      <c r="K11" s="1" t="s">
        <v>550</v>
      </c>
      <c r="L11" s="0" t="n">
        <f aca="false">MAX(0,-2*L9+2*L10)</f>
        <v>1.53222327873922</v>
      </c>
      <c r="M11" s="0" t="n">
        <f aca="false">MAX(0,-2*M9+2*M10)</f>
        <v>0.0855194814933604</v>
      </c>
      <c r="O11" s="0" t="n">
        <f aca="false">ROW()-5</f>
        <v>6</v>
      </c>
      <c r="P11" s="0" t="n">
        <f aca="false">IF(O11&gt;$L$5,1,BINOMDIST(O11,$L$5,$L$7,TRUE()))</f>
        <v>0.0216064417149122</v>
      </c>
      <c r="Q11" s="0" t="n">
        <f aca="false">IF(O11&gt;$M$5,1,BINOMDIST(O11,$M$5,$M$7,TRUE()))</f>
        <v>0.999603114296121</v>
      </c>
      <c r="R11" s="0" t="n">
        <f aca="false">IF(O11&gt;Inputs!$B$10,1,BINOMDIST(O11,Inputs!$B$10,Inputs!$B$6,TRUE()))</f>
        <v>0.986298552144797</v>
      </c>
    </row>
    <row r="12" customFormat="false" ht="15" hidden="false" customHeight="false" outlineLevel="0" collapsed="false">
      <c r="A12" s="0" t="s">
        <v>551</v>
      </c>
      <c r="B12" s="0" t="n">
        <v>104790.946368414</v>
      </c>
      <c r="C12" s="0" t="n">
        <v>1502043.60631383</v>
      </c>
      <c r="D12" s="0" t="n">
        <f aca="false">IF(B12&gt;C12,1,0)</f>
        <v>0</v>
      </c>
      <c r="F12" s="0" t="s">
        <v>552</v>
      </c>
      <c r="G12" s="0" t="n">
        <v>245877.119350663</v>
      </c>
      <c r="H12" s="0" t="n">
        <v>3694058.86585022</v>
      </c>
      <c r="I12" s="0" t="n">
        <f aca="false">IF(G12&gt;H12,1,0)</f>
        <v>0</v>
      </c>
      <c r="K12" s="1" t="s">
        <v>553</v>
      </c>
      <c r="L12" s="0" t="n">
        <f aca="false">CHIDIST(L11,1)</f>
        <v>0.215779076698978</v>
      </c>
      <c r="M12" s="0" t="n">
        <f aca="false">CHIDIST(M11,1)</f>
        <v>0.769952414212104</v>
      </c>
      <c r="O12" s="0" t="n">
        <f aca="false">ROW()-5</f>
        <v>7</v>
      </c>
      <c r="P12" s="0" t="n">
        <f aca="false">IF(O12&gt;$L$5,1,BINOMDIST(O12,$L$5,$L$7,TRUE()))</f>
        <v>0.0461105419093243</v>
      </c>
      <c r="Q12" s="0" t="n">
        <f aca="false">IF(O12&gt;$M$5,1,BINOMDIST(O12,$M$5,$M$7,TRUE()))</f>
        <v>0.99993864426258</v>
      </c>
      <c r="R12" s="0" t="n">
        <f aca="false">IF(O12&gt;Inputs!$B$10,1,BINOMDIST(O12,Inputs!$B$10,Inputs!$B$6,TRUE()))</f>
        <v>0.995974661288193</v>
      </c>
    </row>
    <row r="13" customFormat="false" ht="15" hidden="false" customHeight="false" outlineLevel="0" collapsed="false">
      <c r="A13" s="0" t="s">
        <v>554</v>
      </c>
      <c r="B13" s="0" t="n">
        <v>58936.1647606297</v>
      </c>
      <c r="C13" s="0" t="n">
        <v>1510339.44150311</v>
      </c>
      <c r="D13" s="0" t="n">
        <f aca="false">IF(B13&gt;C13,1,0)</f>
        <v>0</v>
      </c>
      <c r="F13" s="0" t="s">
        <v>555</v>
      </c>
      <c r="G13" s="0" t="n">
        <v>882725.731973604</v>
      </c>
      <c r="H13" s="0" t="n">
        <v>3833680.47118096</v>
      </c>
      <c r="I13" s="0" t="n">
        <f aca="false">IF(G13&gt;H13,1,0)</f>
        <v>0</v>
      </c>
      <c r="K13" s="1" t="s">
        <v>556</v>
      </c>
      <c r="L13" s="0" t="n">
        <f aca="false">SUMPRODUCT(($D$5:$D$1330=0)*($D$6:$D$1331=0))</f>
        <v>1292</v>
      </c>
      <c r="M13" s="0" t="n">
        <f aca="false">SUMPRODUCT(($I$5:$I$135=0)*($I$6:$I$136=0))</f>
        <v>129</v>
      </c>
      <c r="O13" s="0" t="n">
        <f aca="false">ROW()-5</f>
        <v>8</v>
      </c>
      <c r="P13" s="0" t="n">
        <f aca="false">IF(O13&gt;$L$5,1,BINOMDIST(O13,$L$5,$L$7,TRUE()))</f>
        <v>0.0869507089000112</v>
      </c>
      <c r="Q13" s="0" t="n">
        <f aca="false">IF(O13&gt;$M$5,1,BINOMDIST(O13,$M$5,$M$7,TRUE()))</f>
        <v>0.999991600381024</v>
      </c>
      <c r="R13" s="0" t="n">
        <f aca="false">IF(O13&gt;Inputs!$B$10,1,BINOMDIST(O13,Inputs!$B$10,Inputs!$B$6,TRUE()))</f>
        <v>0.998943467502644</v>
      </c>
    </row>
    <row r="14" customFormat="false" ht="15" hidden="false" customHeight="false" outlineLevel="0" collapsed="false">
      <c r="A14" s="0" t="s">
        <v>557</v>
      </c>
      <c r="B14" s="0" t="n">
        <v>168667.583810322</v>
      </c>
      <c r="C14" s="0" t="n">
        <v>1544914.32874201</v>
      </c>
      <c r="D14" s="0" t="n">
        <f aca="false">IF(B14&gt;C14,1,0)</f>
        <v>0</v>
      </c>
      <c r="F14" s="0" t="s">
        <v>558</v>
      </c>
      <c r="G14" s="0" t="n">
        <v>-1502442.86363882</v>
      </c>
      <c r="H14" s="0" t="n">
        <v>3911374.07422595</v>
      </c>
      <c r="I14" s="0" t="n">
        <f aca="false">IF(G14&gt;H14,1,0)</f>
        <v>0</v>
      </c>
      <c r="K14" s="1" t="s">
        <v>559</v>
      </c>
      <c r="L14" s="0" t="n">
        <f aca="false">SUMPRODUCT(($D$5:$D$1330=0)*($D$6:$D$1331=1))</f>
        <v>16</v>
      </c>
      <c r="M14" s="0" t="n">
        <f aca="false">SUMPRODUCT(($I$5:$I$135=0)*($I$6:$I$136=1))</f>
        <v>1</v>
      </c>
      <c r="O14" s="0" t="n">
        <f aca="false">ROW()-5</f>
        <v>9</v>
      </c>
      <c r="P14" s="0" t="n">
        <f aca="false">IF(O14&gt;$L$5,1,BINOMDIST(O14,$L$5,$L$7,TRUE()))</f>
        <v>0.147408823670736</v>
      </c>
      <c r="Q14" s="0" t="n">
        <f aca="false">IF(O14&gt;$M$5,1,BINOMDIST(O14,$M$5,$M$7,TRUE()))</f>
        <v>0.999998970256093</v>
      </c>
      <c r="R14" s="0" t="n">
        <f aca="false">IF(O14&gt;Inputs!$B$10,1,BINOMDIST(O14,Inputs!$B$10,Inputs!$B$6,TRUE()))</f>
        <v>0.99974980993126</v>
      </c>
    </row>
    <row r="15" customFormat="false" ht="15" hidden="false" customHeight="false" outlineLevel="0" collapsed="false">
      <c r="A15" s="0" t="s">
        <v>534</v>
      </c>
      <c r="B15" s="0" t="n">
        <v>21707.5087105832</v>
      </c>
      <c r="C15" s="0" t="n">
        <v>1535254.9842694</v>
      </c>
      <c r="D15" s="0" t="n">
        <f aca="false">IF(B15&gt;C15,1,0)</f>
        <v>0</v>
      </c>
      <c r="F15" s="0" t="s">
        <v>560</v>
      </c>
      <c r="G15" s="0" t="n">
        <v>-1182862.47136426</v>
      </c>
      <c r="H15" s="0" t="n">
        <v>3773336.17497862</v>
      </c>
      <c r="I15" s="0" t="n">
        <f aca="false">IF(G15&gt;H15,1,0)</f>
        <v>0</v>
      </c>
      <c r="K15" s="1" t="s">
        <v>561</v>
      </c>
      <c r="L15" s="0" t="n">
        <f aca="false">SUMPRODUCT(($D$5:$D$1330=1)*($D$6:$D$1331=0))</f>
        <v>16</v>
      </c>
      <c r="M15" s="0" t="n">
        <f aca="false">SUMPRODUCT(($I$5:$I$135=1)*($I$6:$I$136=0))</f>
        <v>1</v>
      </c>
      <c r="O15" s="0" t="n">
        <f aca="false">ROW()-5</f>
        <v>10</v>
      </c>
      <c r="P15" s="0" t="n">
        <f aca="false">IF(O15&gt;$L$5,1,BINOMDIST(O15,$L$5,$L$7,TRUE()))</f>
        <v>0.227897505759439</v>
      </c>
      <c r="Q15" s="0" t="n">
        <f aca="false">IF(O15&gt;$M$5,1,BINOMDIST(O15,$M$5,$M$7,TRUE()))</f>
        <v>0.999999885907238</v>
      </c>
      <c r="R15" s="0" t="n">
        <f aca="false">IF(O15&gt;Inputs!$B$10,1,BINOMDIST(O15,Inputs!$B$10,Inputs!$B$6,TRUE()))</f>
        <v>0.999946101370953</v>
      </c>
    </row>
    <row r="16" customFormat="false" ht="15" hidden="false" customHeight="false" outlineLevel="0" collapsed="false">
      <c r="A16" s="0" t="s">
        <v>562</v>
      </c>
      <c r="B16" s="0" t="n">
        <v>-199269.820297993</v>
      </c>
      <c r="C16" s="0" t="n">
        <v>1548611.65712858</v>
      </c>
      <c r="D16" s="0" t="n">
        <f aca="false">IF(B16&gt;C16,1,0)</f>
        <v>0</v>
      </c>
      <c r="F16" s="0" t="s">
        <v>563</v>
      </c>
      <c r="G16" s="0" t="n">
        <v>790710.849906212</v>
      </c>
      <c r="H16" s="0" t="n">
        <v>3729277.59376699</v>
      </c>
      <c r="I16" s="0" t="n">
        <f aca="false">IF(G16&gt;H16,1,0)</f>
        <v>0</v>
      </c>
      <c r="K16" s="1" t="s">
        <v>564</v>
      </c>
      <c r="L16" s="0" t="n">
        <f aca="false">SUMPRODUCT(($D$5:$D$1330=1)*($D$6:$D$1331=1))</f>
        <v>2</v>
      </c>
      <c r="M16" s="0" t="n">
        <f aca="false">SUMPRODUCT(($I$5:$I$135=1)*($I$6:$I$136=1))</f>
        <v>0</v>
      </c>
      <c r="O16" s="0" t="n">
        <f aca="false">ROW()-5</f>
        <v>11</v>
      </c>
      <c r="P16" s="0" t="n">
        <f aca="false">IF(O16&gt;$L$5,1,BINOMDIST(O16,$L$5,$L$7,TRUE()))</f>
        <v>0.325237812748256</v>
      </c>
      <c r="Q16" s="0" t="n">
        <f aca="false">IF(O16&gt;$M$5,1,BINOMDIST(O16,$M$5,$M$7,TRUE()))</f>
        <v>0.999999988487073</v>
      </c>
      <c r="R16" s="0" t="n">
        <f aca="false">IF(O16&gt;Inputs!$B$10,1,BINOMDIST(O16,Inputs!$B$10,Inputs!$B$6,TRUE()))</f>
        <v>0.999989361192374</v>
      </c>
    </row>
    <row r="17" customFormat="false" ht="15" hidden="false" customHeight="false" outlineLevel="0" collapsed="false">
      <c r="A17" s="0" t="s">
        <v>565</v>
      </c>
      <c r="B17" s="0" t="n">
        <v>-19383.103320912</v>
      </c>
      <c r="C17" s="0" t="n">
        <v>1515115.15740909</v>
      </c>
      <c r="D17" s="0" t="n">
        <f aca="false">IF(B17&gt;C17,1,0)</f>
        <v>0</v>
      </c>
      <c r="F17" s="0" t="s">
        <v>566</v>
      </c>
      <c r="G17" s="0" t="n">
        <v>1848485.15189086</v>
      </c>
      <c r="H17" s="0" t="n">
        <v>3837805.15016282</v>
      </c>
      <c r="I17" s="0" t="n">
        <f aca="false">IF(G17&gt;H17,1,0)</f>
        <v>0</v>
      </c>
      <c r="K17" s="1" t="s">
        <v>567</v>
      </c>
      <c r="L17" s="0" t="n">
        <f aca="false">IF(L13+L14=0,0,L14/(L13+L14))</f>
        <v>0.0122324159021407</v>
      </c>
      <c r="M17" s="0" t="n">
        <f aca="false">IF(M13+M14=0,0,M14/(M13+M14))</f>
        <v>0.00769230769230769</v>
      </c>
      <c r="O17" s="0" t="n">
        <f aca="false">ROW()-5</f>
        <v>12</v>
      </c>
      <c r="P17" s="0" t="n">
        <f aca="false">IF(O17&gt;$L$5,1,BINOMDIST(O17,$L$5,$L$7,TRUE()))</f>
        <v>0.433065964261121</v>
      </c>
      <c r="Q17" s="0" t="n">
        <f aca="false">IF(O17&gt;$M$5,1,BINOMDIST(O17,$M$5,$M$7,TRUE()))</f>
        <v>0.999999998935019</v>
      </c>
      <c r="R17" s="0" t="n">
        <f aca="false">IF(O17&gt;Inputs!$B$10,1,BINOMDIST(O17,Inputs!$B$10,Inputs!$B$6,TRUE()))</f>
        <v>0.999998064136245</v>
      </c>
    </row>
    <row r="18" customFormat="false" ht="15" hidden="false" customHeight="false" outlineLevel="0" collapsed="false">
      <c r="A18" s="0" t="s">
        <v>568</v>
      </c>
      <c r="B18" s="0" t="n">
        <v>80522.9215134811</v>
      </c>
      <c r="C18" s="0" t="n">
        <v>1456957.02877052</v>
      </c>
      <c r="D18" s="0" t="n">
        <f aca="false">IF(B18&gt;C18,1,0)</f>
        <v>0</v>
      </c>
      <c r="F18" s="0" t="s">
        <v>569</v>
      </c>
      <c r="G18" s="0" t="n">
        <v>362347.054722298</v>
      </c>
      <c r="H18" s="0" t="n">
        <v>3853939.23362464</v>
      </c>
      <c r="I18" s="0" t="n">
        <f aca="false">IF(G18&gt;H18,1,0)</f>
        <v>0</v>
      </c>
      <c r="K18" s="1" t="s">
        <v>570</v>
      </c>
      <c r="L18" s="0" t="n">
        <f aca="false">IF(L15+L16=0,0,L16/(L15+L16))</f>
        <v>0.111111111111111</v>
      </c>
      <c r="M18" s="0" t="n">
        <f aca="false">IF(M15+M16=0,0,M16/(M15+M16))</f>
        <v>0</v>
      </c>
      <c r="O18" s="0" t="n">
        <f aca="false">ROW()-5</f>
        <v>13</v>
      </c>
      <c r="P18" s="0" t="n">
        <f aca="false">IF(O18&gt;$L$5,1,BINOMDIST(O18,$L$5,$L$7,TRUE()))</f>
        <v>0.543240027384211</v>
      </c>
      <c r="Q18" s="0" t="n">
        <f aca="false">IF(O18&gt;$M$5,1,BINOMDIST(O18,$M$5,$M$7,TRUE()))</f>
        <v>0.999999999909186</v>
      </c>
      <c r="R18" s="0" t="n">
        <f aca="false">IF(O18&gt;Inputs!$B$10,1,BINOMDIST(O18,Inputs!$B$10,Inputs!$B$6,TRUE()))</f>
        <v>0.999999673538453</v>
      </c>
    </row>
    <row r="19" customFormat="false" ht="15" hidden="false" customHeight="false" outlineLevel="0" collapsed="false">
      <c r="A19" s="0" t="s">
        <v>571</v>
      </c>
      <c r="B19" s="0" t="n">
        <v>394657.814045609</v>
      </c>
      <c r="C19" s="0" t="n">
        <v>1462444.33049891</v>
      </c>
      <c r="D19" s="0" t="n">
        <f aca="false">IF(B19&gt;C19,1,0)</f>
        <v>0</v>
      </c>
      <c r="F19" s="0" t="s">
        <v>572</v>
      </c>
      <c r="G19" s="0" t="n">
        <v>169812.739337817</v>
      </c>
      <c r="H19" s="0" t="n">
        <v>3717261.36404325</v>
      </c>
      <c r="I19" s="0" t="n">
        <f aca="false">IF(G19&gt;H19,1,0)</f>
        <v>0</v>
      </c>
      <c r="K19" s="1" t="s">
        <v>573</v>
      </c>
      <c r="L19" s="0" t="n">
        <f aca="false">(L14+L16)/(L13+L14+L15+L16)</f>
        <v>0.0135746606334842</v>
      </c>
      <c r="M19" s="0" t="n">
        <f aca="false">(M14+M16)/(M13+M14+M15+M16)</f>
        <v>0.00763358778625954</v>
      </c>
      <c r="O19" s="0" t="n">
        <f aca="false">ROW()-5</f>
        <v>14</v>
      </c>
      <c r="P19" s="0" t="n">
        <f aca="false">IF(O19&gt;$L$5,1,BINOMDIST(O19,$L$5,$L$7,TRUE()))</f>
        <v>0.647690762552856</v>
      </c>
      <c r="Q19" s="0" t="n">
        <f aca="false">IF(O19&gt;$M$5,1,BINOMDIST(O19,$M$5,$M$7,TRUE()))</f>
        <v>0.999999999992827</v>
      </c>
      <c r="R19" s="0" t="n">
        <f aca="false">IF(O19&gt;Inputs!$B$10,1,BINOMDIST(O19,Inputs!$B$10,Inputs!$B$6,TRUE()))</f>
        <v>0.999999948739263</v>
      </c>
    </row>
    <row r="20" customFormat="false" ht="15" hidden="false" customHeight="false" outlineLevel="0" collapsed="false">
      <c r="A20" s="0" t="s">
        <v>574</v>
      </c>
      <c r="B20" s="0" t="n">
        <v>119972.600563908</v>
      </c>
      <c r="C20" s="0" t="n">
        <v>1490909.04615212</v>
      </c>
      <c r="D20" s="0" t="n">
        <f aca="false">IF(B20&gt;C20,1,0)</f>
        <v>0</v>
      </c>
      <c r="F20" s="0" t="s">
        <v>575</v>
      </c>
      <c r="G20" s="0" t="n">
        <v>477349.676567139</v>
      </c>
      <c r="H20" s="0" t="n">
        <v>3824073.94770018</v>
      </c>
      <c r="I20" s="0" t="n">
        <f aca="false">IF(G20&gt;H20,1,0)</f>
        <v>0</v>
      </c>
      <c r="K20" s="1" t="s">
        <v>576</v>
      </c>
      <c r="L20" s="0" t="n">
        <f aca="false">IF(L13=0,0,L13*LN(1-L17))+IF(L14=0,0,L14*LN(L17))+IF(L15=0,0,L15*LN(1-L18))+IF(L16=0,0,L16*LN(L18))</f>
        <v>-92.6393698771915</v>
      </c>
      <c r="M20" s="0" t="n">
        <f aca="false">IF(M13=0,0,M13*LN(1-M17))+IF(M14=0,0,M14*LN(M17))+IF(M15=0,0,M15*LN(1-M18))+IF(M16=0,0,M16*LN(M18))</f>
        <v>-5.86367839657001</v>
      </c>
      <c r="O20" s="0" t="n">
        <f aca="false">ROW()-5</f>
        <v>15</v>
      </c>
      <c r="P20" s="0" t="n">
        <f aca="false">IF(O20&gt;$L$5,1,BINOMDIST(O20,$L$5,$L$7,TRUE()))</f>
        <v>0.740043500112741</v>
      </c>
      <c r="Q20" s="0" t="n">
        <f aca="false">IF(O20&gt;$M$5,1,BINOMDIST(O20,$M$5,$M$7,TRUE()))</f>
        <v>0.999999999999473</v>
      </c>
      <c r="R20" s="0" t="n">
        <f aca="false">IF(O20&gt;Inputs!$B$10,1,BINOMDIST(O20,Inputs!$B$10,Inputs!$B$6,TRUE()))</f>
        <v>0.99999999247488</v>
      </c>
    </row>
    <row r="21" customFormat="false" ht="15" hidden="false" customHeight="false" outlineLevel="0" collapsed="false">
      <c r="A21" s="0" t="s">
        <v>577</v>
      </c>
      <c r="B21" s="0" t="n">
        <v>60794.0518063244</v>
      </c>
      <c r="C21" s="0" t="n">
        <v>1470546.21960502</v>
      </c>
      <c r="D21" s="0" t="n">
        <f aca="false">IF(B21&gt;C21,1,0)</f>
        <v>0</v>
      </c>
      <c r="F21" s="0" t="s">
        <v>578</v>
      </c>
      <c r="G21" s="0" t="n">
        <v>-295657.057581484</v>
      </c>
      <c r="H21" s="0" t="n">
        <v>3822942.10548228</v>
      </c>
      <c r="I21" s="0" t="n">
        <f aca="false">IF(G21&gt;H21,1,0)</f>
        <v>0</v>
      </c>
      <c r="K21" s="1" t="s">
        <v>579</v>
      </c>
      <c r="L21" s="0" t="n">
        <f aca="false">IF(L13+L15=0,0,(L13+L15)*LN(1-L19))+IF(L14+L16=0,0,(L14+L16)*LN(L19))</f>
        <v>-95.2691788883858</v>
      </c>
      <c r="M21" s="0" t="n">
        <f aca="false">IF(M13+M15=0,0,(M13+M15)*LN(1-M19))+IF(M14+M16=0,0,(M14+M16)*LN(M19))</f>
        <v>-5.87137078012514</v>
      </c>
      <c r="O21" s="0" t="n">
        <f aca="false">ROW()-5</f>
        <v>16</v>
      </c>
      <c r="P21" s="0" t="n">
        <f aca="false">IF(O21&gt;$L$5,1,BINOMDIST(O21,$L$5,$L$7,TRUE()))</f>
        <v>0.816537686778505</v>
      </c>
      <c r="Q21" s="0" t="n">
        <f aca="false">IF(O21&gt;$M$5,1,BINOMDIST(O21,$M$5,$M$7,TRUE()))</f>
        <v>0.999999999999964</v>
      </c>
      <c r="R21" s="0" t="n">
        <f aca="false">IF(O21&gt;Inputs!$B$10,1,BINOMDIST(O21,Inputs!$B$10,Inputs!$B$6,TRUE()))</f>
        <v>0.999999998963435</v>
      </c>
    </row>
    <row r="22" customFormat="false" ht="15" hidden="false" customHeight="false" outlineLevel="0" collapsed="false">
      <c r="A22" s="0" t="s">
        <v>580</v>
      </c>
      <c r="B22" s="0" t="n">
        <v>233540.190703237</v>
      </c>
      <c r="C22" s="0" t="n">
        <v>1492043.80400577</v>
      </c>
      <c r="D22" s="0" t="n">
        <f aca="false">IF(B22&gt;C22,1,0)</f>
        <v>0</v>
      </c>
      <c r="F22" s="0" t="s">
        <v>581</v>
      </c>
      <c r="G22" s="0" t="n">
        <v>-561507.719303159</v>
      </c>
      <c r="H22" s="0" t="n">
        <v>3922035.0795232</v>
      </c>
      <c r="I22" s="0" t="n">
        <f aca="false">IF(G22&gt;H22,1,0)</f>
        <v>0</v>
      </c>
      <c r="K22" s="1" t="s">
        <v>582</v>
      </c>
      <c r="L22" s="0" t="n">
        <f aca="false">MAX(0,2*(L20-L21))</f>
        <v>5.25961802238859</v>
      </c>
      <c r="M22" s="0" t="n">
        <f aca="false">MAX(0,2*(M20-M21))</f>
        <v>0.0153847671102625</v>
      </c>
      <c r="O22" s="0" t="n">
        <f aca="false">ROW()-5</f>
        <v>17</v>
      </c>
      <c r="P22" s="0" t="n">
        <f aca="false">IF(O22&gt;$L$5,1,BINOMDIST(O22,$L$5,$L$7,TRUE()))</f>
        <v>0.876124067478931</v>
      </c>
      <c r="Q22" s="0" t="n">
        <f aca="false">IF(O22&gt;$M$5,1,BINOMDIST(O22,$M$5,$M$7,TRUE()))</f>
        <v>0.999999999999998</v>
      </c>
      <c r="R22" s="0" t="n">
        <f aca="false">IF(O22&gt;Inputs!$B$10,1,BINOMDIST(O22,Inputs!$B$10,Inputs!$B$6,TRUE()))</f>
        <v>0.999999999865586</v>
      </c>
    </row>
    <row r="23" customFormat="false" ht="15" hidden="false" customHeight="false" outlineLevel="0" collapsed="false">
      <c r="A23" s="0" t="s">
        <v>583</v>
      </c>
      <c r="B23" s="0" t="n">
        <v>-373094.93119722</v>
      </c>
      <c r="C23" s="0" t="n">
        <v>1510045.68851115</v>
      </c>
      <c r="D23" s="0" t="n">
        <f aca="false">IF(B23&gt;C23,1,0)</f>
        <v>0</v>
      </c>
      <c r="F23" s="0" t="s">
        <v>584</v>
      </c>
      <c r="G23" s="0" t="n">
        <v>-602520.861179236</v>
      </c>
      <c r="H23" s="0" t="n">
        <v>4148100.11511322</v>
      </c>
      <c r="I23" s="0" t="n">
        <f aca="false">IF(G23&gt;H23,1,0)</f>
        <v>0</v>
      </c>
      <c r="K23" s="1" t="s">
        <v>585</v>
      </c>
      <c r="L23" s="0" t="n">
        <f aca="false">CHIDIST(L22,1)</f>
        <v>0.0218258085109973</v>
      </c>
      <c r="M23" s="0" t="n">
        <f aca="false">CHIDIST(M22,1)</f>
        <v>0.901287288914089</v>
      </c>
      <c r="O23" s="0" t="n">
        <f aca="false">ROW()-5</f>
        <v>18</v>
      </c>
      <c r="P23" s="0" t="n">
        <f aca="false">IF(O23&gt;$L$5,1,BINOMDIST(O23,$L$5,$L$7,TRUE()))</f>
        <v>0.919927748016281</v>
      </c>
      <c r="Q23" s="0" t="n">
        <f aca="false">IF(O23&gt;$M$5,1,BINOMDIST(O23,$M$5,$M$7,TRUE()))</f>
        <v>1</v>
      </c>
      <c r="R23" s="0" t="n">
        <f aca="false">IF(O23&gt;Inputs!$B$10,1,BINOMDIST(O23,Inputs!$B$10,Inputs!$B$6,TRUE()))</f>
        <v>0.999999999983545</v>
      </c>
    </row>
    <row r="24" customFormat="false" ht="15" hidden="false" customHeight="false" outlineLevel="0" collapsed="false">
      <c r="A24" s="0" t="s">
        <v>586</v>
      </c>
      <c r="B24" s="0" t="n">
        <v>-168858.046727704</v>
      </c>
      <c r="C24" s="0" t="n">
        <v>1520440.15280158</v>
      </c>
      <c r="D24" s="0" t="n">
        <f aca="false">IF(B24&gt;C24,1,0)</f>
        <v>0</v>
      </c>
      <c r="F24" s="0" t="s">
        <v>587</v>
      </c>
      <c r="G24" s="0" t="n">
        <v>179618.061096908</v>
      </c>
      <c r="H24" s="0" t="n">
        <v>4246824.09427936</v>
      </c>
      <c r="I24" s="0" t="n">
        <f aca="false">IF(G24&gt;H24,1,0)</f>
        <v>0</v>
      </c>
      <c r="K24" s="1" t="s">
        <v>588</v>
      </c>
      <c r="L24" s="0" t="n">
        <f aca="false">L11+L22</f>
        <v>6.79184130112782</v>
      </c>
      <c r="M24" s="0" t="n">
        <f aca="false">M11+M22</f>
        <v>0.100904248603623</v>
      </c>
      <c r="O24" s="0" t="n">
        <f aca="false">ROW()-5</f>
        <v>19</v>
      </c>
      <c r="P24" s="0" t="n">
        <f aca="false">IF(O24&gt;$L$5,1,BINOMDIST(O24,$L$5,$L$7,TRUE()))</f>
        <v>0.950411011080285</v>
      </c>
      <c r="Q24" s="0" t="n">
        <f aca="false">IF(O24&gt;$M$5,1,BINOMDIST(O24,$M$5,$M$7,TRUE()))</f>
        <v>1</v>
      </c>
      <c r="R24" s="0" t="n">
        <f aca="false">IF(O24&gt;Inputs!$B$10,1,BINOMDIST(O24,Inputs!$B$10,Inputs!$B$6,TRUE()))</f>
        <v>0.999999999998093</v>
      </c>
    </row>
    <row r="25" customFormat="false" ht="15" hidden="false" customHeight="false" outlineLevel="0" collapsed="false">
      <c r="A25" s="0" t="s">
        <v>537</v>
      </c>
      <c r="B25" s="0" t="n">
        <v>83318.2960290602</v>
      </c>
      <c r="C25" s="0" t="n">
        <v>1526659.4649687</v>
      </c>
      <c r="D25" s="0" t="n">
        <f aca="false">IF(B25&gt;C25,1,0)</f>
        <v>0</v>
      </c>
      <c r="F25" s="0" t="s">
        <v>589</v>
      </c>
      <c r="G25" s="0" t="n">
        <v>643305.553816526</v>
      </c>
      <c r="H25" s="0" t="n">
        <v>4173927.42589784</v>
      </c>
      <c r="I25" s="0" t="n">
        <f aca="false">IF(G25&gt;H25,1,0)</f>
        <v>0</v>
      </c>
      <c r="K25" s="1" t="s">
        <v>590</v>
      </c>
      <c r="L25" s="0" t="n">
        <f aca="false">CHIDIST(L24,2)</f>
        <v>0.0335096892521193</v>
      </c>
      <c r="M25" s="0" t="n">
        <f aca="false">CHIDIST(M24,2)</f>
        <v>0.950799447770088</v>
      </c>
      <c r="O25" s="0" t="n">
        <f aca="false">ROW()-5</f>
        <v>20</v>
      </c>
      <c r="P25" s="0" t="n">
        <f aca="false">IF(O25&gt;$L$5,1,BINOMDIST(O25,$L$5,$L$7,TRUE()))</f>
        <v>0.970548439407415</v>
      </c>
      <c r="Q25" s="0" t="n">
        <f aca="false">IF(O25&gt;$M$5,1,BINOMDIST(O25,$M$5,$M$7,TRUE()))</f>
        <v>1</v>
      </c>
      <c r="R25" s="0" t="n">
        <f aca="false">IF(O25&gt;Inputs!$B$10,1,BINOMDIST(O25,Inputs!$B$10,Inputs!$B$6,TRUE()))</f>
        <v>0.999999999999791</v>
      </c>
    </row>
    <row r="26" customFormat="false" ht="15" hidden="false" customHeight="false" outlineLevel="0" collapsed="false">
      <c r="A26" s="0" t="s">
        <v>591</v>
      </c>
      <c r="B26" s="0" t="n">
        <v>-217639.773121868</v>
      </c>
      <c r="C26" s="0" t="n">
        <v>1550639.36690035</v>
      </c>
      <c r="D26" s="0" t="n">
        <f aca="false">IF(B26&gt;C26,1,0)</f>
        <v>0</v>
      </c>
      <c r="F26" s="0" t="s">
        <v>592</v>
      </c>
      <c r="G26" s="0" t="n">
        <v>508191.90428206</v>
      </c>
      <c r="H26" s="0" t="n">
        <v>4579959.23858638</v>
      </c>
      <c r="I26" s="0" t="n">
        <f aca="false">IF(G26&gt;H26,1,0)</f>
        <v>0</v>
      </c>
      <c r="K26" s="1" t="s">
        <v>593</v>
      </c>
      <c r="L26" s="0" t="n">
        <f aca="false">COUNTIF($P$5:$P$105,"&lt;"&amp;Inputs!$B$7)</f>
        <v>19</v>
      </c>
      <c r="M26" s="0" t="n">
        <f aca="false">COUNTIF($Q$5:$Q$105,"&lt;"&amp;Inputs!$B$7)</f>
        <v>3</v>
      </c>
      <c r="O26" s="0" t="n">
        <f aca="false">ROW()-5</f>
        <v>21</v>
      </c>
      <c r="P26" s="0" t="n">
        <f aca="false">IF(O26&gt;$L$5,1,BINOMDIST(O26,$L$5,$L$7,TRUE()))</f>
        <v>0.983208188721296</v>
      </c>
      <c r="Q26" s="0" t="n">
        <f aca="false">IF(O26&gt;$M$5,1,BINOMDIST(O26,$M$5,$M$7,TRUE()))</f>
        <v>1</v>
      </c>
      <c r="R26" s="0" t="n">
        <f aca="false">IF(O26&gt;Inputs!$B$10,1,BINOMDIST(O26,Inputs!$B$10,Inputs!$B$6,TRUE()))</f>
        <v>0.999999999999979</v>
      </c>
    </row>
    <row r="27" customFormat="false" ht="15" hidden="false" customHeight="false" outlineLevel="0" collapsed="false">
      <c r="A27" s="0" t="s">
        <v>594</v>
      </c>
      <c r="B27" s="0" t="n">
        <v>-102240.996031846</v>
      </c>
      <c r="C27" s="0" t="n">
        <v>1560134.03637526</v>
      </c>
      <c r="D27" s="0" t="n">
        <f aca="false">IF(B27&gt;C27,1,0)</f>
        <v>0</v>
      </c>
      <c r="F27" s="0" t="s">
        <v>595</v>
      </c>
      <c r="G27" s="0" t="n">
        <v>-1128732.98268143</v>
      </c>
      <c r="H27" s="0" t="n">
        <v>4553344.57435388</v>
      </c>
      <c r="I27" s="0" t="n">
        <f aca="false">IF(G27&gt;H27,1,0)</f>
        <v>0</v>
      </c>
      <c r="K27" s="1" t="s">
        <v>596</v>
      </c>
      <c r="L27" s="0" t="n">
        <f aca="false">COUNTIF($P$5:$P$105,"&lt;"&amp;Inputs!$B$8)</f>
        <v>29</v>
      </c>
      <c r="M27" s="0" t="n">
        <f aca="false">COUNTIF($Q$5:$Q$105,"&lt;"&amp;Inputs!$B$8)</f>
        <v>7</v>
      </c>
      <c r="O27" s="0" t="n">
        <f aca="false">ROW()-5</f>
        <v>22</v>
      </c>
      <c r="P27" s="0" t="n">
        <f aca="false">IF(O27&gt;$L$5,1,BINOMDIST(O27,$L$5,$L$7,TRUE()))</f>
        <v>0.990799388263963</v>
      </c>
      <c r="Q27" s="0" t="n">
        <f aca="false">IF(O27&gt;$M$5,1,BINOMDIST(O27,$M$5,$M$7,TRUE()))</f>
        <v>1</v>
      </c>
      <c r="R27" s="0" t="n">
        <f aca="false">IF(O27&gt;Inputs!$B$10,1,BINOMDIST(O27,Inputs!$B$10,Inputs!$B$6,TRUE()))</f>
        <v>0.999999999999998</v>
      </c>
    </row>
    <row r="28" customFormat="false" ht="15" hidden="false" customHeight="false" outlineLevel="0" collapsed="false">
      <c r="A28" s="0" t="s">
        <v>597</v>
      </c>
      <c r="B28" s="0" t="n">
        <v>96657.8795969547</v>
      </c>
      <c r="C28" s="0" t="n">
        <v>1509294.46272413</v>
      </c>
      <c r="D28" s="0" t="n">
        <f aca="false">IF(B28&gt;C28,1,0)</f>
        <v>0</v>
      </c>
      <c r="F28" s="0" t="s">
        <v>598</v>
      </c>
      <c r="G28" s="0" t="n">
        <v>-1297395.76713997</v>
      </c>
      <c r="H28" s="0" t="n">
        <v>4567308.30729367</v>
      </c>
      <c r="I28" s="0" t="n">
        <f aca="false">IF(G28&gt;H28,1,0)</f>
        <v>0</v>
      </c>
      <c r="K28" s="1" t="s">
        <v>599</v>
      </c>
      <c r="L28" s="0" t="str">
        <f aca="false">IF(L6&gt;=L27,"Red",IF(L6&gt;=L26,"Yellow","Green"))</f>
        <v>Green</v>
      </c>
      <c r="M28" s="0" t="str">
        <f aca="false">IF(M6&gt;=M27,"Red",IF(M6&gt;=M26,"Yellow","Green"))</f>
        <v>Green</v>
      </c>
      <c r="O28" s="0" t="n">
        <f aca="false">ROW()-5</f>
        <v>23</v>
      </c>
      <c r="P28" s="0" t="n">
        <f aca="false">IF(O28&gt;$L$5,1,BINOMDIST(O28,$L$5,$L$7,TRUE()))</f>
        <v>0.99515007574889</v>
      </c>
      <c r="Q28" s="0" t="n">
        <f aca="false">IF(O28&gt;$M$5,1,BINOMDIST(O28,$M$5,$M$7,TRUE()))</f>
        <v>1</v>
      </c>
      <c r="R28" s="0" t="n">
        <f aca="false">IF(O28&gt;Inputs!$B$10,1,BINOMDIST(O28,Inputs!$B$10,Inputs!$B$6,TRUE()))</f>
        <v>1</v>
      </c>
    </row>
    <row r="29" customFormat="false" ht="15" hidden="false" customHeight="false" outlineLevel="0" collapsed="false">
      <c r="A29" s="0" t="s">
        <v>600</v>
      </c>
      <c r="B29" s="0" t="n">
        <v>-107042.290896436</v>
      </c>
      <c r="C29" s="0" t="n">
        <v>1515412.51313511</v>
      </c>
      <c r="D29" s="0" t="n">
        <f aca="false">IF(B29&gt;C29,1,0)</f>
        <v>0</v>
      </c>
      <c r="F29" s="0" t="s">
        <v>601</v>
      </c>
      <c r="G29" s="0" t="n">
        <v>1026900.35003956</v>
      </c>
      <c r="H29" s="0" t="n">
        <v>4490619.39995284</v>
      </c>
      <c r="I29" s="0" t="n">
        <f aca="false">IF(G29&gt;H29,1,0)</f>
        <v>0</v>
      </c>
      <c r="K29" s="1" t="s">
        <v>602</v>
      </c>
      <c r="L29" s="0" t="n">
        <f aca="false">SUM($D$1082:$D$1331)</f>
        <v>0</v>
      </c>
      <c r="O29" s="0" t="n">
        <f aca="false">ROW()-5</f>
        <v>24</v>
      </c>
      <c r="P29" s="0" t="n">
        <f aca="false">IF(O29&gt;$L$5,1,BINOMDIST(O29,$L$5,$L$7,TRUE()))</f>
        <v>0.997537826792807</v>
      </c>
      <c r="Q29" s="0" t="n">
        <f aca="false">IF(O29&gt;$M$5,1,BINOMDIST(O29,$M$5,$M$7,TRUE()))</f>
        <v>1</v>
      </c>
      <c r="R29" s="0" t="n">
        <f aca="false">IF(O29&gt;Inputs!$B$10,1,BINOMDIST(O29,Inputs!$B$10,Inputs!$B$6,TRUE()))</f>
        <v>1</v>
      </c>
    </row>
    <row r="30" customFormat="false" ht="15" hidden="false" customHeight="false" outlineLevel="0" collapsed="false">
      <c r="A30" s="0" t="s">
        <v>603</v>
      </c>
      <c r="B30" s="0" t="n">
        <v>68157.3379689194</v>
      </c>
      <c r="C30" s="0" t="n">
        <v>1539698.69961012</v>
      </c>
      <c r="D30" s="0" t="n">
        <f aca="false">IF(B30&gt;C30,1,0)</f>
        <v>0</v>
      </c>
      <c r="F30" s="0" t="s">
        <v>604</v>
      </c>
      <c r="G30" s="0" t="n">
        <v>-1215348.12906936</v>
      </c>
      <c r="H30" s="0" t="n">
        <v>4415398.66135223</v>
      </c>
      <c r="I30" s="0" t="n">
        <f aca="false">IF(G30&gt;H30,1,0)</f>
        <v>0</v>
      </c>
      <c r="K30" s="1" t="s">
        <v>605</v>
      </c>
      <c r="L30" s="0" t="str">
        <f aca="false">IF(L29&gt;=L33,"Red",IF(L29&gt;=L32,"Yellow","Green"))</f>
        <v>Green</v>
      </c>
      <c r="O30" s="0" t="n">
        <f aca="false">ROW()-5</f>
        <v>25</v>
      </c>
      <c r="P30" s="0" t="n">
        <f aca="false">IF(O30&gt;$L$5,1,BINOMDIST(O30,$L$5,$L$7,TRUE()))</f>
        <v>0.998794893301988</v>
      </c>
      <c r="Q30" s="0" t="n">
        <f aca="false">IF(O30&gt;$M$5,1,BINOMDIST(O30,$M$5,$M$7,TRUE()))</f>
        <v>1</v>
      </c>
      <c r="R30" s="0" t="n">
        <f aca="false">IF(O30&gt;Inputs!$B$10,1,BINOMDIST(O30,Inputs!$B$10,Inputs!$B$6,TRUE()))</f>
        <v>1</v>
      </c>
    </row>
    <row r="31" customFormat="false" ht="15" hidden="false" customHeight="false" outlineLevel="0" collapsed="false">
      <c r="A31" s="0" t="s">
        <v>606</v>
      </c>
      <c r="B31" s="0" t="n">
        <v>-84439.055258953</v>
      </c>
      <c r="C31" s="0" t="n">
        <v>1563607.22498175</v>
      </c>
      <c r="D31" s="0" t="n">
        <f aca="false">IF(B31&gt;C31,1,0)</f>
        <v>0</v>
      </c>
      <c r="F31" s="0" t="s">
        <v>607</v>
      </c>
      <c r="G31" s="0" t="n">
        <v>-1301499.42686789</v>
      </c>
      <c r="H31" s="0" t="n">
        <v>4346365.91324232</v>
      </c>
      <c r="I31" s="0" t="n">
        <f aca="false">IF(G31&gt;H31,1,0)</f>
        <v>0</v>
      </c>
      <c r="K31" s="1" t="s">
        <v>608</v>
      </c>
      <c r="L31" s="0" t="n">
        <f aca="false">INDEX(Parameters_Reg!$R$5:$R$15,MATCH(MIN(L29,10),Parameters_Reg!$P$5:$P$15,0))</f>
        <v>0</v>
      </c>
      <c r="O31" s="0" t="n">
        <f aca="false">ROW()-5</f>
        <v>26</v>
      </c>
      <c r="P31" s="0" t="n">
        <f aca="false">IF(O31&gt;$L$5,1,BINOMDIST(O31,$L$5,$L$7,TRUE()))</f>
        <v>0.999430752118986</v>
      </c>
      <c r="Q31" s="0" t="n">
        <f aca="false">IF(O31&gt;$M$5,1,BINOMDIST(O31,$M$5,$M$7,TRUE()))</f>
        <v>1</v>
      </c>
      <c r="R31" s="0" t="n">
        <f aca="false">IF(O31&gt;Inputs!$B$10,1,BINOMDIST(O31,Inputs!$B$10,Inputs!$B$6,TRUE()))</f>
        <v>1</v>
      </c>
    </row>
    <row r="32" customFormat="false" ht="15" hidden="false" customHeight="false" outlineLevel="0" collapsed="false">
      <c r="A32" s="0" t="s">
        <v>609</v>
      </c>
      <c r="B32" s="0" t="n">
        <v>-354699.276372983</v>
      </c>
      <c r="C32" s="0" t="n">
        <v>1570712.79224051</v>
      </c>
      <c r="D32" s="0" t="n">
        <f aca="false">IF(B32&gt;C32,1,0)</f>
        <v>0</v>
      </c>
      <c r="F32" s="0" t="s">
        <v>610</v>
      </c>
      <c r="G32" s="0" t="n">
        <v>2579219.32569175</v>
      </c>
      <c r="H32" s="0" t="n">
        <v>4006028.67516571</v>
      </c>
      <c r="I32" s="0" t="n">
        <f aca="false">IF(G32&gt;H32,1,0)</f>
        <v>0</v>
      </c>
      <c r="K32" s="1" t="s">
        <v>611</v>
      </c>
      <c r="L32" s="0" t="n">
        <f aca="false">COUNTIF($R$5:$R$105,"&lt;"&amp;Inputs!$B$7)</f>
        <v>5</v>
      </c>
      <c r="O32" s="0" t="n">
        <f aca="false">ROW()-5</f>
        <v>27</v>
      </c>
      <c r="P32" s="0" t="n">
        <f aca="false">IF(O32&gt;$L$5,1,BINOMDIST(O32,$L$5,$L$7,TRUE()))</f>
        <v>0.999740236713418</v>
      </c>
      <c r="Q32" s="0" t="n">
        <f aca="false">IF(O32&gt;$M$5,1,BINOMDIST(O32,$M$5,$M$7,TRUE()))</f>
        <v>1</v>
      </c>
      <c r="R32" s="0" t="n">
        <f aca="false">IF(O32&gt;Inputs!$B$10,1,BINOMDIST(O32,Inputs!$B$10,Inputs!$B$6,TRUE()))</f>
        <v>1</v>
      </c>
    </row>
    <row r="33" customFormat="false" ht="15" hidden="false" customHeight="false" outlineLevel="0" collapsed="false">
      <c r="A33" s="0" t="s">
        <v>612</v>
      </c>
      <c r="B33" s="0" t="n">
        <v>511807.75027993</v>
      </c>
      <c r="C33" s="0" t="n">
        <v>1580189.60002266</v>
      </c>
      <c r="D33" s="0" t="n">
        <f aca="false">IF(B33&gt;C33,1,0)</f>
        <v>0</v>
      </c>
      <c r="F33" s="0" t="s">
        <v>613</v>
      </c>
      <c r="G33" s="0" t="n">
        <v>-2587970.5283873</v>
      </c>
      <c r="H33" s="0" t="n">
        <v>4335781.00231532</v>
      </c>
      <c r="I33" s="0" t="n">
        <f aca="false">IF(G33&gt;H33,1,0)</f>
        <v>0</v>
      </c>
      <c r="K33" s="1" t="s">
        <v>614</v>
      </c>
      <c r="L33" s="0" t="n">
        <f aca="false">COUNTIF($R$5:$R$105,"&lt;"&amp;Inputs!$B$8)</f>
        <v>10</v>
      </c>
      <c r="O33" s="0" t="n">
        <f aca="false">ROW()-5</f>
        <v>28</v>
      </c>
      <c r="P33" s="0" t="n">
        <f aca="false">IF(O33&gt;$L$5,1,BINOMDIST(O33,$L$5,$L$7,TRUE()))</f>
        <v>0.999885377396232</v>
      </c>
      <c r="Q33" s="0" t="n">
        <f aca="false">IF(O33&gt;$M$5,1,BINOMDIST(O33,$M$5,$M$7,TRUE()))</f>
        <v>1</v>
      </c>
      <c r="R33" s="0" t="n">
        <f aca="false">IF(O33&gt;Inputs!$B$10,1,BINOMDIST(O33,Inputs!$B$10,Inputs!$B$6,TRUE()))</f>
        <v>1</v>
      </c>
    </row>
    <row r="34" customFormat="false" ht="15" hidden="false" customHeight="false" outlineLevel="0" collapsed="false">
      <c r="A34" s="0" t="s">
        <v>615</v>
      </c>
      <c r="B34" s="0" t="n">
        <v>-23771.7858100408</v>
      </c>
      <c r="C34" s="0" t="n">
        <v>1563617.41813373</v>
      </c>
      <c r="D34" s="0" t="n">
        <f aca="false">IF(B34&gt;C34,1,0)</f>
        <v>0</v>
      </c>
      <c r="F34" s="0" t="s">
        <v>616</v>
      </c>
      <c r="G34" s="0" t="n">
        <v>2166274.38026401</v>
      </c>
      <c r="H34" s="0" t="n">
        <v>4297702.16513441</v>
      </c>
      <c r="I34" s="0" t="n">
        <f aca="false">IF(G34&gt;H34,1,0)</f>
        <v>0</v>
      </c>
      <c r="O34" s="0" t="n">
        <f aca="false">ROW()-5</f>
        <v>29</v>
      </c>
      <c r="P34" s="0" t="n">
        <f aca="false">IF(O34&gt;$L$5,1,BINOMDIST(O34,$L$5,$L$7,TRUE()))</f>
        <v>0.999951047109564</v>
      </c>
      <c r="Q34" s="0" t="n">
        <f aca="false">IF(O34&gt;$M$5,1,BINOMDIST(O34,$M$5,$M$7,TRUE()))</f>
        <v>1</v>
      </c>
      <c r="R34" s="0" t="n">
        <f aca="false">IF(O34&gt;Inputs!$B$10,1,BINOMDIST(O34,Inputs!$B$10,Inputs!$B$6,TRUE()))</f>
        <v>1</v>
      </c>
    </row>
    <row r="35" customFormat="false" ht="15" hidden="false" customHeight="false" outlineLevel="0" collapsed="false">
      <c r="A35" s="0" t="s">
        <v>540</v>
      </c>
      <c r="B35" s="0" t="n">
        <v>269268.374679453</v>
      </c>
      <c r="C35" s="0" t="n">
        <v>1575847.59384453</v>
      </c>
      <c r="D35" s="0" t="n">
        <f aca="false">IF(B35&gt;C35,1,0)</f>
        <v>0</v>
      </c>
      <c r="F35" s="0" t="s">
        <v>617</v>
      </c>
      <c r="G35" s="0" t="n">
        <v>-3770981.78426924</v>
      </c>
      <c r="H35" s="0" t="n">
        <v>4453046.67975252</v>
      </c>
      <c r="I35" s="0" t="n">
        <f aca="false">IF(G35&gt;H35,1,0)</f>
        <v>0</v>
      </c>
      <c r="O35" s="0" t="n">
        <f aca="false">ROW()-5</f>
        <v>30</v>
      </c>
      <c r="P35" s="0" t="n">
        <f aca="false">IF(O35&gt;$L$5,1,BINOMDIST(O35,$L$5,$L$7,TRUE()))</f>
        <v>0.999979747206501</v>
      </c>
      <c r="Q35" s="0" t="n">
        <f aca="false">IF(O35&gt;$M$5,1,BINOMDIST(O35,$M$5,$M$7,TRUE()))</f>
        <v>1</v>
      </c>
      <c r="R35" s="0" t="n">
        <f aca="false">IF(O35&gt;Inputs!$B$10,1,BINOMDIST(O35,Inputs!$B$10,Inputs!$B$6,TRUE()))</f>
        <v>1</v>
      </c>
    </row>
    <row r="36" customFormat="false" ht="15" hidden="false" customHeight="false" outlineLevel="0" collapsed="false">
      <c r="A36" s="0" t="s">
        <v>618</v>
      </c>
      <c r="B36" s="0" t="n">
        <v>-246928.637853276</v>
      </c>
      <c r="C36" s="0" t="n">
        <v>1593721.52918823</v>
      </c>
      <c r="D36" s="0" t="n">
        <f aca="false">IF(B36&gt;C36,1,0)</f>
        <v>0</v>
      </c>
      <c r="F36" s="0" t="s">
        <v>619</v>
      </c>
      <c r="G36" s="0" t="n">
        <v>2248167.25569894</v>
      </c>
      <c r="H36" s="0" t="n">
        <v>4837531.96836791</v>
      </c>
      <c r="I36" s="0" t="n">
        <f aca="false">IF(G36&gt;H36,1,0)</f>
        <v>0</v>
      </c>
      <c r="O36" s="0" t="n">
        <f aca="false">ROW()-5</f>
        <v>31</v>
      </c>
      <c r="P36" s="0" t="n">
        <f aca="false">IF(O36&gt;$L$5,1,BINOMDIST(O36,$L$5,$L$7,TRUE()))</f>
        <v>0.999991876247143</v>
      </c>
      <c r="Q36" s="0" t="n">
        <f aca="false">IF(O36&gt;$M$5,1,BINOMDIST(O36,$M$5,$M$7,TRUE()))</f>
        <v>1</v>
      </c>
      <c r="R36" s="0" t="n">
        <f aca="false">IF(O36&gt;Inputs!$B$10,1,BINOMDIST(O36,Inputs!$B$10,Inputs!$B$6,TRUE()))</f>
        <v>1</v>
      </c>
    </row>
    <row r="37" customFormat="false" ht="15" hidden="false" customHeight="false" outlineLevel="0" collapsed="false">
      <c r="A37" s="0" t="s">
        <v>620</v>
      </c>
      <c r="B37" s="0" t="n">
        <v>195239.682796467</v>
      </c>
      <c r="C37" s="0" t="n">
        <v>1582226.95084913</v>
      </c>
      <c r="D37" s="0" t="n">
        <f aca="false">IF(B37&gt;C37,1,0)</f>
        <v>0</v>
      </c>
      <c r="F37" s="0" t="s">
        <v>621</v>
      </c>
      <c r="G37" s="0" t="n">
        <v>1055533.34732718</v>
      </c>
      <c r="H37" s="0" t="n">
        <v>4577416.79639063</v>
      </c>
      <c r="I37" s="0" t="n">
        <f aca="false">IF(G37&gt;H37,1,0)</f>
        <v>0</v>
      </c>
      <c r="O37" s="0" t="n">
        <f aca="false">ROW()-5</f>
        <v>32</v>
      </c>
      <c r="P37" s="0" t="n">
        <f aca="false">IF(O37&gt;$L$5,1,BINOMDIST(O37,$L$5,$L$7,TRUE()))</f>
        <v>0.999996838127405</v>
      </c>
      <c r="Q37" s="0" t="n">
        <f aca="false">IF(O37&gt;$M$5,1,BINOMDIST(O37,$M$5,$M$7,TRUE()))</f>
        <v>1</v>
      </c>
      <c r="R37" s="0" t="n">
        <f aca="false">IF(O37&gt;Inputs!$B$10,1,BINOMDIST(O37,Inputs!$B$10,Inputs!$B$6,TRUE()))</f>
        <v>1</v>
      </c>
    </row>
    <row r="38" customFormat="false" ht="15" hidden="false" customHeight="false" outlineLevel="0" collapsed="false">
      <c r="A38" s="0" t="s">
        <v>622</v>
      </c>
      <c r="B38" s="0" t="n">
        <v>114615.768765945</v>
      </c>
      <c r="C38" s="0" t="n">
        <v>1574502.68005882</v>
      </c>
      <c r="D38" s="0" t="n">
        <f aca="false">IF(B38&gt;C38,1,0)</f>
        <v>0</v>
      </c>
      <c r="F38" s="0" t="s">
        <v>623</v>
      </c>
      <c r="G38" s="0" t="n">
        <v>-7229979.7161846</v>
      </c>
      <c r="H38" s="0" t="n">
        <v>4530592.84411679</v>
      </c>
      <c r="I38" s="0" t="n">
        <f aca="false">IF(G38&gt;H38,1,0)</f>
        <v>0</v>
      </c>
      <c r="O38" s="0" t="n">
        <f aca="false">ROW()-5</f>
        <v>33</v>
      </c>
      <c r="P38" s="0" t="n">
        <f aca="false">IF(O38&gt;$L$5,1,BINOMDIST(O38,$L$5,$L$7,TRUE()))</f>
        <v>0.999998804957812</v>
      </c>
      <c r="Q38" s="0" t="n">
        <f aca="false">IF(O38&gt;$M$5,1,BINOMDIST(O38,$M$5,$M$7,TRUE()))</f>
        <v>1</v>
      </c>
      <c r="R38" s="0" t="n">
        <f aca="false">IF(O38&gt;Inputs!$B$10,1,BINOMDIST(O38,Inputs!$B$10,Inputs!$B$6,TRUE()))</f>
        <v>1</v>
      </c>
    </row>
    <row r="39" customFormat="false" ht="15" hidden="false" customHeight="false" outlineLevel="0" collapsed="false">
      <c r="A39" s="0" t="s">
        <v>624</v>
      </c>
      <c r="B39" s="0" t="n">
        <v>-257559.198934569</v>
      </c>
      <c r="C39" s="0" t="n">
        <v>1580090.9086792</v>
      </c>
      <c r="D39" s="0" t="n">
        <f aca="false">IF(B39&gt;C39,1,0)</f>
        <v>0</v>
      </c>
      <c r="F39" s="0" t="s">
        <v>625</v>
      </c>
      <c r="G39" s="0" t="n">
        <v>-80328.2508670539</v>
      </c>
      <c r="H39" s="0" t="n">
        <v>4378336.26320693</v>
      </c>
      <c r="I39" s="0" t="n">
        <f aca="false">IF(G39&gt;H39,1,0)</f>
        <v>0</v>
      </c>
      <c r="O39" s="0" t="n">
        <f aca="false">ROW()-5</f>
        <v>34</v>
      </c>
      <c r="P39" s="0" t="n">
        <f aca="false">IF(O39&gt;$L$5,1,BINOMDIST(O39,$L$5,$L$7,TRUE()))</f>
        <v>0.999999561071462</v>
      </c>
      <c r="Q39" s="0" t="n">
        <f aca="false">IF(O39&gt;$M$5,1,BINOMDIST(O39,$M$5,$M$7,TRUE()))</f>
        <v>1</v>
      </c>
      <c r="R39" s="0" t="n">
        <f aca="false">IF(O39&gt;Inputs!$B$10,1,BINOMDIST(O39,Inputs!$B$10,Inputs!$B$6,TRUE()))</f>
        <v>1</v>
      </c>
    </row>
    <row r="40" customFormat="false" ht="15" hidden="false" customHeight="false" outlineLevel="0" collapsed="false">
      <c r="A40" s="0" t="s">
        <v>626</v>
      </c>
      <c r="B40" s="0" t="n">
        <v>-175175.878433825</v>
      </c>
      <c r="C40" s="0" t="n">
        <v>1588841.2556677</v>
      </c>
      <c r="D40" s="0" t="n">
        <f aca="false">IF(B40&gt;C40,1,0)</f>
        <v>0</v>
      </c>
      <c r="F40" s="0" t="s">
        <v>627</v>
      </c>
      <c r="G40" s="0" t="n">
        <v>54199.0176870171</v>
      </c>
      <c r="H40" s="0" t="n">
        <v>4264903.00737201</v>
      </c>
      <c r="I40" s="0" t="n">
        <f aca="false">IF(G40&gt;H40,1,0)</f>
        <v>0</v>
      </c>
      <c r="O40" s="0" t="n">
        <f aca="false">ROW()-5</f>
        <v>35</v>
      </c>
      <c r="P40" s="0" t="n">
        <f aca="false">IF(O40&gt;$L$5,1,BINOMDIST(O40,$L$5,$L$7,TRUE()))</f>
        <v>0.999999843222963</v>
      </c>
      <c r="Q40" s="0" t="n">
        <f aca="false">IF(O40&gt;$M$5,1,BINOMDIST(O40,$M$5,$M$7,TRUE()))</f>
        <v>1</v>
      </c>
      <c r="R40" s="0" t="n">
        <f aca="false">IF(O40&gt;Inputs!$B$10,1,BINOMDIST(O40,Inputs!$B$10,Inputs!$B$6,TRUE()))</f>
        <v>1</v>
      </c>
    </row>
    <row r="41" customFormat="false" ht="15" hidden="false" customHeight="false" outlineLevel="0" collapsed="false">
      <c r="A41" s="0" t="s">
        <v>628</v>
      </c>
      <c r="B41" s="0" t="n">
        <v>230531.12312552</v>
      </c>
      <c r="C41" s="0" t="n">
        <v>1595908.5480124</v>
      </c>
      <c r="D41" s="0" t="n">
        <f aca="false">IF(B41&gt;C41,1,0)</f>
        <v>0</v>
      </c>
      <c r="F41" s="0" t="s">
        <v>629</v>
      </c>
      <c r="G41" s="0" t="n">
        <v>284121.672395105</v>
      </c>
      <c r="H41" s="0" t="n">
        <v>4223300.41692503</v>
      </c>
      <c r="I41" s="0" t="n">
        <f aca="false">IF(G41&gt;H41,1,0)</f>
        <v>0</v>
      </c>
      <c r="O41" s="0" t="n">
        <f aca="false">ROW()-5</f>
        <v>36</v>
      </c>
      <c r="P41" s="0" t="n">
        <f aca="false">IF(O41&gt;$L$5,1,BINOMDIST(O41,$L$5,$L$7,TRUE()))</f>
        <v>0.99999994550684</v>
      </c>
      <c r="Q41" s="0" t="n">
        <f aca="false">IF(O41&gt;$M$5,1,BINOMDIST(O41,$M$5,$M$7,TRUE()))</f>
        <v>1</v>
      </c>
      <c r="R41" s="0" t="n">
        <f aca="false">IF(O41&gt;Inputs!$B$10,1,BINOMDIST(O41,Inputs!$B$10,Inputs!$B$6,TRUE()))</f>
        <v>1</v>
      </c>
    </row>
    <row r="42" customFormat="false" ht="15" hidden="false" customHeight="false" outlineLevel="0" collapsed="false">
      <c r="A42" s="0" t="s">
        <v>630</v>
      </c>
      <c r="B42" s="0" t="n">
        <v>54788.1641406855</v>
      </c>
      <c r="C42" s="0" t="n">
        <v>1600662.50630733</v>
      </c>
      <c r="D42" s="0" t="n">
        <f aca="false">IF(B42&gt;C42,1,0)</f>
        <v>0</v>
      </c>
      <c r="F42" s="0" t="s">
        <v>631</v>
      </c>
      <c r="G42" s="0" t="n">
        <v>2120448.11019918</v>
      </c>
      <c r="H42" s="0" t="n">
        <v>4304706.58041603</v>
      </c>
      <c r="I42" s="0" t="n">
        <f aca="false">IF(G42&gt;H42,1,0)</f>
        <v>0</v>
      </c>
      <c r="O42" s="0" t="n">
        <f aca="false">ROW()-5</f>
        <v>37</v>
      </c>
      <c r="P42" s="0" t="n">
        <f aca="false">IF(O42&gt;$L$5,1,BINOMDIST(O42,$L$5,$L$7,TRUE()))</f>
        <v>0.999999981556113</v>
      </c>
      <c r="Q42" s="0" t="n">
        <f aca="false">IF(O42&gt;$M$5,1,BINOMDIST(O42,$M$5,$M$7,TRUE()))</f>
        <v>1</v>
      </c>
      <c r="R42" s="0" t="n">
        <f aca="false">IF(O42&gt;Inputs!$B$10,1,BINOMDIST(O42,Inputs!$B$10,Inputs!$B$6,TRUE()))</f>
        <v>1</v>
      </c>
    </row>
    <row r="43" customFormat="false" ht="15" hidden="false" customHeight="false" outlineLevel="0" collapsed="false">
      <c r="A43" s="0" t="s">
        <v>632</v>
      </c>
      <c r="B43" s="0" t="n">
        <v>-85675.9380374244</v>
      </c>
      <c r="C43" s="0" t="n">
        <v>1609547.53808043</v>
      </c>
      <c r="D43" s="0" t="n">
        <f aca="false">IF(B43&gt;C43,1,0)</f>
        <v>0</v>
      </c>
      <c r="F43" s="0" t="s">
        <v>633</v>
      </c>
      <c r="G43" s="0" t="n">
        <v>3335164.72489123</v>
      </c>
      <c r="H43" s="0" t="n">
        <v>4308853.48236471</v>
      </c>
      <c r="I43" s="0" t="n">
        <f aca="false">IF(G43&gt;H43,1,0)</f>
        <v>0</v>
      </c>
      <c r="O43" s="0" t="n">
        <f aca="false">ROW()-5</f>
        <v>38</v>
      </c>
      <c r="P43" s="0" t="n">
        <f aca="false">IF(O43&gt;$L$5,1,BINOMDIST(O43,$L$5,$L$7,TRUE()))</f>
        <v>0.999999993917506</v>
      </c>
      <c r="Q43" s="0" t="n">
        <f aca="false">IF(O43&gt;$M$5,1,BINOMDIST(O43,$M$5,$M$7,TRUE()))</f>
        <v>1</v>
      </c>
      <c r="R43" s="0" t="n">
        <f aca="false">IF(O43&gt;Inputs!$B$10,1,BINOMDIST(O43,Inputs!$B$10,Inputs!$B$6,TRUE()))</f>
        <v>1</v>
      </c>
    </row>
    <row r="44" customFormat="false" ht="15" hidden="false" customHeight="false" outlineLevel="0" collapsed="false">
      <c r="A44" s="0" t="s">
        <v>634</v>
      </c>
      <c r="B44" s="0" t="n">
        <v>192777.894890048</v>
      </c>
      <c r="C44" s="0" t="n">
        <v>1605818.19346192</v>
      </c>
      <c r="D44" s="0" t="n">
        <f aca="false">IF(B44&gt;C44,1,0)</f>
        <v>0</v>
      </c>
      <c r="F44" s="0" t="s">
        <v>635</v>
      </c>
      <c r="G44" s="0" t="n">
        <v>-85263.5546090044</v>
      </c>
      <c r="H44" s="0" t="n">
        <v>4324960.00615724</v>
      </c>
      <c r="I44" s="0" t="n">
        <f aca="false">IF(G44&gt;H44,1,0)</f>
        <v>0</v>
      </c>
      <c r="O44" s="0" t="n">
        <f aca="false">ROW()-5</f>
        <v>39</v>
      </c>
      <c r="P44" s="0" t="n">
        <f aca="false">IF(O44&gt;$L$5,1,BINOMDIST(O44,$L$5,$L$7,TRUE()))</f>
        <v>0.999999998044374</v>
      </c>
      <c r="Q44" s="0" t="n">
        <f aca="false">IF(O44&gt;$M$5,1,BINOMDIST(O44,$M$5,$M$7,TRUE()))</f>
        <v>1</v>
      </c>
      <c r="R44" s="0" t="n">
        <f aca="false">IF(O44&gt;Inputs!$B$10,1,BINOMDIST(O44,Inputs!$B$10,Inputs!$B$6,TRUE()))</f>
        <v>1</v>
      </c>
    </row>
    <row r="45" customFormat="false" ht="15" hidden="false" customHeight="false" outlineLevel="0" collapsed="false">
      <c r="A45" s="0" t="s">
        <v>543</v>
      </c>
      <c r="B45" s="0" t="n">
        <v>38673.2679199227</v>
      </c>
      <c r="C45" s="0" t="n">
        <v>1572003.36789716</v>
      </c>
      <c r="D45" s="0" t="n">
        <f aca="false">IF(B45&gt;C45,1,0)</f>
        <v>0</v>
      </c>
      <c r="F45" s="0" t="s">
        <v>636</v>
      </c>
      <c r="G45" s="0" t="n">
        <v>937492.060201688</v>
      </c>
      <c r="H45" s="0" t="n">
        <v>4375366.70323797</v>
      </c>
      <c r="I45" s="0" t="n">
        <f aca="false">IF(G45&gt;H45,1,0)</f>
        <v>0</v>
      </c>
      <c r="O45" s="0" t="n">
        <f aca="false">ROW()-5</f>
        <v>40</v>
      </c>
      <c r="P45" s="0" t="n">
        <f aca="false">IF(O45&gt;$L$5,1,BINOMDIST(O45,$L$5,$L$7,TRUE()))</f>
        <v>0.999999999386648</v>
      </c>
      <c r="Q45" s="0" t="n">
        <f aca="false">IF(O45&gt;$M$5,1,BINOMDIST(O45,$M$5,$M$7,TRUE()))</f>
        <v>1</v>
      </c>
      <c r="R45" s="0" t="n">
        <f aca="false">IF(O45&gt;Inputs!$B$10,1,BINOMDIST(O45,Inputs!$B$10,Inputs!$B$6,TRUE()))</f>
        <v>1</v>
      </c>
    </row>
    <row r="46" customFormat="false" ht="15" hidden="false" customHeight="false" outlineLevel="0" collapsed="false">
      <c r="A46" s="0" t="s">
        <v>637</v>
      </c>
      <c r="B46" s="0" t="n">
        <v>335175.504688016</v>
      </c>
      <c r="C46" s="0" t="n">
        <v>1577519.20925391</v>
      </c>
      <c r="D46" s="0" t="n">
        <f aca="false">IF(B46&gt;C46,1,0)</f>
        <v>0</v>
      </c>
      <c r="F46" s="0" t="s">
        <v>638</v>
      </c>
      <c r="G46" s="0" t="n">
        <v>-260204.117191903</v>
      </c>
      <c r="H46" s="0" t="n">
        <v>4284268.51128112</v>
      </c>
      <c r="I46" s="0" t="n">
        <f aca="false">IF(G46&gt;H46,1,0)</f>
        <v>0</v>
      </c>
      <c r="O46" s="0" t="n">
        <f aca="false">ROW()-5</f>
        <v>41</v>
      </c>
      <c r="P46" s="0" t="n">
        <f aca="false">IF(O46&gt;$L$5,1,BINOMDIST(O46,$L$5,$L$7,TRUE()))</f>
        <v>0.999999999812247</v>
      </c>
      <c r="Q46" s="0" t="n">
        <f aca="false">IF(O46&gt;$M$5,1,BINOMDIST(O46,$M$5,$M$7,TRUE()))</f>
        <v>1</v>
      </c>
      <c r="R46" s="0" t="n">
        <f aca="false">IF(O46&gt;Inputs!$B$10,1,BINOMDIST(O46,Inputs!$B$10,Inputs!$B$6,TRUE()))</f>
        <v>1</v>
      </c>
    </row>
    <row r="47" customFormat="false" ht="15" hidden="false" customHeight="false" outlineLevel="0" collapsed="false">
      <c r="A47" s="0" t="s">
        <v>639</v>
      </c>
      <c r="B47" s="0" t="n">
        <v>-14392.6743996714</v>
      </c>
      <c r="C47" s="0" t="n">
        <v>1595928.42089363</v>
      </c>
      <c r="D47" s="0" t="n">
        <f aca="false">IF(B47&gt;C47,1,0)</f>
        <v>0</v>
      </c>
      <c r="F47" s="0" t="s">
        <v>640</v>
      </c>
      <c r="G47" s="0" t="n">
        <v>123033.091245812</v>
      </c>
      <c r="H47" s="0" t="n">
        <v>4159489.62974277</v>
      </c>
      <c r="I47" s="0" t="n">
        <f aca="false">IF(G47&gt;H47,1,0)</f>
        <v>0</v>
      </c>
      <c r="O47" s="0" t="n">
        <f aca="false">ROW()-5</f>
        <v>42</v>
      </c>
      <c r="P47" s="0" t="n">
        <f aca="false">IF(O47&gt;$L$5,1,BINOMDIST(O47,$L$5,$L$7,TRUE()))</f>
        <v>0.999999999943878</v>
      </c>
      <c r="Q47" s="0" t="n">
        <f aca="false">IF(O47&gt;$M$5,1,BINOMDIST(O47,$M$5,$M$7,TRUE()))</f>
        <v>1</v>
      </c>
      <c r="R47" s="0" t="n">
        <f aca="false">IF(O47&gt;Inputs!$B$10,1,BINOMDIST(O47,Inputs!$B$10,Inputs!$B$6,TRUE()))</f>
        <v>1</v>
      </c>
    </row>
    <row r="48" customFormat="false" ht="15" hidden="false" customHeight="false" outlineLevel="0" collapsed="false">
      <c r="A48" s="0" t="s">
        <v>641</v>
      </c>
      <c r="B48" s="0" t="n">
        <v>-33931.4919017362</v>
      </c>
      <c r="C48" s="0" t="n">
        <v>1594166.14098651</v>
      </c>
      <c r="D48" s="0" t="n">
        <f aca="false">IF(B48&gt;C48,1,0)</f>
        <v>0</v>
      </c>
      <c r="F48" s="0" t="s">
        <v>642</v>
      </c>
      <c r="G48" s="0" t="n">
        <v>654360.809989452</v>
      </c>
      <c r="H48" s="0" t="n">
        <v>3957937.24938437</v>
      </c>
      <c r="I48" s="0" t="n">
        <f aca="false">IF(G48&gt;H48,1,0)</f>
        <v>0</v>
      </c>
      <c r="O48" s="0" t="n">
        <f aca="false">ROW()-5</f>
        <v>43</v>
      </c>
      <c r="P48" s="0" t="n">
        <f aca="false">IF(O48&gt;$L$5,1,BINOMDIST(O48,$L$5,$L$7,TRUE()))</f>
        <v>0.999999999983611</v>
      </c>
      <c r="Q48" s="0" t="n">
        <f aca="false">IF(O48&gt;$M$5,1,BINOMDIST(O48,$M$5,$M$7,TRUE()))</f>
        <v>1</v>
      </c>
      <c r="R48" s="0" t="n">
        <f aca="false">IF(O48&gt;Inputs!$B$10,1,BINOMDIST(O48,Inputs!$B$10,Inputs!$B$6,TRUE()))</f>
        <v>1</v>
      </c>
    </row>
    <row r="49" customFormat="false" ht="15" hidden="false" customHeight="false" outlineLevel="0" collapsed="false">
      <c r="A49" s="0" t="s">
        <v>643</v>
      </c>
      <c r="B49" s="0" t="n">
        <v>-92771.1110675307</v>
      </c>
      <c r="C49" s="0" t="n">
        <v>1586839.76252586</v>
      </c>
      <c r="D49" s="0" t="n">
        <f aca="false">IF(B49&gt;C49,1,0)</f>
        <v>0</v>
      </c>
      <c r="F49" s="0" t="s">
        <v>644</v>
      </c>
      <c r="G49" s="0" t="n">
        <v>810299.49545382</v>
      </c>
      <c r="H49" s="0" t="n">
        <v>3732291.57983952</v>
      </c>
      <c r="I49" s="0" t="n">
        <f aca="false">IF(G49&gt;H49,1,0)</f>
        <v>0</v>
      </c>
      <c r="O49" s="0" t="n">
        <f aca="false">ROW()-5</f>
        <v>44</v>
      </c>
      <c r="P49" s="0" t="n">
        <f aca="false">IF(O49&gt;$L$5,1,BINOMDIST(O49,$L$5,$L$7,TRUE()))</f>
        <v>0.999999999995323</v>
      </c>
      <c r="Q49" s="0" t="n">
        <f aca="false">IF(O49&gt;$M$5,1,BINOMDIST(O49,$M$5,$M$7,TRUE()))</f>
        <v>1</v>
      </c>
      <c r="R49" s="0" t="n">
        <f aca="false">IF(O49&gt;Inputs!$B$10,1,BINOMDIST(O49,Inputs!$B$10,Inputs!$B$6,TRUE()))</f>
        <v>1</v>
      </c>
    </row>
    <row r="50" customFormat="false" ht="15" hidden="false" customHeight="false" outlineLevel="0" collapsed="false">
      <c r="A50" s="0" t="s">
        <v>645</v>
      </c>
      <c r="B50" s="0" t="n">
        <v>-231041.388994055</v>
      </c>
      <c r="C50" s="0" t="n">
        <v>1602485.50331852</v>
      </c>
      <c r="D50" s="0" t="n">
        <f aca="false">IF(B50&gt;C50,1,0)</f>
        <v>0</v>
      </c>
      <c r="F50" s="0" t="s">
        <v>646</v>
      </c>
      <c r="G50" s="0" t="n">
        <v>401316.000747204</v>
      </c>
      <c r="H50" s="0" t="n">
        <v>3653002.01867586</v>
      </c>
      <c r="I50" s="0" t="n">
        <f aca="false">IF(G50&gt;H50,1,0)</f>
        <v>0</v>
      </c>
      <c r="O50" s="0" t="n">
        <f aca="false">ROW()-5</f>
        <v>45</v>
      </c>
      <c r="P50" s="0" t="n">
        <f aca="false">IF(O50&gt;$L$5,1,BINOMDIST(O50,$L$5,$L$7,TRUE()))</f>
        <v>0.999999999998696</v>
      </c>
      <c r="Q50" s="0" t="n">
        <f aca="false">IF(O50&gt;$M$5,1,BINOMDIST(O50,$M$5,$M$7,TRUE()))</f>
        <v>1</v>
      </c>
      <c r="R50" s="0" t="n">
        <f aca="false">IF(O50&gt;Inputs!$B$10,1,BINOMDIST(O50,Inputs!$B$10,Inputs!$B$6,TRUE()))</f>
        <v>1</v>
      </c>
    </row>
    <row r="51" customFormat="false" ht="15" hidden="false" customHeight="false" outlineLevel="0" collapsed="false">
      <c r="A51" s="0" t="s">
        <v>647</v>
      </c>
      <c r="B51" s="0" t="n">
        <v>-23795.4755347217</v>
      </c>
      <c r="C51" s="0" t="n">
        <v>1616272.90417568</v>
      </c>
      <c r="D51" s="0" t="n">
        <f aca="false">IF(B51&gt;C51,1,0)</f>
        <v>0</v>
      </c>
      <c r="F51" s="0" t="s">
        <v>648</v>
      </c>
      <c r="G51" s="0" t="n">
        <v>3240941.77791711</v>
      </c>
      <c r="H51" s="0" t="n">
        <v>3843794.27750961</v>
      </c>
      <c r="I51" s="0" t="n">
        <f aca="false">IF(G51&gt;H51,1,0)</f>
        <v>0</v>
      </c>
      <c r="O51" s="0" t="n">
        <f aca="false">ROW()-5</f>
        <v>46</v>
      </c>
      <c r="P51" s="0" t="n">
        <f aca="false">IF(O51&gt;$L$5,1,BINOMDIST(O51,$L$5,$L$7,TRUE()))</f>
        <v>0.999999999999646</v>
      </c>
      <c r="Q51" s="0" t="n">
        <f aca="false">IF(O51&gt;$M$5,1,BINOMDIST(O51,$M$5,$M$7,TRUE()))</f>
        <v>1</v>
      </c>
      <c r="R51" s="0" t="n">
        <f aca="false">IF(O51&gt;Inputs!$B$10,1,BINOMDIST(O51,Inputs!$B$10,Inputs!$B$6,TRUE()))</f>
        <v>1</v>
      </c>
    </row>
    <row r="52" customFormat="false" ht="15" hidden="false" customHeight="false" outlineLevel="0" collapsed="false">
      <c r="A52" s="0" t="s">
        <v>649</v>
      </c>
      <c r="B52" s="0" t="n">
        <v>-203670.353327246</v>
      </c>
      <c r="C52" s="0" t="n">
        <v>1606300.02897101</v>
      </c>
      <c r="D52" s="0" t="n">
        <f aca="false">IF(B52&gt;C52,1,0)</f>
        <v>0</v>
      </c>
      <c r="F52" s="0" t="s">
        <v>650</v>
      </c>
      <c r="G52" s="0" t="n">
        <v>-1910451.89622604</v>
      </c>
      <c r="H52" s="0" t="n">
        <v>3962143.84483431</v>
      </c>
      <c r="I52" s="0" t="n">
        <f aca="false">IF(G52&gt;H52,1,0)</f>
        <v>0</v>
      </c>
      <c r="O52" s="0" t="n">
        <f aca="false">ROW()-5</f>
        <v>47</v>
      </c>
      <c r="P52" s="0" t="n">
        <f aca="false">IF(O52&gt;$L$5,1,BINOMDIST(O52,$L$5,$L$7,TRUE()))</f>
        <v>0.999999999999907</v>
      </c>
      <c r="Q52" s="0" t="n">
        <f aca="false">IF(O52&gt;$M$5,1,BINOMDIST(O52,$M$5,$M$7,TRUE()))</f>
        <v>1</v>
      </c>
      <c r="R52" s="0" t="n">
        <f aca="false">IF(O52&gt;Inputs!$B$10,1,BINOMDIST(O52,Inputs!$B$10,Inputs!$B$6,TRUE()))</f>
        <v>1</v>
      </c>
    </row>
    <row r="53" customFormat="false" ht="15" hidden="false" customHeight="false" outlineLevel="0" collapsed="false">
      <c r="A53" s="0" t="s">
        <v>651</v>
      </c>
      <c r="B53" s="0" t="n">
        <v>139642.069853741</v>
      </c>
      <c r="C53" s="0" t="n">
        <v>1607113.23481224</v>
      </c>
      <c r="D53" s="0" t="n">
        <f aca="false">IF(B53&gt;C53,1,0)</f>
        <v>0</v>
      </c>
      <c r="F53" s="0" t="s">
        <v>652</v>
      </c>
      <c r="G53" s="0" t="n">
        <v>-2735047.83682391</v>
      </c>
      <c r="H53" s="0" t="n">
        <v>3996461.60076606</v>
      </c>
      <c r="I53" s="0" t="n">
        <f aca="false">IF(G53&gt;H53,1,0)</f>
        <v>0</v>
      </c>
      <c r="O53" s="0" t="n">
        <f aca="false">ROW()-5</f>
        <v>48</v>
      </c>
      <c r="P53" s="0" t="n">
        <f aca="false">IF(O53&gt;$L$5,1,BINOMDIST(O53,$L$5,$L$7,TRUE()))</f>
        <v>0.999999999999978</v>
      </c>
      <c r="Q53" s="0" t="n">
        <f aca="false">IF(O53&gt;$M$5,1,BINOMDIST(O53,$M$5,$M$7,TRUE()))</f>
        <v>1</v>
      </c>
      <c r="R53" s="0" t="n">
        <f aca="false">IF(O53&gt;Inputs!$B$10,1,BINOMDIST(O53,Inputs!$B$10,Inputs!$B$6,TRUE()))</f>
        <v>1</v>
      </c>
    </row>
    <row r="54" customFormat="false" ht="15" hidden="false" customHeight="false" outlineLevel="0" collapsed="false">
      <c r="A54" s="0" t="s">
        <v>653</v>
      </c>
      <c r="B54" s="0" t="n">
        <v>-303264.938790423</v>
      </c>
      <c r="C54" s="0" t="n">
        <v>1607215.92577311</v>
      </c>
      <c r="D54" s="0" t="n">
        <f aca="false">IF(B54&gt;C54,1,0)</f>
        <v>0</v>
      </c>
      <c r="F54" s="0" t="s">
        <v>654</v>
      </c>
      <c r="G54" s="0" t="n">
        <v>572432.604124408</v>
      </c>
      <c r="H54" s="0" t="n">
        <v>3912489.30601597</v>
      </c>
      <c r="I54" s="0" t="n">
        <f aca="false">IF(G54&gt;H54,1,0)</f>
        <v>0</v>
      </c>
      <c r="O54" s="0" t="n">
        <f aca="false">ROW()-5</f>
        <v>49</v>
      </c>
      <c r="P54" s="0" t="n">
        <f aca="false">IF(O54&gt;$L$5,1,BINOMDIST(O54,$L$5,$L$7,TRUE()))</f>
        <v>0.999999999999996</v>
      </c>
      <c r="Q54" s="0" t="n">
        <f aca="false">IF(O54&gt;$M$5,1,BINOMDIST(O54,$M$5,$M$7,TRUE()))</f>
        <v>1</v>
      </c>
      <c r="R54" s="0" t="n">
        <f aca="false">IF(O54&gt;Inputs!$B$10,1,BINOMDIST(O54,Inputs!$B$10,Inputs!$B$6,TRUE()))</f>
        <v>1</v>
      </c>
    </row>
    <row r="55" customFormat="false" ht="15" hidden="false" customHeight="false" outlineLevel="0" collapsed="false">
      <c r="A55" s="0" t="s">
        <v>546</v>
      </c>
      <c r="B55" s="0" t="n">
        <v>-75944.0800023079</v>
      </c>
      <c r="C55" s="0" t="n">
        <v>1599050.75533096</v>
      </c>
      <c r="D55" s="0" t="n">
        <f aca="false">IF(B55&gt;C55,1,0)</f>
        <v>0</v>
      </c>
      <c r="F55" s="0" t="s">
        <v>655</v>
      </c>
      <c r="G55" s="0" t="n">
        <v>515512.396899014</v>
      </c>
      <c r="H55" s="0" t="n">
        <v>4004923.95630875</v>
      </c>
      <c r="I55" s="0" t="n">
        <f aca="false">IF(G55&gt;H55,1,0)</f>
        <v>0</v>
      </c>
      <c r="O55" s="0" t="n">
        <f aca="false">ROW()-5</f>
        <v>50</v>
      </c>
      <c r="P55" s="0" t="n">
        <f aca="false">IF(O55&gt;$L$5,1,BINOMDIST(O55,$L$5,$L$7,TRUE()))</f>
        <v>1</v>
      </c>
      <c r="Q55" s="0" t="n">
        <f aca="false">IF(O55&gt;$M$5,1,BINOMDIST(O55,$M$5,$M$7,TRUE()))</f>
        <v>1</v>
      </c>
      <c r="R55" s="0" t="n">
        <f aca="false">IF(O55&gt;Inputs!$B$10,1,BINOMDIST(O55,Inputs!$B$10,Inputs!$B$6,TRUE()))</f>
        <v>1</v>
      </c>
    </row>
    <row r="56" customFormat="false" ht="15" hidden="false" customHeight="false" outlineLevel="0" collapsed="false">
      <c r="A56" s="0" t="s">
        <v>656</v>
      </c>
      <c r="B56" s="0" t="n">
        <v>90939.0262007117</v>
      </c>
      <c r="C56" s="0" t="n">
        <v>1605416.76894742</v>
      </c>
      <c r="D56" s="0" t="n">
        <f aca="false">IF(B56&gt;C56,1,0)</f>
        <v>0</v>
      </c>
      <c r="F56" s="0" t="s">
        <v>657</v>
      </c>
      <c r="G56" s="0" t="n">
        <v>1075986.53695398</v>
      </c>
      <c r="H56" s="0" t="n">
        <v>4125799.22549682</v>
      </c>
      <c r="I56" s="0" t="n">
        <f aca="false">IF(G56&gt;H56,1,0)</f>
        <v>0</v>
      </c>
      <c r="O56" s="0" t="n">
        <f aca="false">ROW()-5</f>
        <v>51</v>
      </c>
      <c r="P56" s="0" t="n">
        <f aca="false">IF(O56&gt;$L$5,1,BINOMDIST(O56,$L$5,$L$7,TRUE()))</f>
        <v>1</v>
      </c>
      <c r="Q56" s="0" t="n">
        <f aca="false">IF(O56&gt;$M$5,1,BINOMDIST(O56,$M$5,$M$7,TRUE()))</f>
        <v>1</v>
      </c>
      <c r="R56" s="0" t="n">
        <f aca="false">IF(O56&gt;Inputs!$B$10,1,BINOMDIST(O56,Inputs!$B$10,Inputs!$B$6,TRUE()))</f>
        <v>1</v>
      </c>
    </row>
    <row r="57" customFormat="false" ht="15" hidden="false" customHeight="false" outlineLevel="0" collapsed="false">
      <c r="A57" s="0" t="s">
        <v>658</v>
      </c>
      <c r="B57" s="0" t="n">
        <v>-229351.241845197</v>
      </c>
      <c r="C57" s="0" t="n">
        <v>1609906.83766901</v>
      </c>
      <c r="D57" s="0" t="n">
        <f aca="false">IF(B57&gt;C57,1,0)</f>
        <v>0</v>
      </c>
      <c r="F57" s="0" t="s">
        <v>659</v>
      </c>
      <c r="G57" s="0" t="n">
        <v>1582573.78879703</v>
      </c>
      <c r="H57" s="0" t="n">
        <v>4284257.9667268</v>
      </c>
      <c r="I57" s="0" t="n">
        <f aca="false">IF(G57&gt;H57,1,0)</f>
        <v>0</v>
      </c>
      <c r="O57" s="0" t="n">
        <f aca="false">ROW()-5</f>
        <v>52</v>
      </c>
      <c r="P57" s="0" t="n">
        <f aca="false">IF(O57&gt;$L$5,1,BINOMDIST(O57,$L$5,$L$7,TRUE()))</f>
        <v>1</v>
      </c>
      <c r="Q57" s="0" t="n">
        <f aca="false">IF(O57&gt;$M$5,1,BINOMDIST(O57,$M$5,$M$7,TRUE()))</f>
        <v>1</v>
      </c>
      <c r="R57" s="0" t="n">
        <f aca="false">IF(O57&gt;Inputs!$B$10,1,BINOMDIST(O57,Inputs!$B$10,Inputs!$B$6,TRUE()))</f>
        <v>1</v>
      </c>
    </row>
    <row r="58" customFormat="false" ht="15" hidden="false" customHeight="false" outlineLevel="0" collapsed="false">
      <c r="A58" s="0" t="s">
        <v>660</v>
      </c>
      <c r="B58" s="0" t="n">
        <v>-7496.37266105739</v>
      </c>
      <c r="C58" s="0" t="n">
        <v>1594386.70250042</v>
      </c>
      <c r="D58" s="0" t="n">
        <f aca="false">IF(B58&gt;C58,1,0)</f>
        <v>0</v>
      </c>
      <c r="F58" s="0" t="s">
        <v>661</v>
      </c>
      <c r="G58" s="0" t="n">
        <v>1002345.30006519</v>
      </c>
      <c r="H58" s="0" t="n">
        <v>4253059.63270968</v>
      </c>
      <c r="I58" s="0" t="n">
        <f aca="false">IF(G58&gt;H58,1,0)</f>
        <v>0</v>
      </c>
      <c r="O58" s="0" t="n">
        <f aca="false">ROW()-5</f>
        <v>53</v>
      </c>
      <c r="P58" s="0" t="n">
        <f aca="false">IF(O58&gt;$L$5,1,BINOMDIST(O58,$L$5,$L$7,TRUE()))</f>
        <v>1</v>
      </c>
      <c r="Q58" s="0" t="n">
        <f aca="false">IF(O58&gt;$M$5,1,BINOMDIST(O58,$M$5,$M$7,TRUE()))</f>
        <v>1</v>
      </c>
      <c r="R58" s="0" t="n">
        <f aca="false">IF(O58&gt;Inputs!$B$10,1,BINOMDIST(O58,Inputs!$B$10,Inputs!$B$6,TRUE()))</f>
        <v>1</v>
      </c>
    </row>
    <row r="59" customFormat="false" ht="15" hidden="false" customHeight="false" outlineLevel="0" collapsed="false">
      <c r="A59" s="0" t="s">
        <v>662</v>
      </c>
      <c r="B59" s="0" t="n">
        <v>172101.246432971</v>
      </c>
      <c r="C59" s="0" t="n">
        <v>1588974.11059074</v>
      </c>
      <c r="D59" s="0" t="n">
        <f aca="false">IF(B59&gt;C59,1,0)</f>
        <v>0</v>
      </c>
      <c r="F59" s="0" t="s">
        <v>663</v>
      </c>
      <c r="G59" s="0" t="n">
        <v>58800.4059551936</v>
      </c>
      <c r="H59" s="0" t="n">
        <v>4394596.61515099</v>
      </c>
      <c r="I59" s="0" t="n">
        <f aca="false">IF(G59&gt;H59,1,0)</f>
        <v>0</v>
      </c>
      <c r="O59" s="0" t="n">
        <f aca="false">ROW()-5</f>
        <v>54</v>
      </c>
      <c r="P59" s="0" t="n">
        <f aca="false">IF(O59&gt;$L$5,1,BINOMDIST(O59,$L$5,$L$7,TRUE()))</f>
        <v>1</v>
      </c>
      <c r="Q59" s="0" t="n">
        <f aca="false">IF(O59&gt;$M$5,1,BINOMDIST(O59,$M$5,$M$7,TRUE()))</f>
        <v>1</v>
      </c>
      <c r="R59" s="0" t="n">
        <f aca="false">IF(O59&gt;Inputs!$B$10,1,BINOMDIST(O59,Inputs!$B$10,Inputs!$B$6,TRUE()))</f>
        <v>1</v>
      </c>
    </row>
    <row r="60" customFormat="false" ht="15" hidden="false" customHeight="false" outlineLevel="0" collapsed="false">
      <c r="A60" s="0" t="s">
        <v>664</v>
      </c>
      <c r="B60" s="0" t="n">
        <v>-80390.094246123</v>
      </c>
      <c r="C60" s="0" t="n">
        <v>1592116.74404274</v>
      </c>
      <c r="D60" s="0" t="n">
        <f aca="false">IF(B60&gt;C60,1,0)</f>
        <v>0</v>
      </c>
      <c r="F60" s="0" t="s">
        <v>665</v>
      </c>
      <c r="G60" s="0" t="n">
        <v>763787.397488069</v>
      </c>
      <c r="H60" s="0" t="n">
        <v>4524741.09380945</v>
      </c>
      <c r="I60" s="0" t="n">
        <f aca="false">IF(G60&gt;H60,1,0)</f>
        <v>0</v>
      </c>
      <c r="O60" s="0" t="n">
        <f aca="false">ROW()-5</f>
        <v>55</v>
      </c>
      <c r="P60" s="0" t="n">
        <f aca="false">IF(O60&gt;$L$5,1,BINOMDIST(O60,$L$5,$L$7,TRUE()))</f>
        <v>1</v>
      </c>
      <c r="Q60" s="0" t="n">
        <f aca="false">IF(O60&gt;$M$5,1,BINOMDIST(O60,$M$5,$M$7,TRUE()))</f>
        <v>1</v>
      </c>
      <c r="R60" s="0" t="n">
        <f aca="false">IF(O60&gt;Inputs!$B$10,1,BINOMDIST(O60,Inputs!$B$10,Inputs!$B$6,TRUE()))</f>
        <v>1</v>
      </c>
    </row>
    <row r="61" customFormat="false" ht="15" hidden="false" customHeight="false" outlineLevel="0" collapsed="false">
      <c r="A61" s="0" t="s">
        <v>666</v>
      </c>
      <c r="B61" s="0" t="n">
        <v>-827134.857354687</v>
      </c>
      <c r="C61" s="0" t="n">
        <v>1588053.38043371</v>
      </c>
      <c r="D61" s="0" t="n">
        <f aca="false">IF(B61&gt;C61,1,0)</f>
        <v>0</v>
      </c>
      <c r="F61" s="0" t="s">
        <v>667</v>
      </c>
      <c r="G61" s="0" t="n">
        <v>-640217.296793315</v>
      </c>
      <c r="H61" s="0" t="n">
        <v>4378882.86757192</v>
      </c>
      <c r="I61" s="0" t="n">
        <f aca="false">IF(G61&gt;H61,1,0)</f>
        <v>0</v>
      </c>
      <c r="O61" s="0" t="n">
        <f aca="false">ROW()-5</f>
        <v>56</v>
      </c>
      <c r="P61" s="0" t="n">
        <f aca="false">IF(O61&gt;$L$5,1,BINOMDIST(O61,$L$5,$L$7,TRUE()))</f>
        <v>1</v>
      </c>
      <c r="Q61" s="0" t="n">
        <f aca="false">IF(O61&gt;$M$5,1,BINOMDIST(O61,$M$5,$M$7,TRUE()))</f>
        <v>1</v>
      </c>
      <c r="R61" s="0" t="n">
        <f aca="false">IF(O61&gt;Inputs!$B$10,1,BINOMDIST(O61,Inputs!$B$10,Inputs!$B$6,TRUE()))</f>
        <v>1</v>
      </c>
    </row>
    <row r="62" customFormat="false" ht="15" hidden="false" customHeight="false" outlineLevel="0" collapsed="false">
      <c r="A62" s="0" t="s">
        <v>668</v>
      </c>
      <c r="B62" s="0" t="n">
        <v>-145890.611283883</v>
      </c>
      <c r="C62" s="0" t="n">
        <v>1590615.06949096</v>
      </c>
      <c r="D62" s="0" t="n">
        <f aca="false">IF(B62&gt;C62,1,0)</f>
        <v>0</v>
      </c>
      <c r="F62" s="0" t="s">
        <v>669</v>
      </c>
      <c r="G62" s="0" t="n">
        <v>1055582.23643197</v>
      </c>
      <c r="H62" s="0" t="n">
        <v>4757224.18963321</v>
      </c>
      <c r="I62" s="0" t="n">
        <f aca="false">IF(G62&gt;H62,1,0)</f>
        <v>0</v>
      </c>
      <c r="O62" s="0" t="n">
        <f aca="false">ROW()-5</f>
        <v>57</v>
      </c>
      <c r="P62" s="0" t="n">
        <f aca="false">IF(O62&gt;$L$5,1,BINOMDIST(O62,$L$5,$L$7,TRUE()))</f>
        <v>1</v>
      </c>
      <c r="Q62" s="0" t="n">
        <f aca="false">IF(O62&gt;$M$5,1,BINOMDIST(O62,$M$5,$M$7,TRUE()))</f>
        <v>1</v>
      </c>
      <c r="R62" s="0" t="n">
        <f aca="false">IF(O62&gt;Inputs!$B$10,1,BINOMDIST(O62,Inputs!$B$10,Inputs!$B$6,TRUE()))</f>
        <v>1</v>
      </c>
    </row>
    <row r="63" customFormat="false" ht="15" hidden="false" customHeight="false" outlineLevel="0" collapsed="false">
      <c r="A63" s="0" t="s">
        <v>670</v>
      </c>
      <c r="B63" s="0" t="n">
        <v>66780.7173936609</v>
      </c>
      <c r="C63" s="0" t="n">
        <v>1593537.21391822</v>
      </c>
      <c r="D63" s="0" t="n">
        <f aca="false">IF(B63&gt;C63,1,0)</f>
        <v>0</v>
      </c>
      <c r="F63" s="0" t="s">
        <v>671</v>
      </c>
      <c r="G63" s="0" t="n">
        <v>434492.252542146</v>
      </c>
      <c r="H63" s="0" t="n">
        <v>4532472.49385954</v>
      </c>
      <c r="I63" s="0" t="n">
        <f aca="false">IF(G63&gt;H63,1,0)</f>
        <v>0</v>
      </c>
      <c r="O63" s="0" t="n">
        <f aca="false">ROW()-5</f>
        <v>58</v>
      </c>
      <c r="P63" s="0" t="n">
        <f aca="false">IF(O63&gt;$L$5,1,BINOMDIST(O63,$L$5,$L$7,TRUE()))</f>
        <v>1</v>
      </c>
      <c r="Q63" s="0" t="n">
        <f aca="false">IF(O63&gt;$M$5,1,BINOMDIST(O63,$M$5,$M$7,TRUE()))</f>
        <v>1</v>
      </c>
      <c r="R63" s="0" t="n">
        <f aca="false">IF(O63&gt;Inputs!$B$10,1,BINOMDIST(O63,Inputs!$B$10,Inputs!$B$6,TRUE()))</f>
        <v>1</v>
      </c>
    </row>
    <row r="64" customFormat="false" ht="15" hidden="false" customHeight="false" outlineLevel="0" collapsed="false">
      <c r="A64" s="0" t="s">
        <v>672</v>
      </c>
      <c r="B64" s="0" t="n">
        <v>-27533.3275965974</v>
      </c>
      <c r="C64" s="0" t="n">
        <v>1606789.38043578</v>
      </c>
      <c r="D64" s="0" t="n">
        <f aca="false">IF(B64&gt;C64,1,0)</f>
        <v>0</v>
      </c>
      <c r="F64" s="0" t="s">
        <v>673</v>
      </c>
      <c r="G64" s="0" t="n">
        <v>-506800.231637613</v>
      </c>
      <c r="H64" s="0" t="n">
        <v>4441884.53229905</v>
      </c>
      <c r="I64" s="0" t="n">
        <f aca="false">IF(G64&gt;H64,1,0)</f>
        <v>0</v>
      </c>
      <c r="O64" s="0" t="n">
        <f aca="false">ROW()-5</f>
        <v>59</v>
      </c>
      <c r="P64" s="0" t="n">
        <f aca="false">IF(O64&gt;$L$5,1,BINOMDIST(O64,$L$5,$L$7,TRUE()))</f>
        <v>1</v>
      </c>
      <c r="Q64" s="0" t="n">
        <f aca="false">IF(O64&gt;$M$5,1,BINOMDIST(O64,$M$5,$M$7,TRUE()))</f>
        <v>1</v>
      </c>
      <c r="R64" s="0" t="n">
        <f aca="false">IF(O64&gt;Inputs!$B$10,1,BINOMDIST(O64,Inputs!$B$10,Inputs!$B$6,TRUE()))</f>
        <v>1</v>
      </c>
    </row>
    <row r="65" customFormat="false" ht="15" hidden="false" customHeight="false" outlineLevel="0" collapsed="false">
      <c r="A65" s="0" t="s">
        <v>549</v>
      </c>
      <c r="B65" s="0" t="n">
        <v>-195194.048690293</v>
      </c>
      <c r="C65" s="0" t="n">
        <v>1601909.12176136</v>
      </c>
      <c r="D65" s="0" t="n">
        <f aca="false">IF(B65&gt;C65,1,0)</f>
        <v>0</v>
      </c>
      <c r="F65" s="0" t="s">
        <v>674</v>
      </c>
      <c r="G65" s="0" t="n">
        <v>-584535.387463246</v>
      </c>
      <c r="H65" s="0" t="n">
        <v>4318244.21398431</v>
      </c>
      <c r="I65" s="0" t="n">
        <f aca="false">IF(G65&gt;H65,1,0)</f>
        <v>0</v>
      </c>
      <c r="O65" s="0" t="n">
        <f aca="false">ROW()-5</f>
        <v>60</v>
      </c>
      <c r="P65" s="0" t="n">
        <f aca="false">IF(O65&gt;$L$5,1,BINOMDIST(O65,$L$5,$L$7,TRUE()))</f>
        <v>1</v>
      </c>
      <c r="Q65" s="0" t="n">
        <f aca="false">IF(O65&gt;$M$5,1,BINOMDIST(O65,$M$5,$M$7,TRUE()))</f>
        <v>1</v>
      </c>
      <c r="R65" s="0" t="n">
        <f aca="false">IF(O65&gt;Inputs!$B$10,1,BINOMDIST(O65,Inputs!$B$10,Inputs!$B$6,TRUE()))</f>
        <v>1</v>
      </c>
    </row>
    <row r="66" customFormat="false" ht="15" hidden="false" customHeight="false" outlineLevel="0" collapsed="false">
      <c r="A66" s="0" t="s">
        <v>675</v>
      </c>
      <c r="B66" s="0" t="n">
        <v>249116.059503543</v>
      </c>
      <c r="C66" s="0" t="n">
        <v>1526328.75743731</v>
      </c>
      <c r="D66" s="0" t="n">
        <f aca="false">IF(B66&gt;C66,1,0)</f>
        <v>0</v>
      </c>
      <c r="F66" s="0" t="s">
        <v>676</v>
      </c>
      <c r="G66" s="0" t="n">
        <v>-3541420.4490514</v>
      </c>
      <c r="H66" s="0" t="n">
        <v>4286425.75596034</v>
      </c>
      <c r="I66" s="0" t="n">
        <f aca="false">IF(G66&gt;H66,1,0)</f>
        <v>0</v>
      </c>
      <c r="O66" s="0" t="n">
        <f aca="false">ROW()-5</f>
        <v>61</v>
      </c>
      <c r="P66" s="0" t="n">
        <f aca="false">IF(O66&gt;$L$5,1,BINOMDIST(O66,$L$5,$L$7,TRUE()))</f>
        <v>1</v>
      </c>
      <c r="Q66" s="0" t="n">
        <f aca="false">IF(O66&gt;$M$5,1,BINOMDIST(O66,$M$5,$M$7,TRUE()))</f>
        <v>1</v>
      </c>
      <c r="R66" s="0" t="n">
        <f aca="false">IF(O66&gt;Inputs!$B$10,1,BINOMDIST(O66,Inputs!$B$10,Inputs!$B$6,TRUE()))</f>
        <v>1</v>
      </c>
    </row>
    <row r="67" customFormat="false" ht="15" hidden="false" customHeight="false" outlineLevel="0" collapsed="false">
      <c r="A67" s="0" t="s">
        <v>677</v>
      </c>
      <c r="B67" s="0" t="n">
        <v>75319.1807442978</v>
      </c>
      <c r="C67" s="0" t="n">
        <v>1538097.84234722</v>
      </c>
      <c r="D67" s="0" t="n">
        <f aca="false">IF(B67&gt;C67,1,0)</f>
        <v>0</v>
      </c>
      <c r="F67" s="0" t="s">
        <v>678</v>
      </c>
      <c r="G67" s="0" t="n">
        <v>-4511161.1642308</v>
      </c>
      <c r="H67" s="0" t="n">
        <v>4195045.79579826</v>
      </c>
      <c r="I67" s="0" t="n">
        <f aca="false">IF(G67&gt;H67,1,0)</f>
        <v>0</v>
      </c>
      <c r="O67" s="0" t="n">
        <f aca="false">ROW()-5</f>
        <v>62</v>
      </c>
      <c r="P67" s="0" t="n">
        <f aca="false">IF(O67&gt;$L$5,1,BINOMDIST(O67,$L$5,$L$7,TRUE()))</f>
        <v>1</v>
      </c>
      <c r="Q67" s="0" t="n">
        <f aca="false">IF(O67&gt;$M$5,1,BINOMDIST(O67,$M$5,$M$7,TRUE()))</f>
        <v>1</v>
      </c>
      <c r="R67" s="0" t="n">
        <f aca="false">IF(O67&gt;Inputs!$B$10,1,BINOMDIST(O67,Inputs!$B$10,Inputs!$B$6,TRUE()))</f>
        <v>1</v>
      </c>
    </row>
    <row r="68" customFormat="false" ht="15" hidden="false" customHeight="false" outlineLevel="0" collapsed="false">
      <c r="A68" s="0" t="s">
        <v>679</v>
      </c>
      <c r="B68" s="0" t="n">
        <v>42187.0917325094</v>
      </c>
      <c r="C68" s="0" t="n">
        <v>1531109.93554068</v>
      </c>
      <c r="D68" s="0" t="n">
        <f aca="false">IF(B68&gt;C68,1,0)</f>
        <v>0</v>
      </c>
      <c r="F68" s="0" t="s">
        <v>680</v>
      </c>
      <c r="G68" s="0" t="n">
        <v>257884.246890971</v>
      </c>
      <c r="H68" s="0" t="n">
        <v>3756061.31366665</v>
      </c>
      <c r="I68" s="0" t="n">
        <f aca="false">IF(G68&gt;H68,1,0)</f>
        <v>0</v>
      </c>
      <c r="O68" s="0" t="n">
        <f aca="false">ROW()-5</f>
        <v>63</v>
      </c>
      <c r="P68" s="0" t="n">
        <f aca="false">IF(O68&gt;$L$5,1,BINOMDIST(O68,$L$5,$L$7,TRUE()))</f>
        <v>1</v>
      </c>
      <c r="Q68" s="0" t="n">
        <f aca="false">IF(O68&gt;$M$5,1,BINOMDIST(O68,$M$5,$M$7,TRUE()))</f>
        <v>1</v>
      </c>
      <c r="R68" s="0" t="n">
        <f aca="false">IF(O68&gt;Inputs!$B$10,1,BINOMDIST(O68,Inputs!$B$10,Inputs!$B$6,TRUE()))</f>
        <v>1</v>
      </c>
    </row>
    <row r="69" customFormat="false" ht="15" hidden="false" customHeight="false" outlineLevel="0" collapsed="false">
      <c r="A69" s="0" t="s">
        <v>681</v>
      </c>
      <c r="B69" s="0" t="n">
        <v>-30841.2808375307</v>
      </c>
      <c r="C69" s="0" t="n">
        <v>1524285.35037833</v>
      </c>
      <c r="D69" s="0" t="n">
        <f aca="false">IF(B69&gt;C69,1,0)</f>
        <v>0</v>
      </c>
      <c r="F69" s="0" t="s">
        <v>682</v>
      </c>
      <c r="G69" s="0" t="n">
        <v>-3809778.07288364</v>
      </c>
      <c r="H69" s="0" t="n">
        <v>3731809.37991643</v>
      </c>
      <c r="I69" s="0" t="n">
        <f aca="false">IF(G69&gt;H69,1,0)</f>
        <v>0</v>
      </c>
      <c r="O69" s="0" t="n">
        <f aca="false">ROW()-5</f>
        <v>64</v>
      </c>
      <c r="P69" s="0" t="n">
        <f aca="false">IF(O69&gt;$L$5,1,BINOMDIST(O69,$L$5,$L$7,TRUE()))</f>
        <v>1</v>
      </c>
      <c r="Q69" s="0" t="n">
        <f aca="false">IF(O69&gt;$M$5,1,BINOMDIST(O69,$M$5,$M$7,TRUE()))</f>
        <v>1</v>
      </c>
      <c r="R69" s="0" t="n">
        <f aca="false">IF(O69&gt;Inputs!$B$10,1,BINOMDIST(O69,Inputs!$B$10,Inputs!$B$6,TRUE()))</f>
        <v>1</v>
      </c>
    </row>
    <row r="70" customFormat="false" ht="15" hidden="false" customHeight="false" outlineLevel="0" collapsed="false">
      <c r="A70" s="0" t="s">
        <v>683</v>
      </c>
      <c r="B70" s="0" t="n">
        <v>338489.18621159</v>
      </c>
      <c r="C70" s="0" t="n">
        <v>1526561.73488848</v>
      </c>
      <c r="D70" s="0" t="n">
        <f aca="false">IF(B70&gt;C70,1,0)</f>
        <v>0</v>
      </c>
      <c r="F70" s="0" t="s">
        <v>684</v>
      </c>
      <c r="G70" s="0" t="n">
        <v>793753.836551165</v>
      </c>
      <c r="H70" s="0" t="n">
        <v>3649594.61180333</v>
      </c>
      <c r="I70" s="0" t="n">
        <f aca="false">IF(G70&gt;H70,1,0)</f>
        <v>0</v>
      </c>
      <c r="O70" s="0" t="n">
        <f aca="false">ROW()-5</f>
        <v>65</v>
      </c>
      <c r="P70" s="0" t="n">
        <f aca="false">IF(O70&gt;$L$5,1,BINOMDIST(O70,$L$5,$L$7,TRUE()))</f>
        <v>1</v>
      </c>
      <c r="Q70" s="0" t="n">
        <f aca="false">IF(O70&gt;$M$5,1,BINOMDIST(O70,$M$5,$M$7,TRUE()))</f>
        <v>1</v>
      </c>
      <c r="R70" s="0" t="n">
        <f aca="false">IF(O70&gt;Inputs!$B$10,1,BINOMDIST(O70,Inputs!$B$10,Inputs!$B$6,TRUE()))</f>
        <v>1</v>
      </c>
    </row>
    <row r="71" customFormat="false" ht="15" hidden="false" customHeight="false" outlineLevel="0" collapsed="false">
      <c r="A71" s="0" t="s">
        <v>685</v>
      </c>
      <c r="B71" s="0" t="n">
        <v>38627.5497054169</v>
      </c>
      <c r="C71" s="0" t="n">
        <v>1527044.42645167</v>
      </c>
      <c r="D71" s="0" t="n">
        <f aca="false">IF(B71&gt;C71,1,0)</f>
        <v>0</v>
      </c>
      <c r="F71" s="0" t="s">
        <v>686</v>
      </c>
      <c r="G71" s="0" t="n">
        <v>-107424.151334414</v>
      </c>
      <c r="H71" s="0" t="n">
        <v>3665562.69119151</v>
      </c>
      <c r="I71" s="0" t="n">
        <f aca="false">IF(G71&gt;H71,1,0)</f>
        <v>0</v>
      </c>
      <c r="O71" s="0" t="n">
        <f aca="false">ROW()-5</f>
        <v>66</v>
      </c>
      <c r="P71" s="0" t="n">
        <f aca="false">IF(O71&gt;$L$5,1,BINOMDIST(O71,$L$5,$L$7,TRUE()))</f>
        <v>1</v>
      </c>
      <c r="Q71" s="0" t="n">
        <f aca="false">IF(O71&gt;$M$5,1,BINOMDIST(O71,$M$5,$M$7,TRUE()))</f>
        <v>1</v>
      </c>
      <c r="R71" s="0" t="n">
        <f aca="false">IF(O71&gt;Inputs!$B$10,1,BINOMDIST(O71,Inputs!$B$10,Inputs!$B$6,TRUE()))</f>
        <v>1</v>
      </c>
    </row>
    <row r="72" customFormat="false" ht="15" hidden="false" customHeight="false" outlineLevel="0" collapsed="false">
      <c r="A72" s="0" t="s">
        <v>687</v>
      </c>
      <c r="B72" s="0" t="n">
        <v>457703.598731443</v>
      </c>
      <c r="C72" s="0" t="n">
        <v>1529563.29320011</v>
      </c>
      <c r="D72" s="0" t="n">
        <f aca="false">IF(B72&gt;C72,1,0)</f>
        <v>0</v>
      </c>
      <c r="F72" s="0" t="s">
        <v>688</v>
      </c>
      <c r="G72" s="0" t="n">
        <v>84853.6032148004</v>
      </c>
      <c r="H72" s="0" t="n">
        <v>3627778.41869432</v>
      </c>
      <c r="I72" s="0" t="n">
        <f aca="false">IF(G72&gt;H72,1,0)</f>
        <v>0</v>
      </c>
      <c r="O72" s="0" t="n">
        <f aca="false">ROW()-5</f>
        <v>67</v>
      </c>
      <c r="P72" s="0" t="n">
        <f aca="false">IF(O72&gt;$L$5,1,BINOMDIST(O72,$L$5,$L$7,TRUE()))</f>
        <v>1</v>
      </c>
      <c r="Q72" s="0" t="n">
        <f aca="false">IF(O72&gt;$M$5,1,BINOMDIST(O72,$M$5,$M$7,TRUE()))</f>
        <v>1</v>
      </c>
      <c r="R72" s="0" t="n">
        <f aca="false">IF(O72&gt;Inputs!$B$10,1,BINOMDIST(O72,Inputs!$B$10,Inputs!$B$6,TRUE()))</f>
        <v>1</v>
      </c>
    </row>
    <row r="73" customFormat="false" ht="15" hidden="false" customHeight="false" outlineLevel="0" collapsed="false">
      <c r="A73" s="0" t="s">
        <v>689</v>
      </c>
      <c r="B73" s="0" t="n">
        <v>284639.42323493</v>
      </c>
      <c r="C73" s="0" t="n">
        <v>1537775.93271844</v>
      </c>
      <c r="D73" s="0" t="n">
        <f aca="false">IF(B73&gt;C73,1,0)</f>
        <v>0</v>
      </c>
      <c r="F73" s="0" t="s">
        <v>690</v>
      </c>
      <c r="G73" s="0" t="n">
        <v>2171044.99958382</v>
      </c>
      <c r="H73" s="0" t="n">
        <v>3638401.30054436</v>
      </c>
      <c r="I73" s="0" t="n">
        <f aca="false">IF(G73&gt;H73,1,0)</f>
        <v>0</v>
      </c>
      <c r="O73" s="0" t="n">
        <f aca="false">ROW()-5</f>
        <v>68</v>
      </c>
      <c r="P73" s="0" t="n">
        <f aca="false">IF(O73&gt;$L$5,1,BINOMDIST(O73,$L$5,$L$7,TRUE()))</f>
        <v>1</v>
      </c>
      <c r="Q73" s="0" t="n">
        <f aca="false">IF(O73&gt;$M$5,1,BINOMDIST(O73,$M$5,$M$7,TRUE()))</f>
        <v>1</v>
      </c>
      <c r="R73" s="0" t="n">
        <f aca="false">IF(O73&gt;Inputs!$B$10,1,BINOMDIST(O73,Inputs!$B$10,Inputs!$B$6,TRUE()))</f>
        <v>1</v>
      </c>
    </row>
    <row r="74" customFormat="false" ht="15" hidden="false" customHeight="false" outlineLevel="0" collapsed="false">
      <c r="A74" s="0" t="s">
        <v>691</v>
      </c>
      <c r="B74" s="0" t="n">
        <v>2616.12553330557</v>
      </c>
      <c r="C74" s="0" t="n">
        <v>1539282.76365378</v>
      </c>
      <c r="D74" s="0" t="n">
        <f aca="false">IF(B74&gt;C74,1,0)</f>
        <v>0</v>
      </c>
      <c r="F74" s="0" t="s">
        <v>692</v>
      </c>
      <c r="G74" s="0" t="n">
        <v>-227888.293853609</v>
      </c>
      <c r="H74" s="0" t="n">
        <v>3776152.99505264</v>
      </c>
      <c r="I74" s="0" t="n">
        <f aca="false">IF(G74&gt;H74,1,0)</f>
        <v>0</v>
      </c>
      <c r="O74" s="0" t="n">
        <f aca="false">ROW()-5</f>
        <v>69</v>
      </c>
      <c r="P74" s="0" t="n">
        <f aca="false">IF(O74&gt;$L$5,1,BINOMDIST(O74,$L$5,$L$7,TRUE()))</f>
        <v>1</v>
      </c>
      <c r="Q74" s="0" t="n">
        <f aca="false">IF(O74&gt;$M$5,1,BINOMDIST(O74,$M$5,$M$7,TRUE()))</f>
        <v>1</v>
      </c>
      <c r="R74" s="0" t="n">
        <f aca="false">IF(O74&gt;Inputs!$B$10,1,BINOMDIST(O74,Inputs!$B$10,Inputs!$B$6,TRUE()))</f>
        <v>1</v>
      </c>
    </row>
    <row r="75" customFormat="false" ht="15" hidden="false" customHeight="false" outlineLevel="0" collapsed="false">
      <c r="A75" s="0" t="s">
        <v>552</v>
      </c>
      <c r="B75" s="0" t="n">
        <v>390309.637181624</v>
      </c>
      <c r="C75" s="0" t="n">
        <v>1529444.12966654</v>
      </c>
      <c r="D75" s="0" t="n">
        <f aca="false">IF(B75&gt;C75,1,0)</f>
        <v>0</v>
      </c>
      <c r="F75" s="0" t="s">
        <v>693</v>
      </c>
      <c r="G75" s="0" t="n">
        <v>1635752.31162024</v>
      </c>
      <c r="H75" s="0" t="n">
        <v>3839935.91507597</v>
      </c>
      <c r="I75" s="0" t="n">
        <f aca="false">IF(G75&gt;H75,1,0)</f>
        <v>0</v>
      </c>
      <c r="O75" s="0" t="n">
        <f aca="false">ROW()-5</f>
        <v>70</v>
      </c>
      <c r="P75" s="0" t="n">
        <f aca="false">IF(O75&gt;$L$5,1,BINOMDIST(O75,$L$5,$L$7,TRUE()))</f>
        <v>1</v>
      </c>
      <c r="Q75" s="0" t="n">
        <f aca="false">IF(O75&gt;$M$5,1,BINOMDIST(O75,$M$5,$M$7,TRUE()))</f>
        <v>1</v>
      </c>
      <c r="R75" s="0" t="n">
        <f aca="false">IF(O75&gt;Inputs!$B$10,1,BINOMDIST(O75,Inputs!$B$10,Inputs!$B$6,TRUE()))</f>
        <v>1</v>
      </c>
    </row>
    <row r="76" customFormat="false" ht="15" hidden="false" customHeight="false" outlineLevel="0" collapsed="false">
      <c r="A76" s="0" t="s">
        <v>694</v>
      </c>
      <c r="B76" s="0" t="n">
        <v>-362296.969502828</v>
      </c>
      <c r="C76" s="0" t="n">
        <v>1540866.00603936</v>
      </c>
      <c r="D76" s="0" t="n">
        <f aca="false">IF(B76&gt;C76,1,0)</f>
        <v>0</v>
      </c>
      <c r="F76" s="0" t="s">
        <v>695</v>
      </c>
      <c r="G76" s="0" t="n">
        <v>-2319689.11690295</v>
      </c>
      <c r="H76" s="0" t="n">
        <v>3957406.35571692</v>
      </c>
      <c r="I76" s="0" t="n">
        <f aca="false">IF(G76&gt;H76,1,0)</f>
        <v>0</v>
      </c>
      <c r="O76" s="0" t="n">
        <f aca="false">ROW()-5</f>
        <v>71</v>
      </c>
      <c r="P76" s="0" t="n">
        <f aca="false">IF(O76&gt;$L$5,1,BINOMDIST(O76,$L$5,$L$7,TRUE()))</f>
        <v>1</v>
      </c>
      <c r="Q76" s="0" t="n">
        <f aca="false">IF(O76&gt;$M$5,1,BINOMDIST(O76,$M$5,$M$7,TRUE()))</f>
        <v>1</v>
      </c>
      <c r="R76" s="0" t="n">
        <f aca="false">IF(O76&gt;Inputs!$B$10,1,BINOMDIST(O76,Inputs!$B$10,Inputs!$B$6,TRUE()))</f>
        <v>1</v>
      </c>
    </row>
    <row r="77" customFormat="false" ht="15" hidden="false" customHeight="false" outlineLevel="0" collapsed="false">
      <c r="A77" s="0" t="s">
        <v>696</v>
      </c>
      <c r="B77" s="0" t="n">
        <v>160113.95528745</v>
      </c>
      <c r="C77" s="0" t="n">
        <v>1533577.52552878</v>
      </c>
      <c r="D77" s="0" t="n">
        <f aca="false">IF(B77&gt;C77,1,0)</f>
        <v>0</v>
      </c>
      <c r="F77" s="0" t="s">
        <v>697</v>
      </c>
      <c r="G77" s="0" t="n">
        <v>-2017099.58285759</v>
      </c>
      <c r="H77" s="0" t="n">
        <v>3907593.03609022</v>
      </c>
      <c r="I77" s="0" t="n">
        <f aca="false">IF(G77&gt;H77,1,0)</f>
        <v>0</v>
      </c>
      <c r="O77" s="0" t="n">
        <f aca="false">ROW()-5</f>
        <v>72</v>
      </c>
      <c r="P77" s="0" t="n">
        <f aca="false">IF(O77&gt;$L$5,1,BINOMDIST(O77,$L$5,$L$7,TRUE()))</f>
        <v>1</v>
      </c>
      <c r="Q77" s="0" t="n">
        <f aca="false">IF(O77&gt;$M$5,1,BINOMDIST(O77,$M$5,$M$7,TRUE()))</f>
        <v>1</v>
      </c>
      <c r="R77" s="0" t="n">
        <f aca="false">IF(O77&gt;Inputs!$B$10,1,BINOMDIST(O77,Inputs!$B$10,Inputs!$B$6,TRUE()))</f>
        <v>1</v>
      </c>
    </row>
    <row r="78" customFormat="false" ht="15" hidden="false" customHeight="false" outlineLevel="0" collapsed="false">
      <c r="A78" s="0" t="s">
        <v>698</v>
      </c>
      <c r="B78" s="0" t="n">
        <v>35458.6895056353</v>
      </c>
      <c r="C78" s="0" t="n">
        <v>1564779.57342403</v>
      </c>
      <c r="D78" s="0" t="n">
        <f aca="false">IF(B78&gt;C78,1,0)</f>
        <v>0</v>
      </c>
      <c r="F78" s="0" t="s">
        <v>699</v>
      </c>
      <c r="G78" s="0" t="n">
        <v>1274671.17179901</v>
      </c>
      <c r="H78" s="0" t="n">
        <v>3828360.31969037</v>
      </c>
      <c r="I78" s="0" t="n">
        <f aca="false">IF(G78&gt;H78,1,0)</f>
        <v>0</v>
      </c>
      <c r="O78" s="0" t="n">
        <f aca="false">ROW()-5</f>
        <v>73</v>
      </c>
      <c r="P78" s="0" t="n">
        <f aca="false">IF(O78&gt;$L$5,1,BINOMDIST(O78,$L$5,$L$7,TRUE()))</f>
        <v>1</v>
      </c>
      <c r="Q78" s="0" t="n">
        <f aca="false">IF(O78&gt;$M$5,1,BINOMDIST(O78,$M$5,$M$7,TRUE()))</f>
        <v>1</v>
      </c>
      <c r="R78" s="0" t="n">
        <f aca="false">IF(O78&gt;Inputs!$B$10,1,BINOMDIST(O78,Inputs!$B$10,Inputs!$B$6,TRUE()))</f>
        <v>1</v>
      </c>
    </row>
    <row r="79" customFormat="false" ht="15" hidden="false" customHeight="false" outlineLevel="0" collapsed="false">
      <c r="A79" s="0" t="s">
        <v>700</v>
      </c>
      <c r="B79" s="0" t="n">
        <v>-98805.9243159327</v>
      </c>
      <c r="C79" s="0" t="n">
        <v>1556687.04382051</v>
      </c>
      <c r="D79" s="0" t="n">
        <f aca="false">IF(B79&gt;C79,1,0)</f>
        <v>0</v>
      </c>
      <c r="F79" s="0" t="s">
        <v>701</v>
      </c>
      <c r="G79" s="0" t="n">
        <v>-2019471.26211281</v>
      </c>
      <c r="H79" s="0" t="n">
        <v>3518385.98862301</v>
      </c>
      <c r="I79" s="0" t="n">
        <f aca="false">IF(G79&gt;H79,1,0)</f>
        <v>0</v>
      </c>
      <c r="O79" s="0" t="n">
        <f aca="false">ROW()-5</f>
        <v>74</v>
      </c>
      <c r="P79" s="0" t="n">
        <f aca="false">IF(O79&gt;$L$5,1,BINOMDIST(O79,$L$5,$L$7,TRUE()))</f>
        <v>1</v>
      </c>
      <c r="Q79" s="0" t="n">
        <f aca="false">IF(O79&gt;$M$5,1,BINOMDIST(O79,$M$5,$M$7,TRUE()))</f>
        <v>1</v>
      </c>
      <c r="R79" s="0" t="n">
        <f aca="false">IF(O79&gt;Inputs!$B$10,1,BINOMDIST(O79,Inputs!$B$10,Inputs!$B$6,TRUE()))</f>
        <v>1</v>
      </c>
    </row>
    <row r="80" customFormat="false" ht="15" hidden="false" customHeight="false" outlineLevel="0" collapsed="false">
      <c r="A80" s="0" t="s">
        <v>702</v>
      </c>
      <c r="B80" s="0" t="n">
        <v>-62425.1838559131</v>
      </c>
      <c r="C80" s="0" t="n">
        <v>1557991.31977553</v>
      </c>
      <c r="D80" s="0" t="n">
        <f aca="false">IF(B80&gt;C80,1,0)</f>
        <v>0</v>
      </c>
      <c r="F80" s="0" t="s">
        <v>703</v>
      </c>
      <c r="G80" s="0" t="n">
        <v>-1087154.81298247</v>
      </c>
      <c r="H80" s="0" t="n">
        <v>3421740.04681075</v>
      </c>
      <c r="I80" s="0" t="n">
        <f aca="false">IF(G80&gt;H80,1,0)</f>
        <v>0</v>
      </c>
      <c r="O80" s="0" t="n">
        <f aca="false">ROW()-5</f>
        <v>75</v>
      </c>
      <c r="P80" s="0" t="n">
        <f aca="false">IF(O80&gt;$L$5,1,BINOMDIST(O80,$L$5,$L$7,TRUE()))</f>
        <v>1</v>
      </c>
      <c r="Q80" s="0" t="n">
        <f aca="false">IF(O80&gt;$M$5,1,BINOMDIST(O80,$M$5,$M$7,TRUE()))</f>
        <v>1</v>
      </c>
      <c r="R80" s="0" t="n">
        <f aca="false">IF(O80&gt;Inputs!$B$10,1,BINOMDIST(O80,Inputs!$B$10,Inputs!$B$6,TRUE()))</f>
        <v>1</v>
      </c>
    </row>
    <row r="81" customFormat="false" ht="15" hidden="false" customHeight="false" outlineLevel="0" collapsed="false">
      <c r="A81" s="0" t="s">
        <v>704</v>
      </c>
      <c r="B81" s="0" t="n">
        <v>214922.513265849</v>
      </c>
      <c r="C81" s="0" t="n">
        <v>1554649.04604767</v>
      </c>
      <c r="D81" s="0" t="n">
        <f aca="false">IF(B81&gt;C81,1,0)</f>
        <v>0</v>
      </c>
      <c r="F81" s="0" t="s">
        <v>705</v>
      </c>
      <c r="G81" s="0" t="n">
        <v>4936679.63053222</v>
      </c>
      <c r="H81" s="0" t="n">
        <v>3460113.38385473</v>
      </c>
      <c r="I81" s="0" t="n">
        <f aca="false">IF(G81&gt;H81,1,0)</f>
        <v>1</v>
      </c>
      <c r="O81" s="0" t="n">
        <f aca="false">ROW()-5</f>
        <v>76</v>
      </c>
      <c r="P81" s="0" t="n">
        <f aca="false">IF(O81&gt;$L$5,1,BINOMDIST(O81,$L$5,$L$7,TRUE()))</f>
        <v>1</v>
      </c>
      <c r="Q81" s="0" t="n">
        <f aca="false">IF(O81&gt;$M$5,1,BINOMDIST(O81,$M$5,$M$7,TRUE()))</f>
        <v>1</v>
      </c>
      <c r="R81" s="0" t="n">
        <f aca="false">IF(O81&gt;Inputs!$B$10,1,BINOMDIST(O81,Inputs!$B$10,Inputs!$B$6,TRUE()))</f>
        <v>1</v>
      </c>
    </row>
    <row r="82" customFormat="false" ht="15" hidden="false" customHeight="false" outlineLevel="0" collapsed="false">
      <c r="A82" s="0" t="s">
        <v>706</v>
      </c>
      <c r="B82" s="0" t="n">
        <v>-85950.5970958152</v>
      </c>
      <c r="C82" s="0" t="n">
        <v>1551352.85652721</v>
      </c>
      <c r="D82" s="0" t="n">
        <f aca="false">IF(B82&gt;C82,1,0)</f>
        <v>0</v>
      </c>
      <c r="F82" s="0" t="s">
        <v>707</v>
      </c>
      <c r="G82" s="0" t="n">
        <v>1747510.90385647</v>
      </c>
      <c r="H82" s="0" t="n">
        <v>3571142.93284749</v>
      </c>
      <c r="I82" s="0" t="n">
        <f aca="false">IF(G82&gt;H82,1,0)</f>
        <v>0</v>
      </c>
      <c r="O82" s="0" t="n">
        <f aca="false">ROW()-5</f>
        <v>77</v>
      </c>
      <c r="P82" s="0" t="n">
        <f aca="false">IF(O82&gt;$L$5,1,BINOMDIST(O82,$L$5,$L$7,TRUE()))</f>
        <v>1</v>
      </c>
      <c r="Q82" s="0" t="n">
        <f aca="false">IF(O82&gt;$M$5,1,BINOMDIST(O82,$M$5,$M$7,TRUE()))</f>
        <v>1</v>
      </c>
      <c r="R82" s="0" t="n">
        <f aca="false">IF(O82&gt;Inputs!$B$10,1,BINOMDIST(O82,Inputs!$B$10,Inputs!$B$6,TRUE()))</f>
        <v>1</v>
      </c>
    </row>
    <row r="83" customFormat="false" ht="15" hidden="false" customHeight="false" outlineLevel="0" collapsed="false">
      <c r="A83" s="0" t="s">
        <v>708</v>
      </c>
      <c r="B83" s="0" t="n">
        <v>104624.659369845</v>
      </c>
      <c r="C83" s="0" t="n">
        <v>1573272.95133433</v>
      </c>
      <c r="D83" s="0" t="n">
        <f aca="false">IF(B83&gt;C83,1,0)</f>
        <v>0</v>
      </c>
      <c r="F83" s="0" t="s">
        <v>709</v>
      </c>
      <c r="G83" s="0" t="n">
        <v>429186.526249253</v>
      </c>
      <c r="H83" s="0" t="n">
        <v>3528480.43157552</v>
      </c>
      <c r="I83" s="0" t="n">
        <f aca="false">IF(G83&gt;H83,1,0)</f>
        <v>0</v>
      </c>
      <c r="O83" s="0" t="n">
        <f aca="false">ROW()-5</f>
        <v>78</v>
      </c>
      <c r="P83" s="0" t="n">
        <f aca="false">IF(O83&gt;$L$5,1,BINOMDIST(O83,$L$5,$L$7,TRUE()))</f>
        <v>1</v>
      </c>
      <c r="Q83" s="0" t="n">
        <f aca="false">IF(O83&gt;$M$5,1,BINOMDIST(O83,$M$5,$M$7,TRUE()))</f>
        <v>1</v>
      </c>
      <c r="R83" s="0" t="n">
        <f aca="false">IF(O83&gt;Inputs!$B$10,1,BINOMDIST(O83,Inputs!$B$10,Inputs!$B$6,TRUE()))</f>
        <v>1</v>
      </c>
    </row>
    <row r="84" customFormat="false" ht="15" hidden="false" customHeight="false" outlineLevel="0" collapsed="false">
      <c r="A84" s="0" t="s">
        <v>710</v>
      </c>
      <c r="B84" s="0" t="n">
        <v>-50073.66048925</v>
      </c>
      <c r="C84" s="0" t="n">
        <v>1585032.39332766</v>
      </c>
      <c r="D84" s="0" t="n">
        <f aca="false">IF(B84&gt;C84,1,0)</f>
        <v>0</v>
      </c>
      <c r="F84" s="0" t="s">
        <v>711</v>
      </c>
      <c r="G84" s="0" t="n">
        <v>-527772.720831696</v>
      </c>
      <c r="H84" s="0" t="n">
        <v>3522195.58623707</v>
      </c>
      <c r="I84" s="0" t="n">
        <f aca="false">IF(G84&gt;H84,1,0)</f>
        <v>0</v>
      </c>
      <c r="O84" s="0" t="n">
        <f aca="false">ROW()-5</f>
        <v>79</v>
      </c>
      <c r="P84" s="0" t="n">
        <f aca="false">IF(O84&gt;$L$5,1,BINOMDIST(O84,$L$5,$L$7,TRUE()))</f>
        <v>1</v>
      </c>
      <c r="Q84" s="0" t="n">
        <f aca="false">IF(O84&gt;$M$5,1,BINOMDIST(O84,$M$5,$M$7,TRUE()))</f>
        <v>1</v>
      </c>
      <c r="R84" s="0" t="n">
        <f aca="false">IF(O84&gt;Inputs!$B$10,1,BINOMDIST(O84,Inputs!$B$10,Inputs!$B$6,TRUE()))</f>
        <v>1</v>
      </c>
    </row>
    <row r="85" customFormat="false" ht="15" hidden="false" customHeight="false" outlineLevel="0" collapsed="false">
      <c r="A85" s="0" t="s">
        <v>555</v>
      </c>
      <c r="B85" s="0" t="n">
        <v>176137.334280955</v>
      </c>
      <c r="C85" s="0" t="n">
        <v>1575003.78785859</v>
      </c>
      <c r="D85" s="0" t="n">
        <f aca="false">IF(B85&gt;C85,1,0)</f>
        <v>0</v>
      </c>
      <c r="F85" s="0" t="s">
        <v>712</v>
      </c>
      <c r="G85" s="0" t="n">
        <v>255016.512994091</v>
      </c>
      <c r="H85" s="0" t="n">
        <v>3511371.57014527</v>
      </c>
      <c r="I85" s="0" t="n">
        <f aca="false">IF(G85&gt;H85,1,0)</f>
        <v>0</v>
      </c>
      <c r="O85" s="0" t="n">
        <f aca="false">ROW()-5</f>
        <v>80</v>
      </c>
      <c r="P85" s="0" t="n">
        <f aca="false">IF(O85&gt;$L$5,1,BINOMDIST(O85,$L$5,$L$7,TRUE()))</f>
        <v>1</v>
      </c>
      <c r="Q85" s="0" t="n">
        <f aca="false">IF(O85&gt;$M$5,1,BINOMDIST(O85,$M$5,$M$7,TRUE()))</f>
        <v>1</v>
      </c>
      <c r="R85" s="0" t="n">
        <f aca="false">IF(O85&gt;Inputs!$B$10,1,BINOMDIST(O85,Inputs!$B$10,Inputs!$B$6,TRUE()))</f>
        <v>1</v>
      </c>
    </row>
    <row r="86" customFormat="false" ht="15" hidden="false" customHeight="false" outlineLevel="0" collapsed="false">
      <c r="A86" s="0" t="s">
        <v>713</v>
      </c>
      <c r="B86" s="0" t="n">
        <v>344845.930838337</v>
      </c>
      <c r="C86" s="0" t="n">
        <v>1580010.34633105</v>
      </c>
      <c r="D86" s="0" t="n">
        <f aca="false">IF(B86&gt;C86,1,0)</f>
        <v>0</v>
      </c>
      <c r="F86" s="0" t="s">
        <v>714</v>
      </c>
      <c r="G86" s="0" t="n">
        <v>532647.652720379</v>
      </c>
      <c r="H86" s="0" t="n">
        <v>3531582.2125797</v>
      </c>
      <c r="I86" s="0" t="n">
        <f aca="false">IF(G86&gt;H86,1,0)</f>
        <v>0</v>
      </c>
      <c r="O86" s="0" t="n">
        <f aca="false">ROW()-5</f>
        <v>81</v>
      </c>
      <c r="P86" s="0" t="n">
        <f aca="false">IF(O86&gt;$L$5,1,BINOMDIST(O86,$L$5,$L$7,TRUE()))</f>
        <v>1</v>
      </c>
      <c r="Q86" s="0" t="n">
        <f aca="false">IF(O86&gt;$M$5,1,BINOMDIST(O86,$M$5,$M$7,TRUE()))</f>
        <v>1</v>
      </c>
      <c r="R86" s="0" t="n">
        <f aca="false">IF(O86&gt;Inputs!$B$10,1,BINOMDIST(O86,Inputs!$B$10,Inputs!$B$6,TRUE()))</f>
        <v>1</v>
      </c>
    </row>
    <row r="87" customFormat="false" ht="15" hidden="false" customHeight="false" outlineLevel="0" collapsed="false">
      <c r="A87" s="0" t="s">
        <v>715</v>
      </c>
      <c r="B87" s="0" t="n">
        <v>-74812.4682623097</v>
      </c>
      <c r="C87" s="0" t="n">
        <v>1582215.8310202</v>
      </c>
      <c r="D87" s="0" t="n">
        <f aca="false">IF(B87&gt;C87,1,0)</f>
        <v>0</v>
      </c>
      <c r="F87" s="0" t="s">
        <v>716</v>
      </c>
      <c r="G87" s="0" t="n">
        <v>299630.10355573</v>
      </c>
      <c r="H87" s="0" t="n">
        <v>3566345.5141586</v>
      </c>
      <c r="I87" s="0" t="n">
        <f aca="false">IF(G87&gt;H87,1,0)</f>
        <v>0</v>
      </c>
      <c r="O87" s="0" t="n">
        <f aca="false">ROW()-5</f>
        <v>82</v>
      </c>
      <c r="P87" s="0" t="n">
        <f aca="false">IF(O87&gt;$L$5,1,BINOMDIST(O87,$L$5,$L$7,TRUE()))</f>
        <v>1</v>
      </c>
      <c r="Q87" s="0" t="n">
        <f aca="false">IF(O87&gt;$M$5,1,BINOMDIST(O87,$M$5,$M$7,TRUE()))</f>
        <v>1</v>
      </c>
      <c r="R87" s="0" t="n">
        <f aca="false">IF(O87&gt;Inputs!$B$10,1,BINOMDIST(O87,Inputs!$B$10,Inputs!$B$6,TRUE()))</f>
        <v>1</v>
      </c>
    </row>
    <row r="88" customFormat="false" ht="15" hidden="false" customHeight="false" outlineLevel="0" collapsed="false">
      <c r="A88" s="0" t="s">
        <v>717</v>
      </c>
      <c r="B88" s="0" t="n">
        <v>-23673.9828382016</v>
      </c>
      <c r="C88" s="0" t="n">
        <v>1578763.92299732</v>
      </c>
      <c r="D88" s="0" t="n">
        <f aca="false">IF(B88&gt;C88,1,0)</f>
        <v>0</v>
      </c>
      <c r="F88" s="0" t="s">
        <v>718</v>
      </c>
      <c r="G88" s="0" t="n">
        <v>66269.3651118213</v>
      </c>
      <c r="H88" s="0" t="n">
        <v>3591575.5956365</v>
      </c>
      <c r="I88" s="0" t="n">
        <f aca="false">IF(G88&gt;H88,1,0)</f>
        <v>0</v>
      </c>
      <c r="O88" s="0" t="n">
        <f aca="false">ROW()-5</f>
        <v>83</v>
      </c>
      <c r="P88" s="0" t="n">
        <f aca="false">IF(O88&gt;$L$5,1,BINOMDIST(O88,$L$5,$L$7,TRUE()))</f>
        <v>1</v>
      </c>
      <c r="Q88" s="0" t="n">
        <f aca="false">IF(O88&gt;$M$5,1,BINOMDIST(O88,$M$5,$M$7,TRUE()))</f>
        <v>1</v>
      </c>
      <c r="R88" s="0" t="n">
        <f aca="false">IF(O88&gt;Inputs!$B$10,1,BINOMDIST(O88,Inputs!$B$10,Inputs!$B$6,TRUE()))</f>
        <v>1</v>
      </c>
    </row>
    <row r="89" customFormat="false" ht="15" hidden="false" customHeight="false" outlineLevel="0" collapsed="false">
      <c r="A89" s="0" t="s">
        <v>719</v>
      </c>
      <c r="B89" s="0" t="n">
        <v>192084.271234626</v>
      </c>
      <c r="C89" s="0" t="n">
        <v>1591176.53623907</v>
      </c>
      <c r="D89" s="0" t="n">
        <f aca="false">IF(B89&gt;C89,1,0)</f>
        <v>0</v>
      </c>
      <c r="F89" s="0" t="s">
        <v>720</v>
      </c>
      <c r="G89" s="0" t="n">
        <v>-1184418.10788977</v>
      </c>
      <c r="H89" s="0" t="n">
        <v>3571612.65970801</v>
      </c>
      <c r="I89" s="0" t="n">
        <f aca="false">IF(G89&gt;H89,1,0)</f>
        <v>0</v>
      </c>
      <c r="O89" s="0" t="n">
        <f aca="false">ROW()-5</f>
        <v>84</v>
      </c>
      <c r="P89" s="0" t="n">
        <f aca="false">IF(O89&gt;$L$5,1,BINOMDIST(O89,$L$5,$L$7,TRUE()))</f>
        <v>1</v>
      </c>
      <c r="Q89" s="0" t="n">
        <f aca="false">IF(O89&gt;$M$5,1,BINOMDIST(O89,$M$5,$M$7,TRUE()))</f>
        <v>1</v>
      </c>
      <c r="R89" s="0" t="n">
        <f aca="false">IF(O89&gt;Inputs!$B$10,1,BINOMDIST(O89,Inputs!$B$10,Inputs!$B$6,TRUE()))</f>
        <v>1</v>
      </c>
    </row>
    <row r="90" customFormat="false" ht="15" hidden="false" customHeight="false" outlineLevel="0" collapsed="false">
      <c r="A90" s="0" t="s">
        <v>721</v>
      </c>
      <c r="B90" s="0" t="n">
        <v>341761.29900775</v>
      </c>
      <c r="C90" s="0" t="n">
        <v>1589711.10833688</v>
      </c>
      <c r="D90" s="0" t="n">
        <f aca="false">IF(B90&gt;C90,1,0)</f>
        <v>0</v>
      </c>
      <c r="F90" s="0" t="s">
        <v>722</v>
      </c>
      <c r="G90" s="0" t="n">
        <v>-497626.066327764</v>
      </c>
      <c r="H90" s="0" t="n">
        <v>3558987.27607153</v>
      </c>
      <c r="I90" s="0" t="n">
        <f aca="false">IF(G90&gt;H90,1,0)</f>
        <v>0</v>
      </c>
      <c r="O90" s="0" t="n">
        <f aca="false">ROW()-5</f>
        <v>85</v>
      </c>
      <c r="P90" s="0" t="n">
        <f aca="false">IF(O90&gt;$L$5,1,BINOMDIST(O90,$L$5,$L$7,TRUE()))</f>
        <v>1</v>
      </c>
      <c r="Q90" s="0" t="n">
        <f aca="false">IF(O90&gt;$M$5,1,BINOMDIST(O90,$M$5,$M$7,TRUE()))</f>
        <v>1</v>
      </c>
      <c r="R90" s="0" t="n">
        <f aca="false">IF(O90&gt;Inputs!$B$10,1,BINOMDIST(O90,Inputs!$B$10,Inputs!$B$6,TRUE()))</f>
        <v>1</v>
      </c>
    </row>
    <row r="91" customFormat="false" ht="15" hidden="false" customHeight="false" outlineLevel="0" collapsed="false">
      <c r="A91" s="0" t="s">
        <v>723</v>
      </c>
      <c r="B91" s="0" t="n">
        <v>290048.453020808</v>
      </c>
      <c r="C91" s="0" t="n">
        <v>1567915.46455887</v>
      </c>
      <c r="D91" s="0" t="n">
        <f aca="false">IF(B91&gt;C91,1,0)</f>
        <v>0</v>
      </c>
      <c r="F91" s="0" t="s">
        <v>724</v>
      </c>
      <c r="G91" s="0" t="n">
        <v>901108.444590994</v>
      </c>
      <c r="H91" s="0" t="n">
        <v>3550423.90397329</v>
      </c>
      <c r="I91" s="0" t="n">
        <f aca="false">IF(G91&gt;H91,1,0)</f>
        <v>0</v>
      </c>
      <c r="O91" s="0" t="n">
        <f aca="false">ROW()-5</f>
        <v>86</v>
      </c>
      <c r="P91" s="0" t="n">
        <f aca="false">IF(O91&gt;$L$5,1,BINOMDIST(O91,$L$5,$L$7,TRUE()))</f>
        <v>1</v>
      </c>
      <c r="Q91" s="0" t="n">
        <f aca="false">IF(O91&gt;$M$5,1,BINOMDIST(O91,$M$5,$M$7,TRUE()))</f>
        <v>1</v>
      </c>
      <c r="R91" s="0" t="n">
        <f aca="false">IF(O91&gt;Inputs!$B$10,1,BINOMDIST(O91,Inputs!$B$10,Inputs!$B$6,TRUE()))</f>
        <v>1</v>
      </c>
    </row>
    <row r="92" customFormat="false" ht="15" hidden="false" customHeight="false" outlineLevel="0" collapsed="false">
      <c r="A92" s="0" t="s">
        <v>725</v>
      </c>
      <c r="B92" s="0" t="n">
        <v>-274198.62984087</v>
      </c>
      <c r="C92" s="0" t="n">
        <v>1560172.42720985</v>
      </c>
      <c r="D92" s="0" t="n">
        <f aca="false">IF(B92&gt;C92,1,0)</f>
        <v>0</v>
      </c>
      <c r="F92" s="0" t="s">
        <v>726</v>
      </c>
      <c r="G92" s="0" t="n">
        <v>-2540669.32043814</v>
      </c>
      <c r="H92" s="0" t="n">
        <v>3513395.14188055</v>
      </c>
      <c r="I92" s="0" t="n">
        <f aca="false">IF(G92&gt;H92,1,0)</f>
        <v>0</v>
      </c>
      <c r="O92" s="0" t="n">
        <f aca="false">ROW()-5</f>
        <v>87</v>
      </c>
      <c r="P92" s="0" t="n">
        <f aca="false">IF(O92&gt;$L$5,1,BINOMDIST(O92,$L$5,$L$7,TRUE()))</f>
        <v>1</v>
      </c>
      <c r="Q92" s="0" t="n">
        <f aca="false">IF(O92&gt;$M$5,1,BINOMDIST(O92,$M$5,$M$7,TRUE()))</f>
        <v>1</v>
      </c>
      <c r="R92" s="0" t="n">
        <f aca="false">IF(O92&gt;Inputs!$B$10,1,BINOMDIST(O92,Inputs!$B$10,Inputs!$B$6,TRUE()))</f>
        <v>1</v>
      </c>
    </row>
    <row r="93" customFormat="false" ht="15" hidden="false" customHeight="false" outlineLevel="0" collapsed="false">
      <c r="A93" s="0" t="s">
        <v>727</v>
      </c>
      <c r="B93" s="0" t="n">
        <v>-55772.139523251</v>
      </c>
      <c r="C93" s="0" t="n">
        <v>1569371.77473478</v>
      </c>
      <c r="D93" s="0" t="n">
        <f aca="false">IF(B93&gt;C93,1,0)</f>
        <v>0</v>
      </c>
      <c r="F93" s="0" t="s">
        <v>728</v>
      </c>
      <c r="G93" s="0" t="n">
        <v>-3869256.37084913</v>
      </c>
      <c r="H93" s="0" t="n">
        <v>3489041.23678656</v>
      </c>
      <c r="I93" s="0" t="n">
        <f aca="false">IF(G93&gt;H93,1,0)</f>
        <v>0</v>
      </c>
      <c r="O93" s="0" t="n">
        <f aca="false">ROW()-5</f>
        <v>88</v>
      </c>
      <c r="P93" s="0" t="n">
        <f aca="false">IF(O93&gt;$L$5,1,BINOMDIST(O93,$L$5,$L$7,TRUE()))</f>
        <v>1</v>
      </c>
      <c r="Q93" s="0" t="n">
        <f aca="false">IF(O93&gt;$M$5,1,BINOMDIST(O93,$M$5,$M$7,TRUE()))</f>
        <v>1</v>
      </c>
      <c r="R93" s="0" t="n">
        <f aca="false">IF(O93&gt;Inputs!$B$10,1,BINOMDIST(O93,Inputs!$B$10,Inputs!$B$6,TRUE()))</f>
        <v>1</v>
      </c>
    </row>
    <row r="94" customFormat="false" ht="15" hidden="false" customHeight="false" outlineLevel="0" collapsed="false">
      <c r="A94" s="0" t="s">
        <v>729</v>
      </c>
      <c r="B94" s="0" t="n">
        <v>-33694.3359442391</v>
      </c>
      <c r="C94" s="0" t="n">
        <v>1576564.9420529</v>
      </c>
      <c r="D94" s="0" t="n">
        <f aca="false">IF(B94&gt;C94,1,0)</f>
        <v>0</v>
      </c>
      <c r="F94" s="0" t="s">
        <v>730</v>
      </c>
      <c r="G94" s="0" t="n">
        <v>714032.716066835</v>
      </c>
      <c r="H94" s="0" t="n">
        <v>3709247.88000948</v>
      </c>
      <c r="I94" s="0" t="n">
        <f aca="false">IF(G94&gt;H94,1,0)</f>
        <v>0</v>
      </c>
      <c r="O94" s="0" t="n">
        <f aca="false">ROW()-5</f>
        <v>89</v>
      </c>
      <c r="P94" s="0" t="n">
        <f aca="false">IF(O94&gt;$L$5,1,BINOMDIST(O94,$L$5,$L$7,TRUE()))</f>
        <v>1</v>
      </c>
      <c r="Q94" s="0" t="n">
        <f aca="false">IF(O94&gt;$M$5,1,BINOMDIST(O94,$M$5,$M$7,TRUE()))</f>
        <v>1</v>
      </c>
      <c r="R94" s="0" t="n">
        <f aca="false">IF(O94&gt;Inputs!$B$10,1,BINOMDIST(O94,Inputs!$B$10,Inputs!$B$6,TRUE()))</f>
        <v>1</v>
      </c>
    </row>
    <row r="95" customFormat="false" ht="15" hidden="false" customHeight="false" outlineLevel="0" collapsed="false">
      <c r="A95" s="0" t="s">
        <v>558</v>
      </c>
      <c r="B95" s="0" t="n">
        <v>-79883.0353834098</v>
      </c>
      <c r="C95" s="0" t="n">
        <v>1586149.17262434</v>
      </c>
      <c r="D95" s="0" t="n">
        <f aca="false">IF(B95&gt;C95,1,0)</f>
        <v>0</v>
      </c>
      <c r="F95" s="0" t="s">
        <v>731</v>
      </c>
      <c r="G95" s="0" t="n">
        <v>1310972.1768583</v>
      </c>
      <c r="H95" s="0" t="n">
        <v>3932235.38007038</v>
      </c>
      <c r="I95" s="0" t="n">
        <f aca="false">IF(G95&gt;H95,1,0)</f>
        <v>0</v>
      </c>
      <c r="O95" s="0" t="n">
        <f aca="false">ROW()-5</f>
        <v>90</v>
      </c>
      <c r="P95" s="0" t="n">
        <f aca="false">IF(O95&gt;$L$5,1,BINOMDIST(O95,$L$5,$L$7,TRUE()))</f>
        <v>1</v>
      </c>
      <c r="Q95" s="0" t="n">
        <f aca="false">IF(O95&gt;$M$5,1,BINOMDIST(O95,$M$5,$M$7,TRUE()))</f>
        <v>1</v>
      </c>
      <c r="R95" s="0" t="n">
        <f aca="false">IF(O95&gt;Inputs!$B$10,1,BINOMDIST(O95,Inputs!$B$10,Inputs!$B$6,TRUE()))</f>
        <v>1</v>
      </c>
    </row>
    <row r="96" customFormat="false" ht="15" hidden="false" customHeight="false" outlineLevel="0" collapsed="false">
      <c r="A96" s="0" t="s">
        <v>732</v>
      </c>
      <c r="B96" s="0" t="n">
        <v>301182.694518523</v>
      </c>
      <c r="C96" s="0" t="n">
        <v>1602290.45609982</v>
      </c>
      <c r="D96" s="0" t="n">
        <f aca="false">IF(B96&gt;C96,1,0)</f>
        <v>0</v>
      </c>
      <c r="F96" s="0" t="s">
        <v>733</v>
      </c>
      <c r="G96" s="0" t="n">
        <v>-404501.015968686</v>
      </c>
      <c r="H96" s="0" t="n">
        <v>3671789.460687</v>
      </c>
      <c r="I96" s="0" t="n">
        <f aca="false">IF(G96&gt;H96,1,0)</f>
        <v>0</v>
      </c>
      <c r="O96" s="0" t="n">
        <f aca="false">ROW()-5</f>
        <v>91</v>
      </c>
      <c r="P96" s="0" t="n">
        <f aca="false">IF(O96&gt;$L$5,1,BINOMDIST(O96,$L$5,$L$7,TRUE()))</f>
        <v>1</v>
      </c>
      <c r="Q96" s="0" t="n">
        <f aca="false">IF(O96&gt;$M$5,1,BINOMDIST(O96,$M$5,$M$7,TRUE()))</f>
        <v>1</v>
      </c>
      <c r="R96" s="0" t="n">
        <f aca="false">IF(O96&gt;Inputs!$B$10,1,BINOMDIST(O96,Inputs!$B$10,Inputs!$B$6,TRUE()))</f>
        <v>1</v>
      </c>
    </row>
    <row r="97" customFormat="false" ht="15" hidden="false" customHeight="false" outlineLevel="0" collapsed="false">
      <c r="A97" s="0" t="s">
        <v>734</v>
      </c>
      <c r="B97" s="0" t="n">
        <v>-300399.737102654</v>
      </c>
      <c r="C97" s="0" t="n">
        <v>1627425.80915882</v>
      </c>
      <c r="D97" s="0" t="n">
        <f aca="false">IF(B97&gt;C97,1,0)</f>
        <v>0</v>
      </c>
      <c r="F97" s="0" t="s">
        <v>735</v>
      </c>
      <c r="G97" s="0" t="n">
        <v>361832.392254472</v>
      </c>
      <c r="H97" s="0" t="n">
        <v>3652227.24060391</v>
      </c>
      <c r="I97" s="0" t="n">
        <f aca="false">IF(G97&gt;H97,1,0)</f>
        <v>0</v>
      </c>
      <c r="O97" s="0" t="n">
        <f aca="false">ROW()-5</f>
        <v>92</v>
      </c>
      <c r="P97" s="0" t="n">
        <f aca="false">IF(O97&gt;$L$5,1,BINOMDIST(O97,$L$5,$L$7,TRUE()))</f>
        <v>1</v>
      </c>
      <c r="Q97" s="0" t="n">
        <f aca="false">IF(O97&gt;$M$5,1,BINOMDIST(O97,$M$5,$M$7,TRUE()))</f>
        <v>1</v>
      </c>
      <c r="R97" s="0" t="n">
        <f aca="false">IF(O97&gt;Inputs!$B$10,1,BINOMDIST(O97,Inputs!$B$10,Inputs!$B$6,TRUE()))</f>
        <v>1</v>
      </c>
    </row>
    <row r="98" customFormat="false" ht="15" hidden="false" customHeight="false" outlineLevel="0" collapsed="false">
      <c r="A98" s="0" t="s">
        <v>736</v>
      </c>
      <c r="B98" s="0" t="n">
        <v>-335344.460411749</v>
      </c>
      <c r="C98" s="0" t="n">
        <v>1634736.20700795</v>
      </c>
      <c r="D98" s="0" t="n">
        <f aca="false">IF(B98&gt;C98,1,0)</f>
        <v>0</v>
      </c>
      <c r="F98" s="0" t="s">
        <v>737</v>
      </c>
      <c r="G98" s="0" t="n">
        <v>814024.698471615</v>
      </c>
      <c r="H98" s="0" t="n">
        <v>3791838.46751888</v>
      </c>
      <c r="I98" s="0" t="n">
        <f aca="false">IF(G98&gt;H98,1,0)</f>
        <v>0</v>
      </c>
      <c r="O98" s="0" t="n">
        <f aca="false">ROW()-5</f>
        <v>93</v>
      </c>
      <c r="P98" s="0" t="n">
        <f aca="false">IF(O98&gt;$L$5,1,BINOMDIST(O98,$L$5,$L$7,TRUE()))</f>
        <v>1</v>
      </c>
      <c r="Q98" s="0" t="n">
        <f aca="false">IF(O98&gt;$M$5,1,BINOMDIST(O98,$M$5,$M$7,TRUE()))</f>
        <v>1</v>
      </c>
      <c r="R98" s="0" t="n">
        <f aca="false">IF(O98&gt;Inputs!$B$10,1,BINOMDIST(O98,Inputs!$B$10,Inputs!$B$6,TRUE()))</f>
        <v>1</v>
      </c>
    </row>
    <row r="99" customFormat="false" ht="15" hidden="false" customHeight="false" outlineLevel="0" collapsed="false">
      <c r="A99" s="0" t="s">
        <v>738</v>
      </c>
      <c r="B99" s="0" t="n">
        <v>-156141.509513424</v>
      </c>
      <c r="C99" s="0" t="n">
        <v>1629706.17516485</v>
      </c>
      <c r="D99" s="0" t="n">
        <f aca="false">IF(B99&gt;C99,1,0)</f>
        <v>0</v>
      </c>
      <c r="F99" s="0" t="s">
        <v>739</v>
      </c>
      <c r="G99" s="0" t="n">
        <v>469387.758478522</v>
      </c>
      <c r="H99" s="0" t="n">
        <v>3754281.6636293</v>
      </c>
      <c r="I99" s="0" t="n">
        <f aca="false">IF(G99&gt;H99,1,0)</f>
        <v>0</v>
      </c>
      <c r="O99" s="0" t="n">
        <f aca="false">ROW()-5</f>
        <v>94</v>
      </c>
      <c r="P99" s="0" t="n">
        <f aca="false">IF(O99&gt;$L$5,1,BINOMDIST(O99,$L$5,$L$7,TRUE()))</f>
        <v>1</v>
      </c>
      <c r="Q99" s="0" t="n">
        <f aca="false">IF(O99&gt;$M$5,1,BINOMDIST(O99,$M$5,$M$7,TRUE()))</f>
        <v>1</v>
      </c>
      <c r="R99" s="0" t="n">
        <f aca="false">IF(O99&gt;Inputs!$B$10,1,BINOMDIST(O99,Inputs!$B$10,Inputs!$B$6,TRUE()))</f>
        <v>1</v>
      </c>
    </row>
    <row r="100" customFormat="false" ht="15" hidden="false" customHeight="false" outlineLevel="0" collapsed="false">
      <c r="A100" s="0" t="s">
        <v>740</v>
      </c>
      <c r="B100" s="0" t="n">
        <v>-78534.7946499875</v>
      </c>
      <c r="C100" s="0" t="n">
        <v>1611327.29336264</v>
      </c>
      <c r="D100" s="0" t="n">
        <f aca="false">IF(B100&gt;C100,1,0)</f>
        <v>0</v>
      </c>
      <c r="F100" s="0" t="s">
        <v>741</v>
      </c>
      <c r="G100" s="0" t="n">
        <v>-599655.897801735</v>
      </c>
      <c r="H100" s="0" t="n">
        <v>3728475.55056498</v>
      </c>
      <c r="I100" s="0" t="n">
        <f aca="false">IF(G100&gt;H100,1,0)</f>
        <v>0</v>
      </c>
      <c r="O100" s="0" t="n">
        <f aca="false">ROW()-5</f>
        <v>95</v>
      </c>
      <c r="P100" s="0" t="n">
        <f aca="false">IF(O100&gt;$L$5,1,BINOMDIST(O100,$L$5,$L$7,TRUE()))</f>
        <v>1</v>
      </c>
      <c r="Q100" s="0" t="n">
        <f aca="false">IF(O100&gt;$M$5,1,BINOMDIST(O100,$M$5,$M$7,TRUE()))</f>
        <v>1</v>
      </c>
      <c r="R100" s="0" t="n">
        <f aca="false">IF(O100&gt;Inputs!$B$10,1,BINOMDIST(O100,Inputs!$B$10,Inputs!$B$6,TRUE()))</f>
        <v>1</v>
      </c>
    </row>
    <row r="101" customFormat="false" ht="15" hidden="false" customHeight="false" outlineLevel="0" collapsed="false">
      <c r="A101" s="0" t="s">
        <v>742</v>
      </c>
      <c r="B101" s="0" t="n">
        <v>-43320.8983190714</v>
      </c>
      <c r="C101" s="0" t="n">
        <v>1590021.85387276</v>
      </c>
      <c r="D101" s="0" t="n">
        <f aca="false">IF(B101&gt;C101,1,0)</f>
        <v>0</v>
      </c>
      <c r="F101" s="0" t="s">
        <v>743</v>
      </c>
      <c r="G101" s="0" t="n">
        <v>-347479.589035122</v>
      </c>
      <c r="H101" s="0" t="n">
        <v>3707543.16324631</v>
      </c>
      <c r="I101" s="0" t="n">
        <f aca="false">IF(G101&gt;H101,1,0)</f>
        <v>0</v>
      </c>
      <c r="O101" s="0" t="n">
        <f aca="false">ROW()-5</f>
        <v>96</v>
      </c>
      <c r="P101" s="0" t="n">
        <f aca="false">IF(O101&gt;$L$5,1,BINOMDIST(O101,$L$5,$L$7,TRUE()))</f>
        <v>1</v>
      </c>
      <c r="Q101" s="0" t="n">
        <f aca="false">IF(O101&gt;$M$5,1,BINOMDIST(O101,$M$5,$M$7,TRUE()))</f>
        <v>1</v>
      </c>
      <c r="R101" s="0" t="n">
        <f aca="false">IF(O101&gt;Inputs!$B$10,1,BINOMDIST(O101,Inputs!$B$10,Inputs!$B$6,TRUE()))</f>
        <v>1</v>
      </c>
    </row>
    <row r="102" customFormat="false" ht="15" hidden="false" customHeight="false" outlineLevel="0" collapsed="false">
      <c r="A102" s="0" t="s">
        <v>744</v>
      </c>
      <c r="B102" s="0" t="n">
        <v>-1322198.49057397</v>
      </c>
      <c r="C102" s="0" t="n">
        <v>1606391.60184241</v>
      </c>
      <c r="D102" s="0" t="n">
        <f aca="false">IF(B102&gt;C102,1,0)</f>
        <v>0</v>
      </c>
      <c r="F102" s="0" t="s">
        <v>745</v>
      </c>
      <c r="G102" s="0" t="n">
        <v>57757.1708747745</v>
      </c>
      <c r="H102" s="0" t="n">
        <v>3730539.76515735</v>
      </c>
      <c r="I102" s="0" t="n">
        <f aca="false">IF(G102&gt;H102,1,0)</f>
        <v>0</v>
      </c>
      <c r="O102" s="0" t="n">
        <f aca="false">ROW()-5</f>
        <v>97</v>
      </c>
      <c r="P102" s="0" t="n">
        <f aca="false">IF(O102&gt;$L$5,1,BINOMDIST(O102,$L$5,$L$7,TRUE()))</f>
        <v>1</v>
      </c>
      <c r="Q102" s="0" t="n">
        <f aca="false">IF(O102&gt;$M$5,1,BINOMDIST(O102,$M$5,$M$7,TRUE()))</f>
        <v>1</v>
      </c>
      <c r="R102" s="0" t="n">
        <f aca="false">IF(O102&gt;Inputs!$B$10,1,BINOMDIST(O102,Inputs!$B$10,Inputs!$B$6,TRUE()))</f>
        <v>1</v>
      </c>
    </row>
    <row r="103" customFormat="false" ht="15" hidden="false" customHeight="false" outlineLevel="0" collapsed="false">
      <c r="A103" s="0" t="s">
        <v>746</v>
      </c>
      <c r="B103" s="0" t="n">
        <v>507783.336875222</v>
      </c>
      <c r="C103" s="0" t="n">
        <v>1595381.55463744</v>
      </c>
      <c r="D103" s="0" t="n">
        <f aca="false">IF(B103&gt;C103,1,0)</f>
        <v>0</v>
      </c>
      <c r="F103" s="0" t="s">
        <v>747</v>
      </c>
      <c r="G103" s="0" t="n">
        <v>64187.3949659681</v>
      </c>
      <c r="H103" s="0" t="n">
        <v>3641654.53421968</v>
      </c>
      <c r="I103" s="0" t="n">
        <f aca="false">IF(G103&gt;H103,1,0)</f>
        <v>0</v>
      </c>
      <c r="O103" s="0" t="n">
        <f aca="false">ROW()-5</f>
        <v>98</v>
      </c>
      <c r="P103" s="0" t="n">
        <f aca="false">IF(O103&gt;$L$5,1,BINOMDIST(O103,$L$5,$L$7,TRUE()))</f>
        <v>1</v>
      </c>
      <c r="Q103" s="0" t="n">
        <f aca="false">IF(O103&gt;$M$5,1,BINOMDIST(O103,$M$5,$M$7,TRUE()))</f>
        <v>1</v>
      </c>
      <c r="R103" s="0" t="n">
        <f aca="false">IF(O103&gt;Inputs!$B$10,1,BINOMDIST(O103,Inputs!$B$10,Inputs!$B$6,TRUE()))</f>
        <v>1</v>
      </c>
    </row>
    <row r="104" customFormat="false" ht="15" hidden="false" customHeight="false" outlineLevel="0" collapsed="false">
      <c r="A104" s="0" t="s">
        <v>748</v>
      </c>
      <c r="B104" s="0" t="n">
        <v>4414.030921706</v>
      </c>
      <c r="C104" s="0" t="n">
        <v>1574666.76062936</v>
      </c>
      <c r="D104" s="0" t="n">
        <f aca="false">IF(B104&gt;C104,1,0)</f>
        <v>0</v>
      </c>
      <c r="F104" s="0" t="s">
        <v>749</v>
      </c>
      <c r="G104" s="0" t="n">
        <v>-1915185.37164487</v>
      </c>
      <c r="H104" s="0" t="n">
        <v>3603955.38175722</v>
      </c>
      <c r="I104" s="0" t="n">
        <f aca="false">IF(G104&gt;H104,1,0)</f>
        <v>0</v>
      </c>
      <c r="O104" s="0" t="n">
        <f aca="false">ROW()-5</f>
        <v>99</v>
      </c>
      <c r="P104" s="0" t="n">
        <f aca="false">IF(O104&gt;$L$5,1,BINOMDIST(O104,$L$5,$L$7,TRUE()))</f>
        <v>1</v>
      </c>
      <c r="Q104" s="0" t="n">
        <f aca="false">IF(O104&gt;$M$5,1,BINOMDIST(O104,$M$5,$M$7,TRUE()))</f>
        <v>1</v>
      </c>
      <c r="R104" s="0" t="n">
        <f aca="false">IF(O104&gt;Inputs!$B$10,1,BINOMDIST(O104,Inputs!$B$10,Inputs!$B$6,TRUE()))</f>
        <v>1</v>
      </c>
    </row>
    <row r="105" customFormat="false" ht="15" hidden="false" customHeight="false" outlineLevel="0" collapsed="false">
      <c r="A105" s="0" t="s">
        <v>560</v>
      </c>
      <c r="B105" s="0" t="n">
        <v>-191512.430900229</v>
      </c>
      <c r="C105" s="0" t="n">
        <v>1578834.71702328</v>
      </c>
      <c r="D105" s="0" t="n">
        <f aca="false">IF(B105&gt;C105,1,0)</f>
        <v>0</v>
      </c>
      <c r="F105" s="0" t="s">
        <v>750</v>
      </c>
      <c r="G105" s="0" t="n">
        <v>455337.111891922</v>
      </c>
      <c r="H105" s="0" t="n">
        <v>3547990.27739714</v>
      </c>
      <c r="I105" s="0" t="n">
        <f aca="false">IF(G105&gt;H105,1,0)</f>
        <v>0</v>
      </c>
      <c r="O105" s="0" t="n">
        <f aca="false">ROW()-5</f>
        <v>100</v>
      </c>
      <c r="P105" s="0" t="n">
        <f aca="false">IF(O105&gt;$L$5,1,BINOMDIST(O105,$L$5,$L$7,TRUE()))</f>
        <v>1</v>
      </c>
      <c r="Q105" s="0" t="n">
        <f aca="false">IF(O105&gt;$M$5,1,BINOMDIST(O105,$M$5,$M$7,TRUE()))</f>
        <v>1</v>
      </c>
      <c r="R105" s="0" t="n">
        <f aca="false">IF(O105&gt;Inputs!$B$10,1,BINOMDIST(O105,Inputs!$B$10,Inputs!$B$6,TRUE()))</f>
        <v>1</v>
      </c>
    </row>
    <row r="106" customFormat="false" ht="15" hidden="false" customHeight="false" outlineLevel="0" collapsed="false">
      <c r="A106" s="0" t="s">
        <v>751</v>
      </c>
      <c r="B106" s="0" t="n">
        <v>-64525.0467283358</v>
      </c>
      <c r="C106" s="0" t="n">
        <v>1587735.51723464</v>
      </c>
      <c r="D106" s="0" t="n">
        <f aca="false">IF(B106&gt;C106,1,0)</f>
        <v>0</v>
      </c>
      <c r="F106" s="0" t="s">
        <v>752</v>
      </c>
      <c r="G106" s="0" t="n">
        <v>143305.154726956</v>
      </c>
      <c r="H106" s="0" t="n">
        <v>3569620.40572678</v>
      </c>
      <c r="I106" s="0" t="n">
        <f aca="false">IF(G106&gt;H106,1,0)</f>
        <v>0</v>
      </c>
    </row>
    <row r="107" customFormat="false" ht="15" hidden="false" customHeight="false" outlineLevel="0" collapsed="false">
      <c r="A107" s="0" t="s">
        <v>753</v>
      </c>
      <c r="B107" s="0" t="n">
        <v>-680286.628067304</v>
      </c>
      <c r="C107" s="0" t="n">
        <v>1576668.94217587</v>
      </c>
      <c r="D107" s="0" t="n">
        <f aca="false">IF(B107&gt;C107,1,0)</f>
        <v>0</v>
      </c>
      <c r="F107" s="0" t="s">
        <v>754</v>
      </c>
      <c r="G107" s="0" t="n">
        <v>1041824.57162494</v>
      </c>
      <c r="H107" s="0" t="n">
        <v>3713520.44960534</v>
      </c>
      <c r="I107" s="0" t="n">
        <f aca="false">IF(G107&gt;H107,1,0)</f>
        <v>0</v>
      </c>
    </row>
    <row r="108" customFormat="false" ht="15" hidden="false" customHeight="false" outlineLevel="0" collapsed="false">
      <c r="A108" s="0" t="s">
        <v>755</v>
      </c>
      <c r="B108" s="0" t="n">
        <v>-21615.3749678424</v>
      </c>
      <c r="C108" s="0" t="n">
        <v>1570982.1741039</v>
      </c>
      <c r="D108" s="0" t="n">
        <f aca="false">IF(B108&gt;C108,1,0)</f>
        <v>0</v>
      </c>
      <c r="F108" s="0" t="s">
        <v>756</v>
      </c>
      <c r="G108" s="0" t="n">
        <v>97368.8456937876</v>
      </c>
      <c r="H108" s="0" t="n">
        <v>3726413.41641053</v>
      </c>
      <c r="I108" s="0" t="n">
        <f aca="false">IF(G108&gt;H108,1,0)</f>
        <v>0</v>
      </c>
    </row>
    <row r="109" customFormat="false" ht="15" hidden="false" customHeight="false" outlineLevel="0" collapsed="false">
      <c r="A109" s="0" t="s">
        <v>757</v>
      </c>
      <c r="B109" s="0" t="n">
        <v>-238798.130549613</v>
      </c>
      <c r="C109" s="0" t="n">
        <v>1553250.06097642</v>
      </c>
      <c r="D109" s="0" t="n">
        <f aca="false">IF(B109&gt;C109,1,0)</f>
        <v>0</v>
      </c>
      <c r="F109" s="0" t="s">
        <v>758</v>
      </c>
      <c r="G109" s="0" t="n">
        <v>987464.172213257</v>
      </c>
      <c r="H109" s="0" t="n">
        <v>3702307.84033646</v>
      </c>
      <c r="I109" s="0" t="n">
        <f aca="false">IF(G109&gt;H109,1,0)</f>
        <v>0</v>
      </c>
    </row>
    <row r="110" customFormat="false" ht="15" hidden="false" customHeight="false" outlineLevel="0" collapsed="false">
      <c r="A110" s="0" t="s">
        <v>759</v>
      </c>
      <c r="B110" s="0" t="n">
        <v>302398.6728536</v>
      </c>
      <c r="C110" s="0" t="n">
        <v>1534020.51426355</v>
      </c>
      <c r="D110" s="0" t="n">
        <f aca="false">IF(B110&gt;C110,1,0)</f>
        <v>0</v>
      </c>
      <c r="F110" s="0" t="s">
        <v>760</v>
      </c>
      <c r="G110" s="0" t="n">
        <v>-202401.042531705</v>
      </c>
      <c r="H110" s="0" t="n">
        <v>3786601.13320482</v>
      </c>
      <c r="I110" s="0" t="n">
        <f aca="false">IF(G110&gt;H110,1,0)</f>
        <v>0</v>
      </c>
    </row>
    <row r="111" customFormat="false" ht="15" hidden="false" customHeight="false" outlineLevel="0" collapsed="false">
      <c r="A111" s="0" t="s">
        <v>761</v>
      </c>
      <c r="B111" s="0" t="n">
        <v>-166788.194588861</v>
      </c>
      <c r="C111" s="0" t="n">
        <v>1530198.38909691</v>
      </c>
      <c r="D111" s="0" t="n">
        <f aca="false">IF(B111&gt;C111,1,0)</f>
        <v>0</v>
      </c>
      <c r="F111" s="0" t="s">
        <v>762</v>
      </c>
      <c r="G111" s="0" t="n">
        <v>5739.26505681593</v>
      </c>
      <c r="H111" s="0" t="n">
        <v>4165872.41454459</v>
      </c>
      <c r="I111" s="0" t="n">
        <f aca="false">IF(G111&gt;H111,1,0)</f>
        <v>0</v>
      </c>
    </row>
    <row r="112" customFormat="false" ht="15" hidden="false" customHeight="false" outlineLevel="0" collapsed="false">
      <c r="A112" s="0" t="s">
        <v>763</v>
      </c>
      <c r="B112" s="0" t="n">
        <v>-67833.6901163007</v>
      </c>
      <c r="C112" s="0" t="n">
        <v>1533008.56642228</v>
      </c>
      <c r="D112" s="0" t="n">
        <f aca="false">IF(B112&gt;C112,1,0)</f>
        <v>0</v>
      </c>
      <c r="F112" s="0" t="s">
        <v>764</v>
      </c>
      <c r="G112" s="0" t="n">
        <v>1127054.90319711</v>
      </c>
      <c r="H112" s="0" t="n">
        <v>4489990.57526152</v>
      </c>
      <c r="I112" s="0" t="n">
        <f aca="false">IF(G112&gt;H112,1,0)</f>
        <v>0</v>
      </c>
    </row>
    <row r="113" customFormat="false" ht="15" hidden="false" customHeight="false" outlineLevel="0" collapsed="false">
      <c r="A113" s="0" t="s">
        <v>765</v>
      </c>
      <c r="B113" s="0" t="n">
        <v>-26517.901780162</v>
      </c>
      <c r="C113" s="0" t="n">
        <v>1519975.25754013</v>
      </c>
      <c r="D113" s="0" t="n">
        <f aca="false">IF(B113&gt;C113,1,0)</f>
        <v>0</v>
      </c>
      <c r="F113" s="0" t="s">
        <v>766</v>
      </c>
      <c r="G113" s="0" t="n">
        <v>592012.708207592</v>
      </c>
      <c r="H113" s="0" t="n">
        <v>4475836.33068916</v>
      </c>
      <c r="I113" s="0" t="n">
        <f aca="false">IF(G113&gt;H113,1,0)</f>
        <v>0</v>
      </c>
    </row>
    <row r="114" customFormat="false" ht="15" hidden="false" customHeight="false" outlineLevel="0" collapsed="false">
      <c r="A114" s="0" t="s">
        <v>767</v>
      </c>
      <c r="B114" s="0" t="n">
        <v>-27383.746519207</v>
      </c>
      <c r="C114" s="0" t="n">
        <v>1524770.43592621</v>
      </c>
      <c r="D114" s="0" t="n">
        <f aca="false">IF(B114&gt;C114,1,0)</f>
        <v>0</v>
      </c>
      <c r="F114" s="0" t="s">
        <v>768</v>
      </c>
      <c r="G114" s="0" t="n">
        <v>288382.727112855</v>
      </c>
      <c r="H114" s="0" t="n">
        <v>4484373.70479304</v>
      </c>
      <c r="I114" s="0" t="n">
        <f aca="false">IF(G114&gt;H114,1,0)</f>
        <v>0</v>
      </c>
    </row>
    <row r="115" customFormat="false" ht="15" hidden="false" customHeight="false" outlineLevel="0" collapsed="false">
      <c r="A115" s="0" t="s">
        <v>563</v>
      </c>
      <c r="B115" s="0" t="n">
        <v>-13105.1112078885</v>
      </c>
      <c r="C115" s="0" t="n">
        <v>1521217.70818711</v>
      </c>
      <c r="D115" s="0" t="n">
        <f aca="false">IF(B115&gt;C115,1,0)</f>
        <v>0</v>
      </c>
      <c r="F115" s="0" t="s">
        <v>769</v>
      </c>
      <c r="G115" s="0" t="n">
        <v>-493737.659772847</v>
      </c>
      <c r="H115" s="0" t="n">
        <v>4533060.84022456</v>
      </c>
      <c r="I115" s="0" t="n">
        <f aca="false">IF(G115&gt;H115,1,0)</f>
        <v>0</v>
      </c>
    </row>
    <row r="116" customFormat="false" ht="15" hidden="false" customHeight="false" outlineLevel="0" collapsed="false">
      <c r="A116" s="0" t="s">
        <v>770</v>
      </c>
      <c r="B116" s="0" t="n">
        <v>-16704.9963249047</v>
      </c>
      <c r="C116" s="0" t="n">
        <v>1528423.5194042</v>
      </c>
      <c r="D116" s="0" t="n">
        <f aca="false">IF(B116&gt;C116,1,0)</f>
        <v>0</v>
      </c>
      <c r="F116" s="0" t="s">
        <v>771</v>
      </c>
      <c r="G116" s="0" t="n">
        <v>593851.722310352</v>
      </c>
      <c r="H116" s="0" t="n">
        <v>4784612.65822335</v>
      </c>
      <c r="I116" s="0" t="n">
        <f aca="false">IF(G116&gt;H116,1,0)</f>
        <v>0</v>
      </c>
    </row>
    <row r="117" customFormat="false" ht="15" hidden="false" customHeight="false" outlineLevel="0" collapsed="false">
      <c r="A117" s="0" t="s">
        <v>772</v>
      </c>
      <c r="B117" s="0" t="n">
        <v>120198.144284626</v>
      </c>
      <c r="C117" s="0" t="n">
        <v>1528857.66845913</v>
      </c>
      <c r="D117" s="0" t="n">
        <f aca="false">IF(B117&gt;C117,1,0)</f>
        <v>0</v>
      </c>
      <c r="F117" s="0" t="s">
        <v>773</v>
      </c>
      <c r="G117" s="0" t="n">
        <v>19309.0971406139</v>
      </c>
      <c r="H117" s="0" t="n">
        <v>4804892.58135904</v>
      </c>
      <c r="I117" s="0" t="n">
        <f aca="false">IF(G117&gt;H117,1,0)</f>
        <v>0</v>
      </c>
    </row>
    <row r="118" customFormat="false" ht="15" hidden="false" customHeight="false" outlineLevel="0" collapsed="false">
      <c r="A118" s="0" t="s">
        <v>774</v>
      </c>
      <c r="B118" s="0" t="n">
        <v>-159201.296631856</v>
      </c>
      <c r="C118" s="0" t="n">
        <v>1523339.61998528</v>
      </c>
      <c r="D118" s="0" t="n">
        <f aca="false">IF(B118&gt;C118,1,0)</f>
        <v>0</v>
      </c>
      <c r="F118" s="0" t="s">
        <v>775</v>
      </c>
      <c r="G118" s="0" t="n">
        <v>632900.393745572</v>
      </c>
      <c r="H118" s="0" t="n">
        <v>4627033.56324835</v>
      </c>
      <c r="I118" s="0" t="n">
        <f aca="false">IF(G118&gt;H118,1,0)</f>
        <v>0</v>
      </c>
    </row>
    <row r="119" customFormat="false" ht="15" hidden="false" customHeight="false" outlineLevel="0" collapsed="false">
      <c r="A119" s="0" t="s">
        <v>776</v>
      </c>
      <c r="B119" s="0" t="n">
        <v>658894.06680031</v>
      </c>
      <c r="C119" s="0" t="n">
        <v>1521537.27247468</v>
      </c>
      <c r="D119" s="0" t="n">
        <f aca="false">IF(B119&gt;C119,1,0)</f>
        <v>0</v>
      </c>
      <c r="F119" s="0" t="s">
        <v>777</v>
      </c>
      <c r="G119" s="0" t="n">
        <v>249432.319733676</v>
      </c>
      <c r="H119" s="0" t="n">
        <v>4627712.17623275</v>
      </c>
      <c r="I119" s="0" t="n">
        <f aca="false">IF(G119&gt;H119,1,0)</f>
        <v>0</v>
      </c>
    </row>
    <row r="120" customFormat="false" ht="15" hidden="false" customHeight="false" outlineLevel="0" collapsed="false">
      <c r="A120" s="0" t="s">
        <v>778</v>
      </c>
      <c r="B120" s="0" t="n">
        <v>62740.1954599074</v>
      </c>
      <c r="C120" s="0" t="n">
        <v>1519566.21538301</v>
      </c>
      <c r="D120" s="0" t="n">
        <f aca="false">IF(B120&gt;C120,1,0)</f>
        <v>0</v>
      </c>
      <c r="F120" s="0" t="s">
        <v>779</v>
      </c>
      <c r="G120" s="0" t="n">
        <v>1085673.44064033</v>
      </c>
      <c r="H120" s="0" t="n">
        <v>4856116.08715982</v>
      </c>
      <c r="I120" s="0" t="n">
        <f aca="false">IF(G120&gt;H120,1,0)</f>
        <v>0</v>
      </c>
    </row>
    <row r="121" customFormat="false" ht="15" hidden="false" customHeight="false" outlineLevel="0" collapsed="false">
      <c r="A121" s="0" t="s">
        <v>780</v>
      </c>
      <c r="B121" s="0" t="n">
        <v>-4234.11710993247</v>
      </c>
      <c r="C121" s="0" t="n">
        <v>1518789.81379066</v>
      </c>
      <c r="D121" s="0" t="n">
        <f aca="false">IF(B121&gt;C121,1,0)</f>
        <v>0</v>
      </c>
      <c r="F121" s="0" t="s">
        <v>781</v>
      </c>
      <c r="G121" s="0" t="n">
        <v>-104412.097561481</v>
      </c>
      <c r="H121" s="0" t="n">
        <v>4734994.14988451</v>
      </c>
      <c r="I121" s="0" t="n">
        <f aca="false">IF(G121&gt;H121,1,0)</f>
        <v>0</v>
      </c>
    </row>
    <row r="122" customFormat="false" ht="15" hidden="false" customHeight="false" outlineLevel="0" collapsed="false">
      <c r="A122" s="0" t="s">
        <v>782</v>
      </c>
      <c r="B122" s="0" t="n">
        <v>55032.3335863515</v>
      </c>
      <c r="C122" s="0" t="n">
        <v>1524919.3561012</v>
      </c>
      <c r="D122" s="0" t="n">
        <f aca="false">IF(B122&gt;C122,1,0)</f>
        <v>0</v>
      </c>
      <c r="F122" s="0" t="s">
        <v>783</v>
      </c>
      <c r="G122" s="0" t="n">
        <v>761285.2110212</v>
      </c>
      <c r="H122" s="0" t="n">
        <v>4515895.93113958</v>
      </c>
      <c r="I122" s="0" t="n">
        <f aca="false">IF(G122&gt;H122,1,0)</f>
        <v>0</v>
      </c>
    </row>
    <row r="123" customFormat="false" ht="15" hidden="false" customHeight="false" outlineLevel="0" collapsed="false">
      <c r="A123" s="0" t="s">
        <v>784</v>
      </c>
      <c r="B123" s="0" t="n">
        <v>-18842.1187067488</v>
      </c>
      <c r="C123" s="0" t="n">
        <v>1534514.96633038</v>
      </c>
      <c r="D123" s="0" t="n">
        <f aca="false">IF(B123&gt;C123,1,0)</f>
        <v>0</v>
      </c>
      <c r="F123" s="0" t="s">
        <v>785</v>
      </c>
      <c r="G123" s="0" t="n">
        <v>-902605.804959853</v>
      </c>
      <c r="H123" s="0" t="n">
        <v>4516637.00235433</v>
      </c>
      <c r="I123" s="0" t="n">
        <f aca="false">IF(G123&gt;H123,1,0)</f>
        <v>0</v>
      </c>
    </row>
    <row r="124" customFormat="false" ht="15" hidden="false" customHeight="false" outlineLevel="0" collapsed="false">
      <c r="A124" s="0" t="s">
        <v>786</v>
      </c>
      <c r="B124" s="0" t="n">
        <v>105933.749756348</v>
      </c>
      <c r="C124" s="0" t="n">
        <v>1533893.79353522</v>
      </c>
      <c r="D124" s="0" t="n">
        <f aca="false">IF(B124&gt;C124,1,0)</f>
        <v>0</v>
      </c>
      <c r="F124" s="0" t="s">
        <v>787</v>
      </c>
      <c r="G124" s="0" t="n">
        <v>-5244163.58307331</v>
      </c>
      <c r="H124" s="0" t="n">
        <v>4533700.49217991</v>
      </c>
      <c r="I124" s="0" t="n">
        <f aca="false">IF(G124&gt;H124,1,0)</f>
        <v>0</v>
      </c>
    </row>
    <row r="125" customFormat="false" ht="15" hidden="false" customHeight="false" outlineLevel="0" collapsed="false">
      <c r="A125" s="0" t="s">
        <v>566</v>
      </c>
      <c r="B125" s="0" t="n">
        <v>18504.5412736912</v>
      </c>
      <c r="C125" s="0" t="n">
        <v>1542965.12841369</v>
      </c>
      <c r="D125" s="0" t="n">
        <f aca="false">IF(B125&gt;C125,1,0)</f>
        <v>0</v>
      </c>
      <c r="F125" s="0" t="s">
        <v>788</v>
      </c>
      <c r="G125" s="0" t="n">
        <v>-5833445.7074019</v>
      </c>
      <c r="H125" s="0" t="n">
        <v>4584270.75323465</v>
      </c>
      <c r="I125" s="0" t="n">
        <f aca="false">IF(G125&gt;H125,1,0)</f>
        <v>0</v>
      </c>
    </row>
    <row r="126" customFormat="false" ht="15" hidden="false" customHeight="false" outlineLevel="0" collapsed="false">
      <c r="A126" s="0" t="s">
        <v>789</v>
      </c>
      <c r="B126" s="0" t="n">
        <v>614208.768115949</v>
      </c>
      <c r="C126" s="0" t="n">
        <v>1543665.92833055</v>
      </c>
      <c r="D126" s="0" t="n">
        <f aca="false">IF(B126&gt;C126,1,0)</f>
        <v>0</v>
      </c>
      <c r="F126" s="0" t="s">
        <v>790</v>
      </c>
      <c r="G126" s="0" t="n">
        <v>1690125.53856642</v>
      </c>
      <c r="H126" s="0" t="n">
        <v>4861145.76052913</v>
      </c>
      <c r="I126" s="0" t="n">
        <f aca="false">IF(G126&gt;H126,1,0)</f>
        <v>0</v>
      </c>
    </row>
    <row r="127" customFormat="false" ht="15" hidden="false" customHeight="false" outlineLevel="0" collapsed="false">
      <c r="A127" s="0" t="s">
        <v>791</v>
      </c>
      <c r="B127" s="0" t="n">
        <v>221007.977046205</v>
      </c>
      <c r="C127" s="0" t="n">
        <v>1567624.05829376</v>
      </c>
      <c r="D127" s="0" t="n">
        <f aca="false">IF(B127&gt;C127,1,0)</f>
        <v>0</v>
      </c>
      <c r="F127" s="0" t="s">
        <v>792</v>
      </c>
      <c r="G127" s="0" t="n">
        <v>2127741.22235131</v>
      </c>
      <c r="H127" s="0" t="n">
        <v>4858572.54165365</v>
      </c>
      <c r="I127" s="0" t="n">
        <f aca="false">IF(G127&gt;H127,1,0)</f>
        <v>0</v>
      </c>
    </row>
    <row r="128" customFormat="false" ht="15" hidden="false" customHeight="false" outlineLevel="0" collapsed="false">
      <c r="A128" s="0" t="s">
        <v>793</v>
      </c>
      <c r="B128" s="0" t="n">
        <v>-39085.2844433333</v>
      </c>
      <c r="C128" s="0" t="n">
        <v>1574080.39918058</v>
      </c>
      <c r="D128" s="0" t="n">
        <f aca="false">IF(B128&gt;C128,1,0)</f>
        <v>0</v>
      </c>
      <c r="F128" s="0" t="s">
        <v>794</v>
      </c>
      <c r="G128" s="0" t="n">
        <v>1014720.68943239</v>
      </c>
      <c r="H128" s="0" t="n">
        <v>5043893.2424977</v>
      </c>
      <c r="I128" s="0" t="n">
        <f aca="false">IF(G128&gt;H128,1,0)</f>
        <v>0</v>
      </c>
    </row>
    <row r="129" customFormat="false" ht="15" hidden="false" customHeight="false" outlineLevel="0" collapsed="false">
      <c r="A129" s="0" t="s">
        <v>795</v>
      </c>
      <c r="B129" s="0" t="n">
        <v>-138647.833900966</v>
      </c>
      <c r="C129" s="0" t="n">
        <v>1588608.90787639</v>
      </c>
      <c r="D129" s="0" t="n">
        <f aca="false">IF(B129&gt;C129,1,0)</f>
        <v>0</v>
      </c>
      <c r="F129" s="0" t="s">
        <v>796</v>
      </c>
      <c r="G129" s="0" t="n">
        <v>-1532946.05911441</v>
      </c>
      <c r="H129" s="0" t="n">
        <v>4936225.12545375</v>
      </c>
      <c r="I129" s="0" t="n">
        <f aca="false">IF(G129&gt;H129,1,0)</f>
        <v>0</v>
      </c>
    </row>
    <row r="130" customFormat="false" ht="15" hidden="false" customHeight="false" outlineLevel="0" collapsed="false">
      <c r="A130" s="0" t="s">
        <v>797</v>
      </c>
      <c r="B130" s="0" t="n">
        <v>292895.895334533</v>
      </c>
      <c r="C130" s="0" t="n">
        <v>1588851.3003331</v>
      </c>
      <c r="D130" s="0" t="n">
        <f aca="false">IF(B130&gt;C130,1,0)</f>
        <v>0</v>
      </c>
      <c r="F130" s="0" t="s">
        <v>798</v>
      </c>
      <c r="G130" s="0" t="n">
        <v>320385.799649192</v>
      </c>
      <c r="H130" s="0" t="n">
        <v>5228447.45692941</v>
      </c>
      <c r="I130" s="0" t="n">
        <f aca="false">IF(G130&gt;H130,1,0)</f>
        <v>0</v>
      </c>
    </row>
    <row r="131" customFormat="false" ht="15" hidden="false" customHeight="false" outlineLevel="0" collapsed="false">
      <c r="A131" s="0" t="s">
        <v>799</v>
      </c>
      <c r="B131" s="0" t="n">
        <v>342030.843193159</v>
      </c>
      <c r="C131" s="0" t="n">
        <v>1589951.15314619</v>
      </c>
      <c r="D131" s="0" t="n">
        <f aca="false">IF(B131&gt;C131,1,0)</f>
        <v>0</v>
      </c>
      <c r="F131" s="0" t="s">
        <v>800</v>
      </c>
      <c r="G131" s="0" t="n">
        <v>1017741.05637233</v>
      </c>
      <c r="H131" s="0" t="n">
        <v>5178348.74751682</v>
      </c>
      <c r="I131" s="0" t="n">
        <f aca="false">IF(G131&gt;H131,1,0)</f>
        <v>0</v>
      </c>
    </row>
    <row r="132" customFormat="false" ht="15" hidden="false" customHeight="false" outlineLevel="0" collapsed="false">
      <c r="A132" s="0" t="s">
        <v>801</v>
      </c>
      <c r="B132" s="0" t="n">
        <v>469860.60791074</v>
      </c>
      <c r="C132" s="0" t="n">
        <v>1599387.65944221</v>
      </c>
      <c r="D132" s="0" t="n">
        <f aca="false">IF(B132&gt;C132,1,0)</f>
        <v>0</v>
      </c>
      <c r="F132" s="0" t="s">
        <v>802</v>
      </c>
      <c r="G132" s="0" t="n">
        <v>819267.965994936</v>
      </c>
      <c r="H132" s="0" t="n">
        <v>5306225.79790738</v>
      </c>
      <c r="I132" s="0" t="n">
        <f aca="false">IF(G132&gt;H132,1,0)</f>
        <v>0</v>
      </c>
    </row>
    <row r="133" customFormat="false" ht="15" hidden="false" customHeight="false" outlineLevel="0" collapsed="false">
      <c r="A133" s="0" t="s">
        <v>803</v>
      </c>
      <c r="B133" s="0" t="n">
        <v>-2469.45308466186</v>
      </c>
      <c r="C133" s="0" t="n">
        <v>1600329.15732731</v>
      </c>
      <c r="D133" s="0" t="n">
        <f aca="false">IF(B133&gt;C133,1,0)</f>
        <v>0</v>
      </c>
      <c r="F133" s="0" t="s">
        <v>804</v>
      </c>
      <c r="G133" s="0" t="n">
        <v>504077.03467612</v>
      </c>
      <c r="H133" s="0" t="n">
        <v>5145460.39456834</v>
      </c>
      <c r="I133" s="0" t="n">
        <f aca="false">IF(G133&gt;H133,1,0)</f>
        <v>0</v>
      </c>
    </row>
    <row r="134" customFormat="false" ht="15" hidden="false" customHeight="false" outlineLevel="0" collapsed="false">
      <c r="A134" s="0" t="s">
        <v>805</v>
      </c>
      <c r="B134" s="0" t="n">
        <v>70179.0904455481</v>
      </c>
      <c r="C134" s="0" t="n">
        <v>1609406.01990839</v>
      </c>
      <c r="D134" s="0" t="n">
        <f aca="false">IF(B134&gt;C134,1,0)</f>
        <v>0</v>
      </c>
      <c r="F134" s="0" t="s">
        <v>806</v>
      </c>
      <c r="G134" s="0" t="n">
        <v>761276.978927745</v>
      </c>
      <c r="H134" s="0" t="n">
        <v>5096570.30603197</v>
      </c>
      <c r="I134" s="0" t="n">
        <f aca="false">IF(G134&gt;H134,1,0)</f>
        <v>0</v>
      </c>
    </row>
    <row r="135" customFormat="false" ht="15" hidden="false" customHeight="false" outlineLevel="0" collapsed="false">
      <c r="A135" s="0" t="s">
        <v>569</v>
      </c>
      <c r="B135" s="0" t="n">
        <v>69257.5848452523</v>
      </c>
      <c r="C135" s="0" t="n">
        <v>1600232.93219829</v>
      </c>
      <c r="D135" s="0" t="n">
        <f aca="false">IF(B135&gt;C135,1,0)</f>
        <v>0</v>
      </c>
      <c r="F135" s="0" t="s">
        <v>807</v>
      </c>
      <c r="G135" s="0" t="n">
        <v>-1003560.75281672</v>
      </c>
      <c r="H135" s="0" t="n">
        <v>5266517.39808474</v>
      </c>
      <c r="I135" s="0" t="n">
        <f aca="false">IF(G135&gt;H135,1,0)</f>
        <v>0</v>
      </c>
    </row>
    <row r="136" customFormat="false" ht="15" hidden="false" customHeight="false" outlineLevel="0" collapsed="false">
      <c r="A136" s="0" t="s">
        <v>808</v>
      </c>
      <c r="B136" s="0" t="n">
        <v>-78955.0838079082</v>
      </c>
      <c r="C136" s="0" t="n">
        <v>1597323.72863096</v>
      </c>
      <c r="D136" s="0" t="n">
        <f aca="false">IF(B136&gt;C136,1,0)</f>
        <v>0</v>
      </c>
      <c r="F136" s="0" t="s">
        <v>809</v>
      </c>
      <c r="G136" s="0" t="n">
        <v>-2455319.2106049</v>
      </c>
      <c r="H136" s="0" t="n">
        <v>5390900.39553896</v>
      </c>
      <c r="I136" s="0" t="n">
        <f aca="false">IF(G136&gt;H136,1,0)</f>
        <v>0</v>
      </c>
    </row>
    <row r="137" customFormat="false" ht="15" hidden="false" customHeight="false" outlineLevel="0" collapsed="false">
      <c r="A137" s="0" t="s">
        <v>810</v>
      </c>
      <c r="B137" s="0" t="n">
        <v>-240726.628747655</v>
      </c>
      <c r="C137" s="0" t="n">
        <v>1599466.2952054</v>
      </c>
      <c r="D137" s="0" t="n">
        <f aca="false">IF(B137&gt;C137,1,0)</f>
        <v>0</v>
      </c>
    </row>
    <row r="138" customFormat="false" ht="15" hidden="false" customHeight="false" outlineLevel="0" collapsed="false">
      <c r="A138" s="0" t="s">
        <v>811</v>
      </c>
      <c r="B138" s="0" t="n">
        <v>101183.380838766</v>
      </c>
      <c r="C138" s="0" t="n">
        <v>1602316.28692088</v>
      </c>
      <c r="D138" s="0" t="n">
        <f aca="false">IF(B138&gt;C138,1,0)</f>
        <v>0</v>
      </c>
    </row>
    <row r="139" customFormat="false" ht="15" hidden="false" customHeight="false" outlineLevel="0" collapsed="false">
      <c r="A139" s="0" t="s">
        <v>812</v>
      </c>
      <c r="B139" s="0" t="n">
        <v>382648.182914514</v>
      </c>
      <c r="C139" s="0" t="n">
        <v>1598701.5394435</v>
      </c>
      <c r="D139" s="0" t="n">
        <f aca="false">IF(B139&gt;C139,1,0)</f>
        <v>0</v>
      </c>
    </row>
    <row r="140" customFormat="false" ht="15" hidden="false" customHeight="false" outlineLevel="0" collapsed="false">
      <c r="A140" s="0" t="s">
        <v>813</v>
      </c>
      <c r="B140" s="0" t="n">
        <v>-212026.423219492</v>
      </c>
      <c r="C140" s="0" t="n">
        <v>1599377.37023245</v>
      </c>
      <c r="D140" s="0" t="n">
        <f aca="false">IF(B140&gt;C140,1,0)</f>
        <v>0</v>
      </c>
    </row>
    <row r="141" customFormat="false" ht="15" hidden="false" customHeight="false" outlineLevel="0" collapsed="false">
      <c r="A141" s="0" t="s">
        <v>814</v>
      </c>
      <c r="B141" s="0" t="n">
        <v>32400.6591466151</v>
      </c>
      <c r="C141" s="0" t="n">
        <v>1602072.27664709</v>
      </c>
      <c r="D141" s="0" t="n">
        <f aca="false">IF(B141&gt;C141,1,0)</f>
        <v>0</v>
      </c>
    </row>
    <row r="142" customFormat="false" ht="15" hidden="false" customHeight="false" outlineLevel="0" collapsed="false">
      <c r="A142" s="0" t="s">
        <v>815</v>
      </c>
      <c r="B142" s="0" t="n">
        <v>348101.406891008</v>
      </c>
      <c r="C142" s="0" t="n">
        <v>1597174.2448738</v>
      </c>
      <c r="D142" s="0" t="n">
        <f aca="false">IF(B142&gt;C142,1,0)</f>
        <v>0</v>
      </c>
    </row>
    <row r="143" customFormat="false" ht="15" hidden="false" customHeight="false" outlineLevel="0" collapsed="false">
      <c r="A143" s="0" t="s">
        <v>816</v>
      </c>
      <c r="B143" s="0" t="n">
        <v>-247082.641868251</v>
      </c>
      <c r="C143" s="0" t="n">
        <v>1590035.01475456</v>
      </c>
      <c r="D143" s="0" t="n">
        <f aca="false">IF(B143&gt;C143,1,0)</f>
        <v>0</v>
      </c>
    </row>
    <row r="144" customFormat="false" ht="15" hidden="false" customHeight="false" outlineLevel="0" collapsed="false">
      <c r="A144" s="0" t="s">
        <v>817</v>
      </c>
      <c r="B144" s="0" t="n">
        <v>207546.617729449</v>
      </c>
      <c r="C144" s="0" t="n">
        <v>1602708.14284227</v>
      </c>
      <c r="D144" s="0" t="n">
        <f aca="false">IF(B144&gt;C144,1,0)</f>
        <v>0</v>
      </c>
    </row>
    <row r="145" customFormat="false" ht="15" hidden="false" customHeight="false" outlineLevel="0" collapsed="false">
      <c r="A145" s="0" t="s">
        <v>572</v>
      </c>
      <c r="B145" s="0" t="n">
        <v>28556.7468408756</v>
      </c>
      <c r="C145" s="0" t="n">
        <v>1592941.92872853</v>
      </c>
      <c r="D145" s="0" t="n">
        <f aca="false">IF(B145&gt;C145,1,0)</f>
        <v>0</v>
      </c>
    </row>
    <row r="146" customFormat="false" ht="15" hidden="false" customHeight="false" outlineLevel="0" collapsed="false">
      <c r="A146" s="0" t="s">
        <v>818</v>
      </c>
      <c r="B146" s="0" t="n">
        <v>58595.8834544108</v>
      </c>
      <c r="C146" s="0" t="n">
        <v>1586550.07070088</v>
      </c>
      <c r="D146" s="0" t="n">
        <f aca="false">IF(B146&gt;C146,1,0)</f>
        <v>0</v>
      </c>
    </row>
    <row r="147" customFormat="false" ht="15" hidden="false" customHeight="false" outlineLevel="0" collapsed="false">
      <c r="A147" s="0" t="s">
        <v>819</v>
      </c>
      <c r="B147" s="0" t="n">
        <v>211359.717901174</v>
      </c>
      <c r="C147" s="0" t="n">
        <v>1582329.13125858</v>
      </c>
      <c r="D147" s="0" t="n">
        <f aca="false">IF(B147&gt;C147,1,0)</f>
        <v>0</v>
      </c>
    </row>
    <row r="148" customFormat="false" ht="15" hidden="false" customHeight="false" outlineLevel="0" collapsed="false">
      <c r="A148" s="0" t="s">
        <v>820</v>
      </c>
      <c r="B148" s="0" t="n">
        <v>-29644.3955127311</v>
      </c>
      <c r="C148" s="0" t="n">
        <v>1583826.64910605</v>
      </c>
      <c r="D148" s="0" t="n">
        <f aca="false">IF(B148&gt;C148,1,0)</f>
        <v>0</v>
      </c>
    </row>
    <row r="149" customFormat="false" ht="15" hidden="false" customHeight="false" outlineLevel="0" collapsed="false">
      <c r="A149" s="0" t="s">
        <v>821</v>
      </c>
      <c r="B149" s="0" t="n">
        <v>-458542.797918358</v>
      </c>
      <c r="C149" s="0" t="n">
        <v>1587745.91057966</v>
      </c>
      <c r="D149" s="0" t="n">
        <f aca="false">IF(B149&gt;C149,1,0)</f>
        <v>0</v>
      </c>
    </row>
    <row r="150" customFormat="false" ht="15" hidden="false" customHeight="false" outlineLevel="0" collapsed="false">
      <c r="A150" s="0" t="s">
        <v>822</v>
      </c>
      <c r="B150" s="0" t="n">
        <v>509649.427841835</v>
      </c>
      <c r="C150" s="0" t="n">
        <v>1594781.02646986</v>
      </c>
      <c r="D150" s="0" t="n">
        <f aca="false">IF(B150&gt;C150,1,0)</f>
        <v>0</v>
      </c>
    </row>
    <row r="151" customFormat="false" ht="15" hidden="false" customHeight="false" outlineLevel="0" collapsed="false">
      <c r="A151" s="0" t="s">
        <v>823</v>
      </c>
      <c r="B151" s="0" t="n">
        <v>-165459.348218306</v>
      </c>
      <c r="C151" s="0" t="n">
        <v>1586802.84008464</v>
      </c>
      <c r="D151" s="0" t="n">
        <f aca="false">IF(B151&gt;C151,1,0)</f>
        <v>0</v>
      </c>
    </row>
    <row r="152" customFormat="false" ht="15" hidden="false" customHeight="false" outlineLevel="0" collapsed="false">
      <c r="A152" s="0" t="s">
        <v>824</v>
      </c>
      <c r="B152" s="0" t="n">
        <v>141920.872983564</v>
      </c>
      <c r="C152" s="0" t="n">
        <v>1592531.78230568</v>
      </c>
      <c r="D152" s="0" t="n">
        <f aca="false">IF(B152&gt;C152,1,0)</f>
        <v>0</v>
      </c>
    </row>
    <row r="153" customFormat="false" ht="15" hidden="false" customHeight="false" outlineLevel="0" collapsed="false">
      <c r="A153" s="0" t="s">
        <v>825</v>
      </c>
      <c r="B153" s="0" t="n">
        <v>-174496.952120312</v>
      </c>
      <c r="C153" s="0" t="n">
        <v>1594184.53864688</v>
      </c>
      <c r="D153" s="0" t="n">
        <f aca="false">IF(B153&gt;C153,1,0)</f>
        <v>0</v>
      </c>
    </row>
    <row r="154" customFormat="false" ht="15" hidden="false" customHeight="false" outlineLevel="0" collapsed="false">
      <c r="A154" s="0" t="s">
        <v>826</v>
      </c>
      <c r="B154" s="0" t="n">
        <v>47873.5840856647</v>
      </c>
      <c r="C154" s="0" t="n">
        <v>1604523.13553668</v>
      </c>
      <c r="D154" s="0" t="n">
        <f aca="false">IF(B154&gt;C154,1,0)</f>
        <v>0</v>
      </c>
    </row>
    <row r="155" customFormat="false" ht="15" hidden="false" customHeight="false" outlineLevel="0" collapsed="false">
      <c r="A155" s="0" t="s">
        <v>575</v>
      </c>
      <c r="B155" s="0" t="n">
        <v>40403.0999178584</v>
      </c>
      <c r="C155" s="0" t="n">
        <v>1596820.9907017</v>
      </c>
      <c r="D155" s="0" t="n">
        <f aca="false">IF(B155&gt;C155,1,0)</f>
        <v>0</v>
      </c>
    </row>
    <row r="156" customFormat="false" ht="15" hidden="false" customHeight="false" outlineLevel="0" collapsed="false">
      <c r="A156" s="0" t="s">
        <v>827</v>
      </c>
      <c r="B156" s="0" t="n">
        <v>375934.972765119</v>
      </c>
      <c r="C156" s="0" t="n">
        <v>1595696.46824742</v>
      </c>
      <c r="D156" s="0" t="n">
        <f aca="false">IF(B156&gt;C156,1,0)</f>
        <v>0</v>
      </c>
    </row>
    <row r="157" customFormat="false" ht="15" hidden="false" customHeight="false" outlineLevel="0" collapsed="false">
      <c r="A157" s="0" t="s">
        <v>828</v>
      </c>
      <c r="B157" s="0" t="n">
        <v>-86290.5749478159</v>
      </c>
      <c r="C157" s="0" t="n">
        <v>1585238.98283158</v>
      </c>
      <c r="D157" s="0" t="n">
        <f aca="false">IF(B157&gt;C157,1,0)</f>
        <v>0</v>
      </c>
    </row>
    <row r="158" customFormat="false" ht="15" hidden="false" customHeight="false" outlineLevel="0" collapsed="false">
      <c r="A158" s="0" t="s">
        <v>829</v>
      </c>
      <c r="B158" s="0" t="n">
        <v>-371335.590609043</v>
      </c>
      <c r="C158" s="0" t="n">
        <v>1596853.12453568</v>
      </c>
      <c r="D158" s="0" t="n">
        <f aca="false">IF(B158&gt;C158,1,0)</f>
        <v>0</v>
      </c>
    </row>
    <row r="159" customFormat="false" ht="15" hidden="false" customHeight="false" outlineLevel="0" collapsed="false">
      <c r="A159" s="0" t="s">
        <v>830</v>
      </c>
      <c r="B159" s="0" t="n">
        <v>53187.7128711594</v>
      </c>
      <c r="C159" s="0" t="n">
        <v>1590517.21814493</v>
      </c>
      <c r="D159" s="0" t="n">
        <f aca="false">IF(B159&gt;C159,1,0)</f>
        <v>0</v>
      </c>
    </row>
    <row r="160" customFormat="false" ht="15" hidden="false" customHeight="false" outlineLevel="0" collapsed="false">
      <c r="A160" s="0" t="s">
        <v>831</v>
      </c>
      <c r="B160" s="0" t="n">
        <v>-80239.6667273358</v>
      </c>
      <c r="C160" s="0" t="n">
        <v>1580575.17811951</v>
      </c>
      <c r="D160" s="0" t="n">
        <f aca="false">IF(B160&gt;C160,1,0)</f>
        <v>0</v>
      </c>
    </row>
    <row r="161" customFormat="false" ht="15" hidden="false" customHeight="false" outlineLevel="0" collapsed="false">
      <c r="A161" s="0" t="s">
        <v>832</v>
      </c>
      <c r="B161" s="0" t="n">
        <v>-47715.9776173554</v>
      </c>
      <c r="C161" s="0" t="n">
        <v>1590328.58749626</v>
      </c>
      <c r="D161" s="0" t="n">
        <f aca="false">IF(B161&gt;C161,1,0)</f>
        <v>0</v>
      </c>
    </row>
    <row r="162" customFormat="false" ht="15" hidden="false" customHeight="false" outlineLevel="0" collapsed="false">
      <c r="A162" s="0" t="s">
        <v>833</v>
      </c>
      <c r="B162" s="0" t="n">
        <v>1254.3563927135</v>
      </c>
      <c r="C162" s="0" t="n">
        <v>1582346.46812874</v>
      </c>
      <c r="D162" s="0" t="n">
        <f aca="false">IF(B162&gt;C162,1,0)</f>
        <v>0</v>
      </c>
    </row>
    <row r="163" customFormat="false" ht="15" hidden="false" customHeight="false" outlineLevel="0" collapsed="false">
      <c r="A163" s="0" t="s">
        <v>834</v>
      </c>
      <c r="B163" s="0" t="n">
        <v>231603.225484051</v>
      </c>
      <c r="C163" s="0" t="n">
        <v>1592011.36148779</v>
      </c>
      <c r="D163" s="0" t="n">
        <f aca="false">IF(B163&gt;C163,1,0)</f>
        <v>0</v>
      </c>
    </row>
    <row r="164" customFormat="false" ht="15" hidden="false" customHeight="false" outlineLevel="0" collapsed="false">
      <c r="A164" s="0" t="s">
        <v>835</v>
      </c>
      <c r="B164" s="0" t="n">
        <v>360548.119037787</v>
      </c>
      <c r="C164" s="0" t="n">
        <v>1596078.28237449</v>
      </c>
      <c r="D164" s="0" t="n">
        <f aca="false">IF(B164&gt;C164,1,0)</f>
        <v>0</v>
      </c>
    </row>
    <row r="165" customFormat="false" ht="15" hidden="false" customHeight="false" outlineLevel="0" collapsed="false">
      <c r="A165" s="0" t="s">
        <v>578</v>
      </c>
      <c r="B165" s="0" t="n">
        <v>-387154.311105259</v>
      </c>
      <c r="C165" s="0" t="n">
        <v>1588074.26088223</v>
      </c>
      <c r="D165" s="0" t="n">
        <f aca="false">IF(B165&gt;C165,1,0)</f>
        <v>0</v>
      </c>
    </row>
    <row r="166" customFormat="false" ht="15" hidden="false" customHeight="false" outlineLevel="0" collapsed="false">
      <c r="A166" s="0" t="s">
        <v>836</v>
      </c>
      <c r="B166" s="0" t="n">
        <v>-90889.5546105654</v>
      </c>
      <c r="C166" s="0" t="n">
        <v>1391845.25860863</v>
      </c>
      <c r="D166" s="0" t="n">
        <f aca="false">IF(B166&gt;C166,1,0)</f>
        <v>0</v>
      </c>
    </row>
    <row r="167" customFormat="false" ht="15" hidden="false" customHeight="false" outlineLevel="0" collapsed="false">
      <c r="A167" s="0" t="s">
        <v>837</v>
      </c>
      <c r="B167" s="0" t="n">
        <v>-371048.804715822</v>
      </c>
      <c r="C167" s="0" t="n">
        <v>1389612.61075424</v>
      </c>
      <c r="D167" s="0" t="n">
        <f aca="false">IF(B167&gt;C167,1,0)</f>
        <v>0</v>
      </c>
    </row>
    <row r="168" customFormat="false" ht="15" hidden="false" customHeight="false" outlineLevel="0" collapsed="false">
      <c r="A168" s="0" t="s">
        <v>838</v>
      </c>
      <c r="B168" s="0" t="n">
        <v>152178.806443438</v>
      </c>
      <c r="C168" s="0" t="n">
        <v>1396132.87013201</v>
      </c>
      <c r="D168" s="0" t="n">
        <f aca="false">IF(B168&gt;C168,1,0)</f>
        <v>0</v>
      </c>
    </row>
    <row r="169" customFormat="false" ht="15" hidden="false" customHeight="false" outlineLevel="0" collapsed="false">
      <c r="A169" s="0" t="s">
        <v>839</v>
      </c>
      <c r="B169" s="0" t="n">
        <v>-495181.012961055</v>
      </c>
      <c r="C169" s="0" t="n">
        <v>1387029.98096187</v>
      </c>
      <c r="D169" s="0" t="n">
        <f aca="false">IF(B169&gt;C169,1,0)</f>
        <v>0</v>
      </c>
    </row>
    <row r="170" customFormat="false" ht="15" hidden="false" customHeight="false" outlineLevel="0" collapsed="false">
      <c r="A170" s="0" t="s">
        <v>840</v>
      </c>
      <c r="B170" s="0" t="n">
        <v>216635.811241663</v>
      </c>
      <c r="C170" s="0" t="n">
        <v>1402502.53128653</v>
      </c>
      <c r="D170" s="0" t="n">
        <f aca="false">IF(B170&gt;C170,1,0)</f>
        <v>0</v>
      </c>
    </row>
    <row r="171" customFormat="false" ht="15" hidden="false" customHeight="false" outlineLevel="0" collapsed="false">
      <c r="A171" s="0" t="s">
        <v>841</v>
      </c>
      <c r="B171" s="0" t="n">
        <v>18332.5585162204</v>
      </c>
      <c r="C171" s="0" t="n">
        <v>1406900.86380951</v>
      </c>
      <c r="D171" s="0" t="n">
        <f aca="false">IF(B171&gt;C171,1,0)</f>
        <v>0</v>
      </c>
    </row>
    <row r="172" customFormat="false" ht="15" hidden="false" customHeight="false" outlineLevel="0" collapsed="false">
      <c r="A172" s="0" t="s">
        <v>842</v>
      </c>
      <c r="B172" s="0" t="n">
        <v>422017.460798762</v>
      </c>
      <c r="C172" s="0" t="n">
        <v>1409072.41949939</v>
      </c>
      <c r="D172" s="0" t="n">
        <f aca="false">IF(B172&gt;C172,1,0)</f>
        <v>0</v>
      </c>
    </row>
    <row r="173" customFormat="false" ht="15" hidden="false" customHeight="false" outlineLevel="0" collapsed="false">
      <c r="A173" s="0" t="s">
        <v>843</v>
      </c>
      <c r="B173" s="0" t="n">
        <v>143387.137773659</v>
      </c>
      <c r="C173" s="0" t="n">
        <v>1413513.80376051</v>
      </c>
      <c r="D173" s="0" t="n">
        <f aca="false">IF(B173&gt;C173,1,0)</f>
        <v>0</v>
      </c>
    </row>
    <row r="174" customFormat="false" ht="15" hidden="false" customHeight="false" outlineLevel="0" collapsed="false">
      <c r="A174" s="0" t="s">
        <v>844</v>
      </c>
      <c r="B174" s="0" t="n">
        <v>96064.8510374744</v>
      </c>
      <c r="C174" s="0" t="n">
        <v>1425456.59201329</v>
      </c>
      <c r="D174" s="0" t="n">
        <f aca="false">IF(B174&gt;C174,1,0)</f>
        <v>0</v>
      </c>
    </row>
    <row r="175" customFormat="false" ht="15" hidden="false" customHeight="false" outlineLevel="0" collapsed="false">
      <c r="A175" s="0" t="s">
        <v>581</v>
      </c>
      <c r="B175" s="0" t="n">
        <v>-104049.846842851</v>
      </c>
      <c r="C175" s="0" t="n">
        <v>1432051.28764728</v>
      </c>
      <c r="D175" s="0" t="n">
        <f aca="false">IF(B175&gt;C175,1,0)</f>
        <v>0</v>
      </c>
    </row>
    <row r="176" customFormat="false" ht="15" hidden="false" customHeight="false" outlineLevel="0" collapsed="false">
      <c r="A176" s="0" t="s">
        <v>845</v>
      </c>
      <c r="B176" s="0" t="n">
        <v>8500.44423154555</v>
      </c>
      <c r="C176" s="0" t="n">
        <v>1472628.94226255</v>
      </c>
      <c r="D176" s="0" t="n">
        <f aca="false">IF(B176&gt;C176,1,0)</f>
        <v>0</v>
      </c>
    </row>
    <row r="177" customFormat="false" ht="15" hidden="false" customHeight="false" outlineLevel="0" collapsed="false">
      <c r="A177" s="0" t="s">
        <v>846</v>
      </c>
      <c r="B177" s="0" t="n">
        <v>290975.555059708</v>
      </c>
      <c r="C177" s="0" t="n">
        <v>1471403.91725219</v>
      </c>
      <c r="D177" s="0" t="n">
        <f aca="false">IF(B177&gt;C177,1,0)</f>
        <v>0</v>
      </c>
    </row>
    <row r="178" customFormat="false" ht="15" hidden="false" customHeight="false" outlineLevel="0" collapsed="false">
      <c r="A178" s="0" t="s">
        <v>847</v>
      </c>
      <c r="B178" s="0" t="n">
        <v>459930.597813422</v>
      </c>
      <c r="C178" s="0" t="n">
        <v>1458220.49017131</v>
      </c>
      <c r="D178" s="0" t="n">
        <f aca="false">IF(B178&gt;C178,1,0)</f>
        <v>0</v>
      </c>
    </row>
    <row r="179" customFormat="false" ht="15" hidden="false" customHeight="false" outlineLevel="0" collapsed="false">
      <c r="A179" s="0" t="s">
        <v>848</v>
      </c>
      <c r="B179" s="0" t="n">
        <v>-158626.731821275</v>
      </c>
      <c r="C179" s="0" t="n">
        <v>1433316.6529764</v>
      </c>
      <c r="D179" s="0" t="n">
        <f aca="false">IF(B179&gt;C179,1,0)</f>
        <v>0</v>
      </c>
    </row>
    <row r="180" customFormat="false" ht="15" hidden="false" customHeight="false" outlineLevel="0" collapsed="false">
      <c r="A180" s="0" t="s">
        <v>849</v>
      </c>
      <c r="B180" s="0" t="n">
        <v>60128.8857967202</v>
      </c>
      <c r="C180" s="0" t="n">
        <v>1469367.99410184</v>
      </c>
      <c r="D180" s="0" t="n">
        <f aca="false">IF(B180&gt;C180,1,0)</f>
        <v>0</v>
      </c>
    </row>
    <row r="181" customFormat="false" ht="15" hidden="false" customHeight="false" outlineLevel="0" collapsed="false">
      <c r="A181" s="0" t="s">
        <v>850</v>
      </c>
      <c r="B181" s="0" t="n">
        <v>-116514.405547311</v>
      </c>
      <c r="C181" s="0" t="n">
        <v>1468080.13721524</v>
      </c>
      <c r="D181" s="0" t="n">
        <f aca="false">IF(B181&gt;C181,1,0)</f>
        <v>0</v>
      </c>
    </row>
    <row r="182" customFormat="false" ht="15" hidden="false" customHeight="false" outlineLevel="0" collapsed="false">
      <c r="A182" s="0" t="s">
        <v>851</v>
      </c>
      <c r="B182" s="0" t="n">
        <v>-1176470.54106109</v>
      </c>
      <c r="C182" s="0" t="n">
        <v>1475068.06328409</v>
      </c>
      <c r="D182" s="0" t="n">
        <f aca="false">IF(B182&gt;C182,1,0)</f>
        <v>0</v>
      </c>
    </row>
    <row r="183" customFormat="false" ht="15" hidden="false" customHeight="false" outlineLevel="0" collapsed="false">
      <c r="A183" s="0" t="s">
        <v>852</v>
      </c>
      <c r="B183" s="0" t="n">
        <v>137902.975301611</v>
      </c>
      <c r="C183" s="0" t="n">
        <v>1512324.52422993</v>
      </c>
      <c r="D183" s="0" t="n">
        <f aca="false">IF(B183&gt;C183,1,0)</f>
        <v>0</v>
      </c>
    </row>
    <row r="184" customFormat="false" ht="15" hidden="false" customHeight="false" outlineLevel="0" collapsed="false">
      <c r="A184" s="0" t="s">
        <v>853</v>
      </c>
      <c r="B184" s="0" t="n">
        <v>36715.3477663589</v>
      </c>
      <c r="C184" s="0" t="n">
        <v>1501414.40797522</v>
      </c>
      <c r="D184" s="0" t="n">
        <f aca="false">IF(B184&gt;C184,1,0)</f>
        <v>0</v>
      </c>
    </row>
    <row r="185" customFormat="false" ht="15" hidden="false" customHeight="false" outlineLevel="0" collapsed="false">
      <c r="A185" s="0" t="s">
        <v>584</v>
      </c>
      <c r="B185" s="0" t="n">
        <v>-83222.9596072463</v>
      </c>
      <c r="C185" s="0" t="n">
        <v>1474056.05707177</v>
      </c>
      <c r="D185" s="0" t="n">
        <f aca="false">IF(B185&gt;C185,1,0)</f>
        <v>0</v>
      </c>
    </row>
    <row r="186" customFormat="false" ht="15" hidden="false" customHeight="false" outlineLevel="0" collapsed="false">
      <c r="A186" s="0" t="s">
        <v>854</v>
      </c>
      <c r="B186" s="0" t="n">
        <v>-196905.465368349</v>
      </c>
      <c r="C186" s="0" t="n">
        <v>1482125.39321249</v>
      </c>
      <c r="D186" s="0" t="n">
        <f aca="false">IF(B186&gt;C186,1,0)</f>
        <v>0</v>
      </c>
    </row>
    <row r="187" customFormat="false" ht="15" hidden="false" customHeight="false" outlineLevel="0" collapsed="false">
      <c r="A187" s="0" t="s">
        <v>855</v>
      </c>
      <c r="B187" s="0" t="n">
        <v>135299.522918629</v>
      </c>
      <c r="C187" s="0" t="n">
        <v>1482569.15296766</v>
      </c>
      <c r="D187" s="0" t="n">
        <f aca="false">IF(B187&gt;C187,1,0)</f>
        <v>0</v>
      </c>
    </row>
    <row r="188" customFormat="false" ht="15" hidden="false" customHeight="false" outlineLevel="0" collapsed="false">
      <c r="A188" s="0" t="s">
        <v>856</v>
      </c>
      <c r="B188" s="0" t="n">
        <v>-36037.3116763744</v>
      </c>
      <c r="C188" s="0" t="n">
        <v>1498899.3793784</v>
      </c>
      <c r="D188" s="0" t="n">
        <f aca="false">IF(B188&gt;C188,1,0)</f>
        <v>0</v>
      </c>
    </row>
    <row r="189" customFormat="false" ht="15" hidden="false" customHeight="false" outlineLevel="0" collapsed="false">
      <c r="A189" s="0" t="s">
        <v>857</v>
      </c>
      <c r="B189" s="0" t="n">
        <v>-349159.51377029</v>
      </c>
      <c r="C189" s="0" t="n">
        <v>1523276.77280253</v>
      </c>
      <c r="D189" s="0" t="n">
        <f aca="false">IF(B189&gt;C189,1,0)</f>
        <v>0</v>
      </c>
    </row>
    <row r="190" customFormat="false" ht="15" hidden="false" customHeight="false" outlineLevel="0" collapsed="false">
      <c r="A190" s="0" t="s">
        <v>858</v>
      </c>
      <c r="B190" s="0" t="n">
        <v>143809.778811129</v>
      </c>
      <c r="C190" s="0" t="n">
        <v>1512941.60478706</v>
      </c>
      <c r="D190" s="0" t="n">
        <f aca="false">IF(B190&gt;C190,1,0)</f>
        <v>0</v>
      </c>
    </row>
    <row r="191" customFormat="false" ht="15" hidden="false" customHeight="false" outlineLevel="0" collapsed="false">
      <c r="A191" s="0" t="s">
        <v>859</v>
      </c>
      <c r="B191" s="0" t="n">
        <v>-62261.9629952442</v>
      </c>
      <c r="C191" s="0" t="n">
        <v>1522895.86761388</v>
      </c>
      <c r="D191" s="0" t="n">
        <f aca="false">IF(B191&gt;C191,1,0)</f>
        <v>0</v>
      </c>
    </row>
    <row r="192" customFormat="false" ht="15" hidden="false" customHeight="false" outlineLevel="0" collapsed="false">
      <c r="A192" s="0" t="s">
        <v>860</v>
      </c>
      <c r="B192" s="0" t="n">
        <v>-10016.7419913705</v>
      </c>
      <c r="C192" s="0" t="n">
        <v>1524744.92824443</v>
      </c>
      <c r="D192" s="0" t="n">
        <f aca="false">IF(B192&gt;C192,1,0)</f>
        <v>0</v>
      </c>
    </row>
    <row r="193" customFormat="false" ht="15" hidden="false" customHeight="false" outlineLevel="0" collapsed="false">
      <c r="A193" s="0" t="s">
        <v>861</v>
      </c>
      <c r="B193" s="0" t="n">
        <v>133766.957292101</v>
      </c>
      <c r="C193" s="0" t="n">
        <v>1525023.83547358</v>
      </c>
      <c r="D193" s="0" t="n">
        <f aca="false">IF(B193&gt;C193,1,0)</f>
        <v>0</v>
      </c>
    </row>
    <row r="194" customFormat="false" ht="15" hidden="false" customHeight="false" outlineLevel="0" collapsed="false">
      <c r="A194" s="0" t="s">
        <v>862</v>
      </c>
      <c r="B194" s="0" t="n">
        <v>-277793.164792219</v>
      </c>
      <c r="C194" s="0" t="n">
        <v>1534869.26647536</v>
      </c>
      <c r="D194" s="0" t="n">
        <f aca="false">IF(B194&gt;C194,1,0)</f>
        <v>0</v>
      </c>
    </row>
    <row r="195" customFormat="false" ht="15" hidden="false" customHeight="false" outlineLevel="0" collapsed="false">
      <c r="A195" s="0" t="s">
        <v>587</v>
      </c>
      <c r="B195" s="0" t="n">
        <v>-301091.619004141</v>
      </c>
      <c r="C195" s="0" t="n">
        <v>1521881.87446031</v>
      </c>
      <c r="D195" s="0" t="n">
        <f aca="false">IF(B195&gt;C195,1,0)</f>
        <v>0</v>
      </c>
    </row>
    <row r="196" customFormat="false" ht="15" hidden="false" customHeight="false" outlineLevel="0" collapsed="false">
      <c r="A196" s="0" t="s">
        <v>863</v>
      </c>
      <c r="B196" s="0" t="n">
        <v>212775.923766583</v>
      </c>
      <c r="C196" s="0" t="n">
        <v>1534134.42913268</v>
      </c>
      <c r="D196" s="0" t="n">
        <f aca="false">IF(B196&gt;C196,1,0)</f>
        <v>0</v>
      </c>
    </row>
    <row r="197" customFormat="false" ht="15" hidden="false" customHeight="false" outlineLevel="0" collapsed="false">
      <c r="A197" s="0" t="s">
        <v>864</v>
      </c>
      <c r="B197" s="0" t="n">
        <v>-8475.85207025195</v>
      </c>
      <c r="C197" s="0" t="n">
        <v>1508716.32719842</v>
      </c>
      <c r="D197" s="0" t="n">
        <f aca="false">IF(B197&gt;C197,1,0)</f>
        <v>0</v>
      </c>
    </row>
    <row r="198" customFormat="false" ht="15" hidden="false" customHeight="false" outlineLevel="0" collapsed="false">
      <c r="A198" s="0" t="s">
        <v>865</v>
      </c>
      <c r="B198" s="0" t="n">
        <v>-271006.318781218</v>
      </c>
      <c r="C198" s="0" t="n">
        <v>1519395.60761342</v>
      </c>
      <c r="D198" s="0" t="n">
        <f aca="false">IF(B198&gt;C198,1,0)</f>
        <v>0</v>
      </c>
    </row>
    <row r="199" customFormat="false" ht="15" hidden="false" customHeight="false" outlineLevel="0" collapsed="false">
      <c r="A199" s="0" t="s">
        <v>866</v>
      </c>
      <c r="B199" s="0" t="n">
        <v>-230185.314493582</v>
      </c>
      <c r="C199" s="0" t="n">
        <v>1480544.10173777</v>
      </c>
      <c r="D199" s="0" t="n">
        <f aca="false">IF(B199&gt;C199,1,0)</f>
        <v>0</v>
      </c>
    </row>
    <row r="200" customFormat="false" ht="15" hidden="false" customHeight="false" outlineLevel="0" collapsed="false">
      <c r="A200" s="0" t="s">
        <v>867</v>
      </c>
      <c r="B200" s="0" t="n">
        <v>-53067.2709621619</v>
      </c>
      <c r="C200" s="0" t="n">
        <v>1487235.40727921</v>
      </c>
      <c r="D200" s="0" t="n">
        <f aca="false">IF(B200&gt;C200,1,0)</f>
        <v>0</v>
      </c>
    </row>
    <row r="201" customFormat="false" ht="15" hidden="false" customHeight="false" outlineLevel="0" collapsed="false">
      <c r="A201" s="0" t="s">
        <v>868</v>
      </c>
      <c r="B201" s="0" t="n">
        <v>98531.3258857597</v>
      </c>
      <c r="C201" s="0" t="n">
        <v>1482315.20833123</v>
      </c>
      <c r="D201" s="0" t="n">
        <f aca="false">IF(B201&gt;C201,1,0)</f>
        <v>0</v>
      </c>
    </row>
    <row r="202" customFormat="false" ht="15" hidden="false" customHeight="false" outlineLevel="0" collapsed="false">
      <c r="A202" s="0" t="s">
        <v>869</v>
      </c>
      <c r="B202" s="0" t="n">
        <v>-234501.132687152</v>
      </c>
      <c r="C202" s="0" t="n">
        <v>1480789.83338257</v>
      </c>
      <c r="D202" s="0" t="n">
        <f aca="false">IF(B202&gt;C202,1,0)</f>
        <v>0</v>
      </c>
    </row>
    <row r="203" customFormat="false" ht="15" hidden="false" customHeight="false" outlineLevel="0" collapsed="false">
      <c r="A203" s="0" t="s">
        <v>870</v>
      </c>
      <c r="B203" s="0" t="n">
        <v>46837.2384418738</v>
      </c>
      <c r="C203" s="0" t="n">
        <v>1474408.88224657</v>
      </c>
      <c r="D203" s="0" t="n">
        <f aca="false">IF(B203&gt;C203,1,0)</f>
        <v>0</v>
      </c>
    </row>
    <row r="204" customFormat="false" ht="15" hidden="false" customHeight="false" outlineLevel="0" collapsed="false">
      <c r="A204" s="0" t="s">
        <v>871</v>
      </c>
      <c r="B204" s="0" t="n">
        <v>919801.081001198</v>
      </c>
      <c r="C204" s="0" t="n">
        <v>1494582.69814656</v>
      </c>
      <c r="D204" s="0" t="n">
        <f aca="false">IF(B204&gt;C204,1,0)</f>
        <v>0</v>
      </c>
    </row>
    <row r="205" customFormat="false" ht="15" hidden="false" customHeight="false" outlineLevel="0" collapsed="false">
      <c r="A205" s="0" t="s">
        <v>589</v>
      </c>
      <c r="B205" s="0" t="n">
        <v>82415.8575522164</v>
      </c>
      <c r="C205" s="0" t="n">
        <v>1503793.5679434</v>
      </c>
      <c r="D205" s="0" t="n">
        <f aca="false">IF(B205&gt;C205,1,0)</f>
        <v>0</v>
      </c>
    </row>
    <row r="206" customFormat="false" ht="15" hidden="false" customHeight="false" outlineLevel="0" collapsed="false">
      <c r="A206" s="0" t="s">
        <v>872</v>
      </c>
      <c r="B206" s="0" t="n">
        <v>1625.28932108171</v>
      </c>
      <c r="C206" s="0" t="n">
        <v>1486276.33449842</v>
      </c>
      <c r="D206" s="0" t="n">
        <f aca="false">IF(B206&gt;C206,1,0)</f>
        <v>0</v>
      </c>
    </row>
    <row r="207" customFormat="false" ht="15" hidden="false" customHeight="false" outlineLevel="0" collapsed="false">
      <c r="A207" s="0" t="s">
        <v>873</v>
      </c>
      <c r="B207" s="0" t="n">
        <v>690688.463573248</v>
      </c>
      <c r="C207" s="0" t="n">
        <v>1483516.81877443</v>
      </c>
      <c r="D207" s="0" t="n">
        <f aca="false">IF(B207&gt;C207,1,0)</f>
        <v>0</v>
      </c>
    </row>
    <row r="208" customFormat="false" ht="15" hidden="false" customHeight="false" outlineLevel="0" collapsed="false">
      <c r="A208" s="0" t="s">
        <v>874</v>
      </c>
      <c r="B208" s="0" t="n">
        <v>28975.5626402717</v>
      </c>
      <c r="C208" s="0" t="n">
        <v>1407162.74563925</v>
      </c>
      <c r="D208" s="0" t="n">
        <f aca="false">IF(B208&gt;C208,1,0)</f>
        <v>0</v>
      </c>
    </row>
    <row r="209" customFormat="false" ht="15" hidden="false" customHeight="false" outlineLevel="0" collapsed="false">
      <c r="A209" s="0" t="s">
        <v>875</v>
      </c>
      <c r="B209" s="0" t="n">
        <v>20837.2202521858</v>
      </c>
      <c r="C209" s="0" t="n">
        <v>1410464.09230137</v>
      </c>
      <c r="D209" s="0" t="n">
        <f aca="false">IF(B209&gt;C209,1,0)</f>
        <v>0</v>
      </c>
    </row>
    <row r="210" customFormat="false" ht="15" hidden="false" customHeight="false" outlineLevel="0" collapsed="false">
      <c r="A210" s="0" t="s">
        <v>876</v>
      </c>
      <c r="B210" s="0" t="n">
        <v>17212.8519872738</v>
      </c>
      <c r="C210" s="0" t="n">
        <v>1385702.82528573</v>
      </c>
      <c r="D210" s="0" t="n">
        <f aca="false">IF(B210&gt;C210,1,0)</f>
        <v>0</v>
      </c>
    </row>
    <row r="211" customFormat="false" ht="15" hidden="false" customHeight="false" outlineLevel="0" collapsed="false">
      <c r="A211" s="0" t="s">
        <v>877</v>
      </c>
      <c r="B211" s="0" t="n">
        <v>314403.477619881</v>
      </c>
      <c r="C211" s="0" t="n">
        <v>1393258.96033629</v>
      </c>
      <c r="D211" s="0" t="n">
        <f aca="false">IF(B211&gt;C211,1,0)</f>
        <v>0</v>
      </c>
    </row>
    <row r="212" customFormat="false" ht="15" hidden="false" customHeight="false" outlineLevel="0" collapsed="false">
      <c r="A212" s="0" t="s">
        <v>878</v>
      </c>
      <c r="B212" s="0" t="n">
        <v>-283125.795840389</v>
      </c>
      <c r="C212" s="0" t="n">
        <v>1389919.82304913</v>
      </c>
      <c r="D212" s="0" t="n">
        <f aca="false">IF(B212&gt;C212,1,0)</f>
        <v>0</v>
      </c>
    </row>
    <row r="213" customFormat="false" ht="15" hidden="false" customHeight="false" outlineLevel="0" collapsed="false">
      <c r="A213" s="0" t="s">
        <v>879</v>
      </c>
      <c r="B213" s="0" t="n">
        <v>138363.910012065</v>
      </c>
      <c r="C213" s="0" t="n">
        <v>1423700.71969161</v>
      </c>
      <c r="D213" s="0" t="n">
        <f aca="false">IF(B213&gt;C213,1,0)</f>
        <v>0</v>
      </c>
    </row>
    <row r="214" customFormat="false" ht="15" hidden="false" customHeight="false" outlineLevel="0" collapsed="false">
      <c r="A214" s="0" t="s">
        <v>880</v>
      </c>
      <c r="B214" s="0" t="n">
        <v>-368091.283301309</v>
      </c>
      <c r="C214" s="0" t="n">
        <v>1431233.18389891</v>
      </c>
      <c r="D214" s="0" t="n">
        <f aca="false">IF(B214&gt;C214,1,0)</f>
        <v>0</v>
      </c>
    </row>
    <row r="215" customFormat="false" ht="15" hidden="false" customHeight="false" outlineLevel="0" collapsed="false">
      <c r="A215" s="0" t="s">
        <v>592</v>
      </c>
      <c r="B215" s="0" t="n">
        <v>-341465.49469679</v>
      </c>
      <c r="C215" s="0" t="n">
        <v>1453270.90874706</v>
      </c>
      <c r="D215" s="0" t="n">
        <f aca="false">IF(B215&gt;C215,1,0)</f>
        <v>0</v>
      </c>
    </row>
    <row r="216" customFormat="false" ht="15" hidden="false" customHeight="false" outlineLevel="0" collapsed="false">
      <c r="A216" s="0" t="s">
        <v>881</v>
      </c>
      <c r="B216" s="0" t="n">
        <v>-168485.443894739</v>
      </c>
      <c r="C216" s="0" t="n">
        <v>1466647.76677855</v>
      </c>
      <c r="D216" s="0" t="n">
        <f aca="false">IF(B216&gt;C216,1,0)</f>
        <v>0</v>
      </c>
    </row>
    <row r="217" customFormat="false" ht="15" hidden="false" customHeight="false" outlineLevel="0" collapsed="false">
      <c r="A217" s="0" t="s">
        <v>882</v>
      </c>
      <c r="B217" s="0" t="n">
        <v>62975.4352519142</v>
      </c>
      <c r="C217" s="0" t="n">
        <v>1376931.73109894</v>
      </c>
      <c r="D217" s="0" t="n">
        <f aca="false">IF(B217&gt;C217,1,0)</f>
        <v>0</v>
      </c>
    </row>
    <row r="218" customFormat="false" ht="15" hidden="false" customHeight="false" outlineLevel="0" collapsed="false">
      <c r="A218" s="0" t="s">
        <v>883</v>
      </c>
      <c r="B218" s="0" t="n">
        <v>61647.6623098317</v>
      </c>
      <c r="C218" s="0" t="n">
        <v>1372998.0434919</v>
      </c>
      <c r="D218" s="0" t="n">
        <f aca="false">IF(B218&gt;C218,1,0)</f>
        <v>0</v>
      </c>
    </row>
    <row r="219" customFormat="false" ht="15" hidden="false" customHeight="false" outlineLevel="0" collapsed="false">
      <c r="A219" s="0" t="s">
        <v>884</v>
      </c>
      <c r="B219" s="0" t="n">
        <v>494183.267663576</v>
      </c>
      <c r="C219" s="0" t="n">
        <v>1389233.41667008</v>
      </c>
      <c r="D219" s="0" t="n">
        <f aca="false">IF(B219&gt;C219,1,0)</f>
        <v>0</v>
      </c>
    </row>
    <row r="220" customFormat="false" ht="15" hidden="false" customHeight="false" outlineLevel="0" collapsed="false">
      <c r="A220" s="0" t="s">
        <v>885</v>
      </c>
      <c r="B220" s="0" t="n">
        <v>5087.91302323795</v>
      </c>
      <c r="C220" s="0" t="n">
        <v>1385741.6081417</v>
      </c>
      <c r="D220" s="0" t="n">
        <f aca="false">IF(B220&gt;C220,1,0)</f>
        <v>0</v>
      </c>
    </row>
    <row r="221" customFormat="false" ht="15" hidden="false" customHeight="false" outlineLevel="0" collapsed="false">
      <c r="A221" s="0" t="s">
        <v>886</v>
      </c>
      <c r="B221" s="0" t="n">
        <v>689926.474209464</v>
      </c>
      <c r="C221" s="0" t="n">
        <v>1423638.00671691</v>
      </c>
      <c r="D221" s="0" t="n">
        <f aca="false">IF(B221&gt;C221,1,0)</f>
        <v>0</v>
      </c>
    </row>
    <row r="222" customFormat="false" ht="15" hidden="false" customHeight="false" outlineLevel="0" collapsed="false">
      <c r="A222" s="0" t="s">
        <v>887</v>
      </c>
      <c r="B222" s="0" t="n">
        <v>218291.874926578</v>
      </c>
      <c r="C222" s="0" t="n">
        <v>1414228.86953974</v>
      </c>
      <c r="D222" s="0" t="n">
        <f aca="false">IF(B222&gt;C222,1,0)</f>
        <v>0</v>
      </c>
    </row>
    <row r="223" customFormat="false" ht="15" hidden="false" customHeight="false" outlineLevel="0" collapsed="false">
      <c r="A223" s="0" t="s">
        <v>888</v>
      </c>
      <c r="B223" s="0" t="n">
        <v>-202292.026916757</v>
      </c>
      <c r="C223" s="0" t="n">
        <v>1399294.2407049</v>
      </c>
      <c r="D223" s="0" t="n">
        <f aca="false">IF(B223&gt;C223,1,0)</f>
        <v>0</v>
      </c>
    </row>
    <row r="224" customFormat="false" ht="15" hidden="false" customHeight="false" outlineLevel="0" collapsed="false">
      <c r="A224" s="0" t="s">
        <v>889</v>
      </c>
      <c r="B224" s="0" t="n">
        <v>-311677.757594255</v>
      </c>
      <c r="C224" s="0" t="n">
        <v>1420666.41510764</v>
      </c>
      <c r="D224" s="0" t="n">
        <f aca="false">IF(B224&gt;C224,1,0)</f>
        <v>0</v>
      </c>
    </row>
    <row r="225" customFormat="false" ht="15" hidden="false" customHeight="false" outlineLevel="0" collapsed="false">
      <c r="A225" s="0" t="s">
        <v>595</v>
      </c>
      <c r="B225" s="0" t="n">
        <v>-911264.237623537</v>
      </c>
      <c r="C225" s="0" t="n">
        <v>1417589.5804559</v>
      </c>
      <c r="D225" s="0" t="n">
        <f aca="false">IF(B225&gt;C225,1,0)</f>
        <v>0</v>
      </c>
    </row>
    <row r="226" customFormat="false" ht="15" hidden="false" customHeight="false" outlineLevel="0" collapsed="false">
      <c r="A226" s="0" t="s">
        <v>890</v>
      </c>
      <c r="B226" s="0" t="n">
        <v>-331813.91296101</v>
      </c>
      <c r="C226" s="0" t="n">
        <v>1516642.22667541</v>
      </c>
      <c r="D226" s="0" t="n">
        <f aca="false">IF(B226&gt;C226,1,0)</f>
        <v>0</v>
      </c>
    </row>
    <row r="227" customFormat="false" ht="15" hidden="false" customHeight="false" outlineLevel="0" collapsed="false">
      <c r="A227" s="0" t="s">
        <v>891</v>
      </c>
      <c r="B227" s="0" t="n">
        <v>207315.946116937</v>
      </c>
      <c r="C227" s="0" t="n">
        <v>1570878.07849377</v>
      </c>
      <c r="D227" s="0" t="n">
        <f aca="false">IF(B227&gt;C227,1,0)</f>
        <v>0</v>
      </c>
    </row>
    <row r="228" customFormat="false" ht="15" hidden="false" customHeight="false" outlineLevel="0" collapsed="false">
      <c r="A228" s="0" t="s">
        <v>892</v>
      </c>
      <c r="B228" s="0" t="n">
        <v>424518.668646294</v>
      </c>
      <c r="C228" s="0" t="n">
        <v>1559853.38604153</v>
      </c>
      <c r="D228" s="0" t="n">
        <f aca="false">IF(B228&gt;C228,1,0)</f>
        <v>0</v>
      </c>
    </row>
    <row r="229" customFormat="false" ht="15" hidden="false" customHeight="false" outlineLevel="0" collapsed="false">
      <c r="A229" s="0" t="s">
        <v>893</v>
      </c>
      <c r="B229" s="0" t="n">
        <v>127712.119776751</v>
      </c>
      <c r="C229" s="0" t="n">
        <v>1569986.48333603</v>
      </c>
      <c r="D229" s="0" t="n">
        <f aca="false">IF(B229&gt;C229,1,0)</f>
        <v>0</v>
      </c>
    </row>
    <row r="230" customFormat="false" ht="15" hidden="false" customHeight="false" outlineLevel="0" collapsed="false">
      <c r="A230" s="0" t="s">
        <v>894</v>
      </c>
      <c r="B230" s="0" t="n">
        <v>311957.680785255</v>
      </c>
      <c r="C230" s="0" t="n">
        <v>1534082.04752642</v>
      </c>
      <c r="D230" s="0" t="n">
        <f aca="false">IF(B230&gt;C230,1,0)</f>
        <v>0</v>
      </c>
    </row>
    <row r="231" customFormat="false" ht="15" hidden="false" customHeight="false" outlineLevel="0" collapsed="false">
      <c r="A231" s="0" t="s">
        <v>895</v>
      </c>
      <c r="B231" s="0" t="n">
        <v>-789501.091950469</v>
      </c>
      <c r="C231" s="0" t="n">
        <v>1487787.66784512</v>
      </c>
      <c r="D231" s="0" t="n">
        <f aca="false">IF(B231&gt;C231,1,0)</f>
        <v>0</v>
      </c>
    </row>
    <row r="232" customFormat="false" ht="15" hidden="false" customHeight="false" outlineLevel="0" collapsed="false">
      <c r="A232" s="0" t="s">
        <v>896</v>
      </c>
      <c r="B232" s="0" t="n">
        <v>-125263.084278409</v>
      </c>
      <c r="C232" s="0" t="n">
        <v>1448115.50479402</v>
      </c>
      <c r="D232" s="0" t="n">
        <f aca="false">IF(B232&gt;C232,1,0)</f>
        <v>0</v>
      </c>
    </row>
    <row r="233" customFormat="false" ht="15" hidden="false" customHeight="false" outlineLevel="0" collapsed="false">
      <c r="A233" s="0" t="s">
        <v>897</v>
      </c>
      <c r="B233" s="0" t="n">
        <v>102767.921892511</v>
      </c>
      <c r="C233" s="0" t="n">
        <v>1463786.9028164</v>
      </c>
      <c r="D233" s="0" t="n">
        <f aca="false">IF(B233&gt;C233,1,0)</f>
        <v>0</v>
      </c>
    </row>
    <row r="234" customFormat="false" ht="15" hidden="false" customHeight="false" outlineLevel="0" collapsed="false">
      <c r="A234" s="0" t="s">
        <v>898</v>
      </c>
      <c r="B234" s="0" t="n">
        <v>-145162.993085757</v>
      </c>
      <c r="C234" s="0" t="n">
        <v>1465706.8667983</v>
      </c>
      <c r="D234" s="0" t="n">
        <f aca="false">IF(B234&gt;C234,1,0)</f>
        <v>0</v>
      </c>
    </row>
    <row r="235" customFormat="false" ht="15" hidden="false" customHeight="false" outlineLevel="0" collapsed="false">
      <c r="A235" s="0" t="s">
        <v>598</v>
      </c>
      <c r="B235" s="0" t="n">
        <v>-260127.152739724</v>
      </c>
      <c r="C235" s="0" t="n">
        <v>1483725.55890541</v>
      </c>
      <c r="D235" s="0" t="n">
        <f aca="false">IF(B235&gt;C235,1,0)</f>
        <v>0</v>
      </c>
    </row>
    <row r="236" customFormat="false" ht="15" hidden="false" customHeight="false" outlineLevel="0" collapsed="false">
      <c r="A236" s="0" t="s">
        <v>899</v>
      </c>
      <c r="B236" s="0" t="n">
        <v>-92230.0477931057</v>
      </c>
      <c r="C236" s="0" t="n">
        <v>1488300.41234222</v>
      </c>
      <c r="D236" s="0" t="n">
        <f aca="false">IF(B236&gt;C236,1,0)</f>
        <v>0</v>
      </c>
    </row>
    <row r="237" customFormat="false" ht="15" hidden="false" customHeight="false" outlineLevel="0" collapsed="false">
      <c r="A237" s="0" t="s">
        <v>900</v>
      </c>
      <c r="B237" s="0" t="n">
        <v>-526440.726550706</v>
      </c>
      <c r="C237" s="0" t="n">
        <v>1483507.6228968</v>
      </c>
      <c r="D237" s="0" t="n">
        <f aca="false">IF(B237&gt;C237,1,0)</f>
        <v>0</v>
      </c>
    </row>
    <row r="238" customFormat="false" ht="15" hidden="false" customHeight="false" outlineLevel="0" collapsed="false">
      <c r="A238" s="0" t="s">
        <v>901</v>
      </c>
      <c r="B238" s="0" t="n">
        <v>512061.768740997</v>
      </c>
      <c r="C238" s="0" t="n">
        <v>1548739.02080534</v>
      </c>
      <c r="D238" s="0" t="n">
        <f aca="false">IF(B238&gt;C238,1,0)</f>
        <v>0</v>
      </c>
    </row>
    <row r="239" customFormat="false" ht="15" hidden="false" customHeight="false" outlineLevel="0" collapsed="false">
      <c r="A239" s="0" t="s">
        <v>902</v>
      </c>
      <c r="B239" s="0" t="n">
        <v>-685168.511891432</v>
      </c>
      <c r="C239" s="0" t="n">
        <v>1509240.06055745</v>
      </c>
      <c r="D239" s="0" t="n">
        <f aca="false">IF(B239&gt;C239,1,0)</f>
        <v>0</v>
      </c>
    </row>
    <row r="240" customFormat="false" ht="15" hidden="false" customHeight="false" outlineLevel="0" collapsed="false">
      <c r="A240" s="0" t="s">
        <v>903</v>
      </c>
      <c r="B240" s="0" t="n">
        <v>-290453.542534169</v>
      </c>
      <c r="C240" s="0" t="n">
        <v>1548567.92690469</v>
      </c>
      <c r="D240" s="0" t="n">
        <f aca="false">IF(B240&gt;C240,1,0)</f>
        <v>0</v>
      </c>
    </row>
    <row r="241" customFormat="false" ht="15" hidden="false" customHeight="false" outlineLevel="0" collapsed="false">
      <c r="A241" s="0" t="s">
        <v>904</v>
      </c>
      <c r="B241" s="0" t="n">
        <v>334688.705928874</v>
      </c>
      <c r="C241" s="0" t="n">
        <v>1502747.63808636</v>
      </c>
      <c r="D241" s="0" t="n">
        <f aca="false">IF(B241&gt;C241,1,0)</f>
        <v>0</v>
      </c>
    </row>
    <row r="242" customFormat="false" ht="15" hidden="false" customHeight="false" outlineLevel="0" collapsed="false">
      <c r="A242" s="0" t="s">
        <v>905</v>
      </c>
      <c r="B242" s="0" t="n">
        <v>-177077.233124102</v>
      </c>
      <c r="C242" s="0" t="n">
        <v>1164535.92858336</v>
      </c>
      <c r="D242" s="0" t="n">
        <f aca="false">IF(B242&gt;C242,1,0)</f>
        <v>0</v>
      </c>
    </row>
    <row r="243" customFormat="false" ht="15" hidden="false" customHeight="false" outlineLevel="0" collapsed="false">
      <c r="A243" s="0" t="s">
        <v>906</v>
      </c>
      <c r="B243" s="0" t="n">
        <v>-187088.647442036</v>
      </c>
      <c r="C243" s="0" t="n">
        <v>1164329.30550249</v>
      </c>
      <c r="D243" s="0" t="n">
        <f aca="false">IF(B243&gt;C243,1,0)</f>
        <v>0</v>
      </c>
    </row>
    <row r="244" customFormat="false" ht="15" hidden="false" customHeight="false" outlineLevel="0" collapsed="false">
      <c r="A244" s="0" t="s">
        <v>907</v>
      </c>
      <c r="B244" s="0" t="n">
        <v>74439.6202654354</v>
      </c>
      <c r="C244" s="0" t="n">
        <v>1180140.25827132</v>
      </c>
      <c r="D244" s="0" t="n">
        <f aca="false">IF(B244&gt;C244,1,0)</f>
        <v>0</v>
      </c>
    </row>
    <row r="245" customFormat="false" ht="15" hidden="false" customHeight="false" outlineLevel="0" collapsed="false">
      <c r="A245" s="0" t="s">
        <v>601</v>
      </c>
      <c r="B245" s="0" t="n">
        <v>-310659.509038908</v>
      </c>
      <c r="C245" s="0" t="n">
        <v>1197854.09373081</v>
      </c>
      <c r="D245" s="0" t="n">
        <f aca="false">IF(B245&gt;C245,1,0)</f>
        <v>0</v>
      </c>
    </row>
    <row r="246" customFormat="false" ht="15" hidden="false" customHeight="false" outlineLevel="0" collapsed="false">
      <c r="A246" s="0" t="s">
        <v>908</v>
      </c>
      <c r="B246" s="0" t="n">
        <v>477295.979547944</v>
      </c>
      <c r="C246" s="0" t="n">
        <v>1238041.50177483</v>
      </c>
      <c r="D246" s="0" t="n">
        <f aca="false">IF(B246&gt;C246,1,0)</f>
        <v>0</v>
      </c>
    </row>
    <row r="247" customFormat="false" ht="15" hidden="false" customHeight="false" outlineLevel="0" collapsed="false">
      <c r="A247" s="0" t="s">
        <v>909</v>
      </c>
      <c r="B247" s="0" t="n">
        <v>183534.852537676</v>
      </c>
      <c r="C247" s="0" t="n">
        <v>1189099.69168398</v>
      </c>
      <c r="D247" s="0" t="n">
        <f aca="false">IF(B247&gt;C247,1,0)</f>
        <v>0</v>
      </c>
    </row>
    <row r="248" customFormat="false" ht="15" hidden="false" customHeight="false" outlineLevel="0" collapsed="false">
      <c r="A248" s="0" t="s">
        <v>910</v>
      </c>
      <c r="B248" s="0" t="n">
        <v>135172.286975637</v>
      </c>
      <c r="C248" s="0" t="n">
        <v>1200947.81472623</v>
      </c>
      <c r="D248" s="0" t="n">
        <f aca="false">IF(B248&gt;C248,1,0)</f>
        <v>0</v>
      </c>
    </row>
    <row r="249" customFormat="false" ht="15" hidden="false" customHeight="false" outlineLevel="0" collapsed="false">
      <c r="A249" s="0" t="s">
        <v>911</v>
      </c>
      <c r="B249" s="0" t="n">
        <v>-245828.445628698</v>
      </c>
      <c r="C249" s="0" t="n">
        <v>1198060.19705106</v>
      </c>
      <c r="D249" s="0" t="n">
        <f aca="false">IF(B249&gt;C249,1,0)</f>
        <v>0</v>
      </c>
    </row>
    <row r="250" customFormat="false" ht="15" hidden="false" customHeight="false" outlineLevel="0" collapsed="false">
      <c r="A250" s="0" t="s">
        <v>912</v>
      </c>
      <c r="B250" s="0" t="n">
        <v>43909.6161687649</v>
      </c>
      <c r="C250" s="0" t="n">
        <v>1202538.987174</v>
      </c>
      <c r="D250" s="0" t="n">
        <f aca="false">IF(B250&gt;C250,1,0)</f>
        <v>0</v>
      </c>
    </row>
    <row r="251" customFormat="false" ht="15" hidden="false" customHeight="false" outlineLevel="0" collapsed="false">
      <c r="A251" s="0" t="s">
        <v>913</v>
      </c>
      <c r="B251" s="0" t="n">
        <v>634186.352714023</v>
      </c>
      <c r="C251" s="0" t="n">
        <v>1200153.49348911</v>
      </c>
      <c r="D251" s="0" t="n">
        <f aca="false">IF(B251&gt;C251,1,0)</f>
        <v>0</v>
      </c>
    </row>
    <row r="252" customFormat="false" ht="15" hidden="false" customHeight="false" outlineLevel="0" collapsed="false">
      <c r="A252" s="0" t="s">
        <v>914</v>
      </c>
      <c r="B252" s="0" t="n">
        <v>-147902.060818514</v>
      </c>
      <c r="C252" s="0" t="n">
        <v>1186958.00273826</v>
      </c>
      <c r="D252" s="0" t="n">
        <f aca="false">IF(B252&gt;C252,1,0)</f>
        <v>0</v>
      </c>
    </row>
    <row r="253" customFormat="false" ht="15" hidden="false" customHeight="false" outlineLevel="0" collapsed="false">
      <c r="A253" s="0" t="s">
        <v>915</v>
      </c>
      <c r="B253" s="0" t="n">
        <v>156695.014680823</v>
      </c>
      <c r="C253" s="0" t="n">
        <v>1176096.28654914</v>
      </c>
      <c r="D253" s="0" t="n">
        <f aca="false">IF(B253&gt;C253,1,0)</f>
        <v>0</v>
      </c>
    </row>
    <row r="254" customFormat="false" ht="15" hidden="false" customHeight="false" outlineLevel="0" collapsed="false">
      <c r="A254" s="0" t="s">
        <v>916</v>
      </c>
      <c r="B254" s="0" t="n">
        <v>100496.26290081</v>
      </c>
      <c r="C254" s="0" t="n">
        <v>1196604.51023868</v>
      </c>
      <c r="D254" s="0" t="n">
        <f aca="false">IF(B254&gt;C254,1,0)</f>
        <v>0</v>
      </c>
    </row>
    <row r="255" customFormat="false" ht="15" hidden="false" customHeight="false" outlineLevel="0" collapsed="false">
      <c r="A255" s="0" t="s">
        <v>604</v>
      </c>
      <c r="B255" s="0" t="n">
        <v>-139128.340644455</v>
      </c>
      <c r="C255" s="0" t="n">
        <v>1193470.49099269</v>
      </c>
      <c r="D255" s="0" t="n">
        <f aca="false">IF(B255&gt;C255,1,0)</f>
        <v>0</v>
      </c>
    </row>
    <row r="256" customFormat="false" ht="15" hidden="false" customHeight="false" outlineLevel="0" collapsed="false">
      <c r="A256" s="0" t="s">
        <v>917</v>
      </c>
      <c r="B256" s="0" t="n">
        <v>-503516.442303734</v>
      </c>
      <c r="C256" s="0" t="n">
        <v>1165242.72572274</v>
      </c>
      <c r="D256" s="0" t="n">
        <f aca="false">IF(B256&gt;C256,1,0)</f>
        <v>0</v>
      </c>
    </row>
    <row r="257" customFormat="false" ht="15" hidden="false" customHeight="false" outlineLevel="0" collapsed="false">
      <c r="A257" s="0" t="s">
        <v>918</v>
      </c>
      <c r="B257" s="0" t="n">
        <v>264792.975169789</v>
      </c>
      <c r="C257" s="0" t="n">
        <v>1181432.70885665</v>
      </c>
      <c r="D257" s="0" t="n">
        <f aca="false">IF(B257&gt;C257,1,0)</f>
        <v>0</v>
      </c>
    </row>
    <row r="258" customFormat="false" ht="15" hidden="false" customHeight="false" outlineLevel="0" collapsed="false">
      <c r="A258" s="0" t="s">
        <v>919</v>
      </c>
      <c r="B258" s="0" t="n">
        <v>-83559.1476634601</v>
      </c>
      <c r="C258" s="0" t="n">
        <v>1160929.98325814</v>
      </c>
      <c r="D258" s="0" t="n">
        <f aca="false">IF(B258&gt;C258,1,0)</f>
        <v>0</v>
      </c>
    </row>
    <row r="259" customFormat="false" ht="15" hidden="false" customHeight="false" outlineLevel="0" collapsed="false">
      <c r="A259" s="0" t="s">
        <v>920</v>
      </c>
      <c r="B259" s="0" t="n">
        <v>-235606.03397757</v>
      </c>
      <c r="C259" s="0" t="n">
        <v>1169299.13494476</v>
      </c>
      <c r="D259" s="0" t="n">
        <f aca="false">IF(B259&gt;C259,1,0)</f>
        <v>0</v>
      </c>
    </row>
    <row r="260" customFormat="false" ht="15" hidden="false" customHeight="false" outlineLevel="0" collapsed="false">
      <c r="A260" s="0" t="s">
        <v>921</v>
      </c>
      <c r="B260" s="0" t="n">
        <v>6958.04339943826</v>
      </c>
      <c r="C260" s="0" t="n">
        <v>1192384.349571</v>
      </c>
      <c r="D260" s="0" t="n">
        <f aca="false">IF(B260&gt;C260,1,0)</f>
        <v>0</v>
      </c>
    </row>
    <row r="261" customFormat="false" ht="15" hidden="false" customHeight="false" outlineLevel="0" collapsed="false">
      <c r="A261" s="0" t="s">
        <v>922</v>
      </c>
      <c r="B261" s="0" t="n">
        <v>159079.153395132</v>
      </c>
      <c r="C261" s="0" t="n">
        <v>1215774.73774511</v>
      </c>
      <c r="D261" s="0" t="n">
        <f aca="false">IF(B261&gt;C261,1,0)</f>
        <v>0</v>
      </c>
    </row>
    <row r="262" customFormat="false" ht="15" hidden="false" customHeight="false" outlineLevel="0" collapsed="false">
      <c r="A262" s="0" t="s">
        <v>923</v>
      </c>
      <c r="B262" s="0" t="n">
        <v>-43912.7222150136</v>
      </c>
      <c r="C262" s="0" t="n">
        <v>1205222.07415472</v>
      </c>
      <c r="D262" s="0" t="n">
        <f aca="false">IF(B262&gt;C262,1,0)</f>
        <v>0</v>
      </c>
    </row>
    <row r="263" customFormat="false" ht="15" hidden="false" customHeight="false" outlineLevel="0" collapsed="false">
      <c r="A263" s="0" t="s">
        <v>924</v>
      </c>
      <c r="B263" s="0" t="n">
        <v>-265876.685160006</v>
      </c>
      <c r="C263" s="0" t="n">
        <v>1163041.07523233</v>
      </c>
      <c r="D263" s="0" t="n">
        <f aca="false">IF(B263&gt;C263,1,0)</f>
        <v>0</v>
      </c>
    </row>
    <row r="264" customFormat="false" ht="15" hidden="false" customHeight="false" outlineLevel="0" collapsed="false">
      <c r="A264" s="0" t="s">
        <v>925</v>
      </c>
      <c r="B264" s="0" t="n">
        <v>-374578.929069478</v>
      </c>
      <c r="C264" s="0" t="n">
        <v>1161332.90459343</v>
      </c>
      <c r="D264" s="0" t="n">
        <f aca="false">IF(B264&gt;C264,1,0)</f>
        <v>0</v>
      </c>
    </row>
    <row r="265" customFormat="false" ht="15" hidden="false" customHeight="false" outlineLevel="0" collapsed="false">
      <c r="A265" s="0" t="s">
        <v>607</v>
      </c>
      <c r="B265" s="0" t="n">
        <v>-38308.3999556694</v>
      </c>
      <c r="C265" s="0" t="n">
        <v>1167618.93294453</v>
      </c>
      <c r="D265" s="0" t="n">
        <f aca="false">IF(B265&gt;C265,1,0)</f>
        <v>0</v>
      </c>
    </row>
    <row r="266" customFormat="false" ht="15" hidden="false" customHeight="false" outlineLevel="0" collapsed="false">
      <c r="A266" s="0" t="s">
        <v>926</v>
      </c>
      <c r="B266" s="0" t="n">
        <v>-321621.910755023</v>
      </c>
      <c r="C266" s="0" t="n">
        <v>1164410.43676826</v>
      </c>
      <c r="D266" s="0" t="n">
        <f aca="false">IF(B266&gt;C266,1,0)</f>
        <v>0</v>
      </c>
    </row>
    <row r="267" customFormat="false" ht="15" hidden="false" customHeight="false" outlineLevel="0" collapsed="false">
      <c r="A267" s="0" t="s">
        <v>927</v>
      </c>
      <c r="B267" s="0" t="n">
        <v>7083.35876526311</v>
      </c>
      <c r="C267" s="0" t="n">
        <v>1151280.18433317</v>
      </c>
      <c r="D267" s="0" t="n">
        <f aca="false">IF(B267&gt;C267,1,0)</f>
        <v>0</v>
      </c>
    </row>
    <row r="268" customFormat="false" ht="15" hidden="false" customHeight="false" outlineLevel="0" collapsed="false">
      <c r="A268" s="0" t="s">
        <v>928</v>
      </c>
      <c r="B268" s="0" t="n">
        <v>121649.646398244</v>
      </c>
      <c r="C268" s="0" t="n">
        <v>1153300.63192537</v>
      </c>
      <c r="D268" s="0" t="n">
        <f aca="false">IF(B268&gt;C268,1,0)</f>
        <v>0</v>
      </c>
    </row>
    <row r="269" customFormat="false" ht="15" hidden="false" customHeight="false" outlineLevel="0" collapsed="false">
      <c r="A269" s="0" t="s">
        <v>929</v>
      </c>
      <c r="B269" s="0" t="n">
        <v>204401.17187769</v>
      </c>
      <c r="C269" s="0" t="n">
        <v>1149324.57167116</v>
      </c>
      <c r="D269" s="0" t="n">
        <f aca="false">IF(B269&gt;C269,1,0)</f>
        <v>0</v>
      </c>
    </row>
    <row r="270" customFormat="false" ht="15" hidden="false" customHeight="false" outlineLevel="0" collapsed="false">
      <c r="A270" s="0" t="s">
        <v>930</v>
      </c>
      <c r="B270" s="0" t="n">
        <v>146766.514249663</v>
      </c>
      <c r="C270" s="0" t="n">
        <v>1145079.56065902</v>
      </c>
      <c r="D270" s="0" t="n">
        <f aca="false">IF(B270&gt;C270,1,0)</f>
        <v>0</v>
      </c>
    </row>
    <row r="271" customFormat="false" ht="15" hidden="false" customHeight="false" outlineLevel="0" collapsed="false">
      <c r="A271" s="0" t="s">
        <v>931</v>
      </c>
      <c r="B271" s="0" t="n">
        <v>-162818.043448462</v>
      </c>
      <c r="C271" s="0" t="n">
        <v>1147906.07033291</v>
      </c>
      <c r="D271" s="0" t="n">
        <f aca="false">IF(B271&gt;C271,1,0)</f>
        <v>0</v>
      </c>
    </row>
    <row r="272" customFormat="false" ht="15" hidden="false" customHeight="false" outlineLevel="0" collapsed="false">
      <c r="A272" s="0" t="s">
        <v>932</v>
      </c>
      <c r="B272" s="0" t="n">
        <v>437405.336009369</v>
      </c>
      <c r="C272" s="0" t="n">
        <v>1200509.9559513</v>
      </c>
      <c r="D272" s="0" t="n">
        <f aca="false">IF(B272&gt;C272,1,0)</f>
        <v>0</v>
      </c>
    </row>
    <row r="273" customFormat="false" ht="15" hidden="false" customHeight="false" outlineLevel="0" collapsed="false">
      <c r="A273" s="0" t="s">
        <v>933</v>
      </c>
      <c r="B273" s="0" t="n">
        <v>-691624.836376651</v>
      </c>
      <c r="C273" s="0" t="n">
        <v>1123375.39602197</v>
      </c>
      <c r="D273" s="0" t="n">
        <f aca="false">IF(B273&gt;C273,1,0)</f>
        <v>0</v>
      </c>
    </row>
    <row r="274" customFormat="false" ht="15" hidden="false" customHeight="false" outlineLevel="0" collapsed="false">
      <c r="A274" s="0" t="s">
        <v>934</v>
      </c>
      <c r="B274" s="0" t="n">
        <v>-1004432.26363231</v>
      </c>
      <c r="C274" s="0" t="n">
        <v>1092406.27241381</v>
      </c>
      <c r="D274" s="0" t="n">
        <f aca="false">IF(B274&gt;C274,1,0)</f>
        <v>0</v>
      </c>
    </row>
    <row r="275" customFormat="false" ht="15" hidden="false" customHeight="false" outlineLevel="0" collapsed="false">
      <c r="A275" s="0" t="s">
        <v>610</v>
      </c>
      <c r="B275" s="0" t="n">
        <v>17376.2218655618</v>
      </c>
      <c r="C275" s="0" t="n">
        <v>1011504.23981484</v>
      </c>
      <c r="D275" s="0" t="n">
        <f aca="false">IF(B275&gt;C275,1,0)</f>
        <v>0</v>
      </c>
    </row>
    <row r="276" customFormat="false" ht="15" hidden="false" customHeight="false" outlineLevel="0" collapsed="false">
      <c r="A276" s="0" t="s">
        <v>935</v>
      </c>
      <c r="B276" s="0" t="n">
        <v>200871.360973858</v>
      </c>
      <c r="C276" s="0" t="n">
        <v>965354.216309748</v>
      </c>
      <c r="D276" s="0" t="n">
        <f aca="false">IF(B276&gt;C276,1,0)</f>
        <v>0</v>
      </c>
    </row>
    <row r="277" customFormat="false" ht="15" hidden="false" customHeight="false" outlineLevel="0" collapsed="false">
      <c r="A277" s="0" t="s">
        <v>936</v>
      </c>
      <c r="B277" s="0" t="n">
        <v>-640883.304050253</v>
      </c>
      <c r="C277" s="0" t="n">
        <v>974747.743423385</v>
      </c>
      <c r="D277" s="0" t="n">
        <f aca="false">IF(B277&gt;C277,1,0)</f>
        <v>0</v>
      </c>
    </row>
    <row r="278" customFormat="false" ht="15" hidden="false" customHeight="false" outlineLevel="0" collapsed="false">
      <c r="A278" s="0" t="s">
        <v>937</v>
      </c>
      <c r="B278" s="0" t="n">
        <v>791152.355833112</v>
      </c>
      <c r="C278" s="0" t="n">
        <v>1049520.12537761</v>
      </c>
      <c r="D278" s="0" t="n">
        <f aca="false">IF(B278&gt;C278,1,0)</f>
        <v>0</v>
      </c>
    </row>
    <row r="279" customFormat="false" ht="15" hidden="false" customHeight="false" outlineLevel="0" collapsed="false">
      <c r="A279" s="0" t="s">
        <v>938</v>
      </c>
      <c r="B279" s="0" t="n">
        <v>-187353.444419064</v>
      </c>
      <c r="C279" s="0" t="n">
        <v>1057749.66272076</v>
      </c>
      <c r="D279" s="0" t="n">
        <f aca="false">IF(B279&gt;C279,1,0)</f>
        <v>0</v>
      </c>
    </row>
    <row r="280" customFormat="false" ht="15" hidden="false" customHeight="false" outlineLevel="0" collapsed="false">
      <c r="A280" s="0" t="s">
        <v>939</v>
      </c>
      <c r="B280" s="0" t="n">
        <v>1146889.54344658</v>
      </c>
      <c r="C280" s="0" t="n">
        <v>1164691.19845252</v>
      </c>
      <c r="D280" s="0" t="n">
        <f aca="false">IF(B280&gt;C280,1,0)</f>
        <v>0</v>
      </c>
    </row>
    <row r="281" customFormat="false" ht="15" hidden="false" customHeight="false" outlineLevel="0" collapsed="false">
      <c r="A281" s="0" t="s">
        <v>940</v>
      </c>
      <c r="B281" s="0" t="n">
        <v>-447539.443667254</v>
      </c>
      <c r="C281" s="0" t="n">
        <v>1083589.81837221</v>
      </c>
      <c r="D281" s="0" t="n">
        <f aca="false">IF(B281&gt;C281,1,0)</f>
        <v>0</v>
      </c>
    </row>
    <row r="282" customFormat="false" ht="15" hidden="false" customHeight="false" outlineLevel="0" collapsed="false">
      <c r="A282" s="0" t="s">
        <v>941</v>
      </c>
      <c r="B282" s="0" t="n">
        <v>-207325.394694715</v>
      </c>
      <c r="C282" s="0" t="n">
        <v>1039164.90049478</v>
      </c>
      <c r="D282" s="0" t="n">
        <f aca="false">IF(B282&gt;C282,1,0)</f>
        <v>0</v>
      </c>
    </row>
    <row r="283" customFormat="false" ht="15" hidden="false" customHeight="false" outlineLevel="0" collapsed="false">
      <c r="A283" s="0" t="s">
        <v>942</v>
      </c>
      <c r="B283" s="0" t="n">
        <v>446133.652749018</v>
      </c>
      <c r="C283" s="0" t="n">
        <v>1067389.56290212</v>
      </c>
      <c r="D283" s="0" t="n">
        <f aca="false">IF(B283&gt;C283,1,0)</f>
        <v>0</v>
      </c>
    </row>
    <row r="284" customFormat="false" ht="15" hidden="false" customHeight="false" outlineLevel="0" collapsed="false">
      <c r="A284" s="0" t="s">
        <v>943</v>
      </c>
      <c r="B284" s="0" t="n">
        <v>1459897.77765491</v>
      </c>
      <c r="C284" s="0" t="n">
        <v>1077012.12806797</v>
      </c>
      <c r="D284" s="0" t="n">
        <f aca="false">IF(B284&gt;C284,1,0)</f>
        <v>1</v>
      </c>
    </row>
    <row r="285" customFormat="false" ht="15" hidden="false" customHeight="false" outlineLevel="0" collapsed="false">
      <c r="A285" s="0" t="s">
        <v>613</v>
      </c>
      <c r="B285" s="0" t="n">
        <v>-313008.586346264</v>
      </c>
      <c r="C285" s="0" t="n">
        <v>1048163.77141412</v>
      </c>
      <c r="D285" s="0" t="n">
        <f aca="false">IF(B285&gt;C285,1,0)</f>
        <v>0</v>
      </c>
    </row>
    <row r="286" customFormat="false" ht="15" hidden="false" customHeight="false" outlineLevel="0" collapsed="false">
      <c r="A286" s="0" t="s">
        <v>944</v>
      </c>
      <c r="B286" s="0" t="n">
        <v>1082027.70759062</v>
      </c>
      <c r="C286" s="0" t="n">
        <v>1097788.38916107</v>
      </c>
      <c r="D286" s="0" t="n">
        <f aca="false">IF(B286&gt;C286,1,0)</f>
        <v>0</v>
      </c>
    </row>
    <row r="287" customFormat="false" ht="15" hidden="false" customHeight="false" outlineLevel="0" collapsed="false">
      <c r="A287" s="0" t="s">
        <v>945</v>
      </c>
      <c r="B287" s="0" t="n">
        <v>299629.769020124</v>
      </c>
      <c r="C287" s="0" t="n">
        <v>1111535.53699865</v>
      </c>
      <c r="D287" s="0" t="n">
        <f aca="false">IF(B287&gt;C287,1,0)</f>
        <v>0</v>
      </c>
    </row>
    <row r="288" customFormat="false" ht="15" hidden="false" customHeight="false" outlineLevel="0" collapsed="false">
      <c r="A288" s="0" t="s">
        <v>946</v>
      </c>
      <c r="B288" s="0" t="n">
        <v>-623607.55007197</v>
      </c>
      <c r="C288" s="0" t="n">
        <v>1066947.29953398</v>
      </c>
      <c r="D288" s="0" t="n">
        <f aca="false">IF(B288&gt;C288,1,0)</f>
        <v>0</v>
      </c>
    </row>
    <row r="289" customFormat="false" ht="15" hidden="false" customHeight="false" outlineLevel="0" collapsed="false">
      <c r="A289" s="0" t="s">
        <v>947</v>
      </c>
      <c r="B289" s="0" t="n">
        <v>-487341.151233985</v>
      </c>
      <c r="C289" s="0" t="n">
        <v>1045635.23854278</v>
      </c>
      <c r="D289" s="0" t="n">
        <f aca="false">IF(B289&gt;C289,1,0)</f>
        <v>0</v>
      </c>
    </row>
    <row r="290" customFormat="false" ht="15" hidden="false" customHeight="false" outlineLevel="0" collapsed="false">
      <c r="A290" s="0" t="s">
        <v>948</v>
      </c>
      <c r="B290" s="0" t="n">
        <v>61533.4637134762</v>
      </c>
      <c r="C290" s="0" t="n">
        <v>1063947.21962465</v>
      </c>
      <c r="D290" s="0" t="n">
        <f aca="false">IF(B290&gt;C290,1,0)</f>
        <v>0</v>
      </c>
    </row>
    <row r="291" customFormat="false" ht="15" hidden="false" customHeight="false" outlineLevel="0" collapsed="false">
      <c r="A291" s="0" t="s">
        <v>949</v>
      </c>
      <c r="B291" s="0" t="n">
        <v>-174656.525382769</v>
      </c>
      <c r="C291" s="0" t="n">
        <v>1059713.83469367</v>
      </c>
      <c r="D291" s="0" t="n">
        <f aca="false">IF(B291&gt;C291,1,0)</f>
        <v>0</v>
      </c>
    </row>
    <row r="292" customFormat="false" ht="15" hidden="false" customHeight="false" outlineLevel="0" collapsed="false">
      <c r="A292" s="0" t="s">
        <v>950</v>
      </c>
      <c r="B292" s="0" t="n">
        <v>46425.442372543</v>
      </c>
      <c r="C292" s="0" t="n">
        <v>1075463.84541545</v>
      </c>
      <c r="D292" s="0" t="n">
        <f aca="false">IF(B292&gt;C292,1,0)</f>
        <v>0</v>
      </c>
    </row>
    <row r="293" customFormat="false" ht="15" hidden="false" customHeight="false" outlineLevel="0" collapsed="false">
      <c r="A293" s="0" t="s">
        <v>951</v>
      </c>
      <c r="B293" s="0" t="n">
        <v>-2048903.40520985</v>
      </c>
      <c r="C293" s="0" t="n">
        <v>1061331.1165765</v>
      </c>
      <c r="D293" s="0" t="n">
        <f aca="false">IF(B293&gt;C293,1,0)</f>
        <v>0</v>
      </c>
    </row>
    <row r="294" customFormat="false" ht="15" hidden="false" customHeight="false" outlineLevel="0" collapsed="false">
      <c r="A294" s="0" t="s">
        <v>952</v>
      </c>
      <c r="B294" s="0" t="n">
        <v>-430069.692839226</v>
      </c>
      <c r="C294" s="0" t="n">
        <v>1088438.63419388</v>
      </c>
      <c r="D294" s="0" t="n">
        <f aca="false">IF(B294&gt;C294,1,0)</f>
        <v>0</v>
      </c>
    </row>
    <row r="295" customFormat="false" ht="15" hidden="false" customHeight="false" outlineLevel="0" collapsed="false">
      <c r="A295" s="0" t="s">
        <v>616</v>
      </c>
      <c r="B295" s="0" t="n">
        <v>765046.237320142</v>
      </c>
      <c r="C295" s="0" t="n">
        <v>1064987.75378575</v>
      </c>
      <c r="D295" s="0" t="n">
        <f aca="false">IF(B295&gt;C295,1,0)</f>
        <v>0</v>
      </c>
    </row>
    <row r="296" customFormat="false" ht="15" hidden="false" customHeight="false" outlineLevel="0" collapsed="false">
      <c r="A296" s="0" t="s">
        <v>953</v>
      </c>
      <c r="B296" s="0" t="n">
        <v>443731.414212731</v>
      </c>
      <c r="C296" s="0" t="n">
        <v>1075868.59519183</v>
      </c>
      <c r="D296" s="0" t="n">
        <f aca="false">IF(B296&gt;C296,1,0)</f>
        <v>0</v>
      </c>
    </row>
    <row r="297" customFormat="false" ht="15" hidden="false" customHeight="false" outlineLevel="0" collapsed="false">
      <c r="A297" s="0" t="s">
        <v>954</v>
      </c>
      <c r="B297" s="0" t="n">
        <v>-737615.463198072</v>
      </c>
      <c r="C297" s="0" t="n">
        <v>1077920.09578318</v>
      </c>
      <c r="D297" s="0" t="n">
        <f aca="false">IF(B297&gt;C297,1,0)</f>
        <v>0</v>
      </c>
    </row>
    <row r="298" customFormat="false" ht="15" hidden="false" customHeight="false" outlineLevel="0" collapsed="false">
      <c r="A298" s="0" t="s">
        <v>955</v>
      </c>
      <c r="B298" s="0" t="n">
        <v>-32060.9223044673</v>
      </c>
      <c r="C298" s="0" t="n">
        <v>1084160.8149032</v>
      </c>
      <c r="D298" s="0" t="n">
        <f aca="false">IF(B298&gt;C298,1,0)</f>
        <v>0</v>
      </c>
    </row>
    <row r="299" customFormat="false" ht="15" hidden="false" customHeight="false" outlineLevel="0" collapsed="false">
      <c r="A299" s="0" t="s">
        <v>956</v>
      </c>
      <c r="B299" s="0" t="n">
        <v>1119833.75197663</v>
      </c>
      <c r="C299" s="0" t="n">
        <v>1102205.02154685</v>
      </c>
      <c r="D299" s="0" t="n">
        <f aca="false">IF(B299&gt;C299,1,0)</f>
        <v>1</v>
      </c>
    </row>
    <row r="300" customFormat="false" ht="15" hidden="false" customHeight="false" outlineLevel="0" collapsed="false">
      <c r="A300" s="0" t="s">
        <v>957</v>
      </c>
      <c r="B300" s="0" t="n">
        <v>-584426.821945475</v>
      </c>
      <c r="C300" s="0" t="n">
        <v>1036058.06199074</v>
      </c>
      <c r="D300" s="0" t="n">
        <f aca="false">IF(B300&gt;C300,1,0)</f>
        <v>0</v>
      </c>
    </row>
    <row r="301" customFormat="false" ht="15" hidden="false" customHeight="false" outlineLevel="0" collapsed="false">
      <c r="A301" s="0" t="s">
        <v>958</v>
      </c>
      <c r="B301" s="0" t="n">
        <v>-519413.729465607</v>
      </c>
      <c r="C301" s="0" t="n">
        <v>1085690.40641815</v>
      </c>
      <c r="D301" s="0" t="n">
        <f aca="false">IF(B301&gt;C301,1,0)</f>
        <v>0</v>
      </c>
    </row>
    <row r="302" customFormat="false" ht="15" hidden="false" customHeight="false" outlineLevel="0" collapsed="false">
      <c r="A302" s="0" t="s">
        <v>959</v>
      </c>
      <c r="B302" s="0" t="n">
        <v>845818.209962917</v>
      </c>
      <c r="C302" s="0" t="n">
        <v>1129368.25050828</v>
      </c>
      <c r="D302" s="0" t="n">
        <f aca="false">IF(B302&gt;C302,1,0)</f>
        <v>0</v>
      </c>
    </row>
    <row r="303" customFormat="false" ht="15" hidden="false" customHeight="false" outlineLevel="0" collapsed="false">
      <c r="A303" s="0" t="s">
        <v>960</v>
      </c>
      <c r="B303" s="0" t="n">
        <v>-90085.042812488</v>
      </c>
      <c r="C303" s="0" t="n">
        <v>1043747.75835538</v>
      </c>
      <c r="D303" s="0" t="n">
        <f aca="false">IF(B303&gt;C303,1,0)</f>
        <v>0</v>
      </c>
    </row>
    <row r="304" customFormat="false" ht="15" hidden="false" customHeight="false" outlineLevel="0" collapsed="false">
      <c r="A304" s="0" t="s">
        <v>961</v>
      </c>
      <c r="B304" s="0" t="n">
        <v>955446.746517701</v>
      </c>
      <c r="C304" s="0" t="n">
        <v>1021548.21420256</v>
      </c>
      <c r="D304" s="0" t="n">
        <f aca="false">IF(B304&gt;C304,1,0)</f>
        <v>0</v>
      </c>
    </row>
    <row r="305" customFormat="false" ht="15" hidden="false" customHeight="false" outlineLevel="0" collapsed="false">
      <c r="A305" s="0" t="s">
        <v>617</v>
      </c>
      <c r="B305" s="0" t="n">
        <v>94538.3017662012</v>
      </c>
      <c r="C305" s="0" t="n">
        <v>938973.288933763</v>
      </c>
      <c r="D305" s="0" t="n">
        <f aca="false">IF(B305&gt;C305,1,0)</f>
        <v>0</v>
      </c>
    </row>
    <row r="306" customFormat="false" ht="15" hidden="false" customHeight="false" outlineLevel="0" collapsed="false">
      <c r="A306" s="0" t="s">
        <v>962</v>
      </c>
      <c r="B306" s="0" t="n">
        <v>367513.766293653</v>
      </c>
      <c r="C306" s="0" t="n">
        <v>925328.673968607</v>
      </c>
      <c r="D306" s="0" t="n">
        <f aca="false">IF(B306&gt;C306,1,0)</f>
        <v>0</v>
      </c>
    </row>
    <row r="307" customFormat="false" ht="15" hidden="false" customHeight="false" outlineLevel="0" collapsed="false">
      <c r="A307" s="0" t="s">
        <v>963</v>
      </c>
      <c r="B307" s="0" t="n">
        <v>-947839.017918994</v>
      </c>
      <c r="C307" s="0" t="n">
        <v>904477.904880852</v>
      </c>
      <c r="D307" s="0" t="n">
        <f aca="false">IF(B307&gt;C307,1,0)</f>
        <v>0</v>
      </c>
    </row>
    <row r="308" customFormat="false" ht="15" hidden="false" customHeight="false" outlineLevel="0" collapsed="false">
      <c r="A308" s="0" t="s">
        <v>964</v>
      </c>
      <c r="B308" s="0" t="n">
        <v>-515331.505497199</v>
      </c>
      <c r="C308" s="0" t="n">
        <v>1102905.59447607</v>
      </c>
      <c r="D308" s="0" t="n">
        <f aca="false">IF(B308&gt;C308,1,0)</f>
        <v>0</v>
      </c>
    </row>
    <row r="309" customFormat="false" ht="15" hidden="false" customHeight="false" outlineLevel="0" collapsed="false">
      <c r="A309" s="0" t="s">
        <v>965</v>
      </c>
      <c r="B309" s="0" t="n">
        <v>-1048153.99189283</v>
      </c>
      <c r="C309" s="0" t="n">
        <v>1139271.45918676</v>
      </c>
      <c r="D309" s="0" t="n">
        <f aca="false">IF(B309&gt;C309,1,0)</f>
        <v>0</v>
      </c>
    </row>
    <row r="310" customFormat="false" ht="15" hidden="false" customHeight="false" outlineLevel="0" collapsed="false">
      <c r="A310" s="0" t="s">
        <v>966</v>
      </c>
      <c r="B310" s="0" t="n">
        <v>218700.437807384</v>
      </c>
      <c r="C310" s="0" t="n">
        <v>1170652.16412982</v>
      </c>
      <c r="D310" s="0" t="n">
        <f aca="false">IF(B310&gt;C310,1,0)</f>
        <v>0</v>
      </c>
    </row>
    <row r="311" customFormat="false" ht="15" hidden="false" customHeight="false" outlineLevel="0" collapsed="false">
      <c r="A311" s="0" t="s">
        <v>967</v>
      </c>
      <c r="B311" s="0" t="n">
        <v>590559.307579642</v>
      </c>
      <c r="C311" s="0" t="n">
        <v>1157135.38146954</v>
      </c>
      <c r="D311" s="0" t="n">
        <f aca="false">IF(B311&gt;C311,1,0)</f>
        <v>0</v>
      </c>
    </row>
    <row r="312" customFormat="false" ht="15" hidden="false" customHeight="false" outlineLevel="0" collapsed="false">
      <c r="A312" s="0" t="s">
        <v>968</v>
      </c>
      <c r="B312" s="0" t="n">
        <v>-2338251.78456348</v>
      </c>
      <c r="C312" s="0" t="n">
        <v>1168684.75746396</v>
      </c>
      <c r="D312" s="0" t="n">
        <f aca="false">IF(B312&gt;C312,1,0)</f>
        <v>0</v>
      </c>
    </row>
    <row r="313" customFormat="false" ht="15" hidden="false" customHeight="false" outlineLevel="0" collapsed="false">
      <c r="A313" s="0" t="s">
        <v>969</v>
      </c>
      <c r="B313" s="0" t="n">
        <v>-741887.584496263</v>
      </c>
      <c r="C313" s="0" t="n">
        <v>1233108.44069604</v>
      </c>
      <c r="D313" s="0" t="n">
        <f aca="false">IF(B313&gt;C313,1,0)</f>
        <v>0</v>
      </c>
    </row>
    <row r="314" customFormat="false" ht="15" hidden="false" customHeight="false" outlineLevel="0" collapsed="false">
      <c r="A314" s="0" t="s">
        <v>970</v>
      </c>
      <c r="B314" s="0" t="n">
        <v>549170.286652642</v>
      </c>
      <c r="C314" s="0" t="n">
        <v>1252096.4442939</v>
      </c>
      <c r="D314" s="0" t="n">
        <f aca="false">IF(B314&gt;C314,1,0)</f>
        <v>0</v>
      </c>
    </row>
    <row r="315" customFormat="false" ht="15" hidden="false" customHeight="false" outlineLevel="0" collapsed="false">
      <c r="A315" s="0" t="s">
        <v>619</v>
      </c>
      <c r="B315" s="0" t="n">
        <v>1092464.42708759</v>
      </c>
      <c r="C315" s="0" t="n">
        <v>1201167.68473564</v>
      </c>
      <c r="D315" s="0" t="n">
        <f aca="false">IF(B315&gt;C315,1,0)</f>
        <v>0</v>
      </c>
    </row>
    <row r="316" customFormat="false" ht="15" hidden="false" customHeight="false" outlineLevel="0" collapsed="false">
      <c r="A316" s="0" t="s">
        <v>971</v>
      </c>
      <c r="B316" s="0" t="n">
        <v>411504.145475549</v>
      </c>
      <c r="C316" s="0" t="n">
        <v>1147368.08271809</v>
      </c>
      <c r="D316" s="0" t="n">
        <f aca="false">IF(B316&gt;C316,1,0)</f>
        <v>0</v>
      </c>
    </row>
    <row r="317" customFormat="false" ht="15" hidden="false" customHeight="false" outlineLevel="0" collapsed="false">
      <c r="A317" s="0" t="s">
        <v>972</v>
      </c>
      <c r="B317" s="0" t="n">
        <v>577971.198470824</v>
      </c>
      <c r="C317" s="0" t="n">
        <v>1118955.61912778</v>
      </c>
      <c r="D317" s="0" t="n">
        <f aca="false">IF(B317&gt;C317,1,0)</f>
        <v>0</v>
      </c>
    </row>
    <row r="318" customFormat="false" ht="15" hidden="false" customHeight="false" outlineLevel="0" collapsed="false">
      <c r="A318" s="0" t="s">
        <v>973</v>
      </c>
      <c r="B318" s="0" t="n">
        <v>434822.269347808</v>
      </c>
      <c r="C318" s="0" t="n">
        <v>1058881.51264422</v>
      </c>
      <c r="D318" s="0" t="n">
        <f aca="false">IF(B318&gt;C318,1,0)</f>
        <v>0</v>
      </c>
    </row>
    <row r="319" customFormat="false" ht="15" hidden="false" customHeight="false" outlineLevel="0" collapsed="false">
      <c r="A319" s="0" t="s">
        <v>974</v>
      </c>
      <c r="B319" s="0" t="n">
        <v>581440.465823514</v>
      </c>
      <c r="C319" s="0" t="n">
        <v>1038568.81610537</v>
      </c>
      <c r="D319" s="0" t="n">
        <f aca="false">IF(B319&gt;C319,1,0)</f>
        <v>0</v>
      </c>
    </row>
    <row r="320" customFormat="false" ht="15" hidden="false" customHeight="false" outlineLevel="0" collapsed="false">
      <c r="A320" s="0" t="s">
        <v>975</v>
      </c>
      <c r="B320" s="0" t="n">
        <v>-448628.346505778</v>
      </c>
      <c r="C320" s="0" t="n">
        <v>1023459.65680141</v>
      </c>
      <c r="D320" s="0" t="n">
        <f aca="false">IF(B320&gt;C320,1,0)</f>
        <v>0</v>
      </c>
    </row>
    <row r="321" customFormat="false" ht="15" hidden="false" customHeight="false" outlineLevel="0" collapsed="false">
      <c r="A321" s="0" t="s">
        <v>976</v>
      </c>
      <c r="B321" s="0" t="n">
        <v>376832.398177275</v>
      </c>
      <c r="C321" s="0" t="n">
        <v>912528.294110976</v>
      </c>
      <c r="D321" s="0" t="n">
        <f aca="false">IF(B321&gt;C321,1,0)</f>
        <v>0</v>
      </c>
    </row>
    <row r="322" customFormat="false" ht="15" hidden="false" customHeight="false" outlineLevel="0" collapsed="false">
      <c r="A322" s="0" t="s">
        <v>977</v>
      </c>
      <c r="B322" s="0" t="n">
        <v>-730116.416294242</v>
      </c>
      <c r="C322" s="0" t="n">
        <v>913923.998760993</v>
      </c>
      <c r="D322" s="0" t="n">
        <f aca="false">IF(B322&gt;C322,1,0)</f>
        <v>0</v>
      </c>
    </row>
    <row r="323" customFormat="false" ht="15" hidden="false" customHeight="false" outlineLevel="0" collapsed="false">
      <c r="A323" s="0" t="s">
        <v>978</v>
      </c>
      <c r="B323" s="0" t="n">
        <v>217643.511538882</v>
      </c>
      <c r="C323" s="0" t="n">
        <v>977474.563822041</v>
      </c>
      <c r="D323" s="0" t="n">
        <f aca="false">IF(B323&gt;C323,1,0)</f>
        <v>0</v>
      </c>
    </row>
    <row r="324" customFormat="false" ht="15" hidden="false" customHeight="false" outlineLevel="0" collapsed="false">
      <c r="A324" s="0" t="s">
        <v>979</v>
      </c>
      <c r="B324" s="0" t="n">
        <v>-265766.397422475</v>
      </c>
      <c r="C324" s="0" t="n">
        <v>983109.516679193</v>
      </c>
      <c r="D324" s="0" t="n">
        <f aca="false">IF(B324&gt;C324,1,0)</f>
        <v>0</v>
      </c>
    </row>
    <row r="325" customFormat="false" ht="15" hidden="false" customHeight="false" outlineLevel="0" collapsed="false">
      <c r="A325" s="0" t="s">
        <v>621</v>
      </c>
      <c r="B325" s="0" t="n">
        <v>125460.706511001</v>
      </c>
      <c r="C325" s="0" t="n">
        <v>1001628.56290281</v>
      </c>
      <c r="D325" s="0" t="n">
        <f aca="false">IF(B325&gt;C325,1,0)</f>
        <v>0</v>
      </c>
    </row>
    <row r="326" customFormat="false" ht="15" hidden="false" customHeight="false" outlineLevel="0" collapsed="false">
      <c r="A326" s="0" t="s">
        <v>980</v>
      </c>
      <c r="B326" s="0" t="n">
        <v>-183893.268183877</v>
      </c>
      <c r="C326" s="0" t="n">
        <v>986075.718081663</v>
      </c>
      <c r="D326" s="0" t="n">
        <f aca="false">IF(B326&gt;C326,1,0)</f>
        <v>0</v>
      </c>
    </row>
    <row r="327" customFormat="false" ht="15" hidden="false" customHeight="false" outlineLevel="0" collapsed="false">
      <c r="A327" s="0" t="s">
        <v>981</v>
      </c>
      <c r="B327" s="0" t="n">
        <v>705389.908473827</v>
      </c>
      <c r="C327" s="0" t="n">
        <v>1003407.8657411</v>
      </c>
      <c r="D327" s="0" t="n">
        <f aca="false">IF(B327&gt;C327,1,0)</f>
        <v>0</v>
      </c>
    </row>
    <row r="328" customFormat="false" ht="15" hidden="false" customHeight="false" outlineLevel="0" collapsed="false">
      <c r="A328" s="0" t="s">
        <v>982</v>
      </c>
      <c r="B328" s="0" t="n">
        <v>-305318.421181617</v>
      </c>
      <c r="C328" s="0" t="n">
        <v>981156.959852308</v>
      </c>
      <c r="D328" s="0" t="n">
        <f aca="false">IF(B328&gt;C328,1,0)</f>
        <v>0</v>
      </c>
    </row>
    <row r="329" customFormat="false" ht="15" hidden="false" customHeight="false" outlineLevel="0" collapsed="false">
      <c r="A329" s="0" t="s">
        <v>983</v>
      </c>
      <c r="B329" s="0" t="n">
        <v>139856.664108146</v>
      </c>
      <c r="C329" s="0" t="n">
        <v>954391.576517467</v>
      </c>
      <c r="D329" s="0" t="n">
        <f aca="false">IF(B329&gt;C329,1,0)</f>
        <v>0</v>
      </c>
    </row>
    <row r="330" customFormat="false" ht="15" hidden="false" customHeight="false" outlineLevel="0" collapsed="false">
      <c r="A330" s="0" t="s">
        <v>984</v>
      </c>
      <c r="B330" s="0" t="n">
        <v>-782407.260983205</v>
      </c>
      <c r="C330" s="0" t="n">
        <v>1001563.74833684</v>
      </c>
      <c r="D330" s="0" t="n">
        <f aca="false">IF(B330&gt;C330,1,0)</f>
        <v>0</v>
      </c>
    </row>
    <row r="331" customFormat="false" ht="15" hidden="false" customHeight="false" outlineLevel="0" collapsed="false">
      <c r="A331" s="0" t="s">
        <v>985</v>
      </c>
      <c r="B331" s="0" t="n">
        <v>-212560.183980787</v>
      </c>
      <c r="C331" s="0" t="n">
        <v>1048134.04912606</v>
      </c>
      <c r="D331" s="0" t="n">
        <f aca="false">IF(B331&gt;C331,1,0)</f>
        <v>0</v>
      </c>
    </row>
    <row r="332" customFormat="false" ht="15" hidden="false" customHeight="false" outlineLevel="0" collapsed="false">
      <c r="A332" s="0" t="s">
        <v>986</v>
      </c>
      <c r="B332" s="0" t="n">
        <v>847.667147910688</v>
      </c>
      <c r="C332" s="0" t="n">
        <v>1055108.32292006</v>
      </c>
      <c r="D332" s="0" t="n">
        <f aca="false">IF(B332&gt;C332,1,0)</f>
        <v>0</v>
      </c>
    </row>
    <row r="333" customFormat="false" ht="15" hidden="false" customHeight="false" outlineLevel="0" collapsed="false">
      <c r="A333" s="0" t="s">
        <v>987</v>
      </c>
      <c r="B333" s="0" t="n">
        <v>896069.652127815</v>
      </c>
      <c r="C333" s="0" t="n">
        <v>1045705.64864506</v>
      </c>
      <c r="D333" s="0" t="n">
        <f aca="false">IF(B333&gt;C333,1,0)</f>
        <v>0</v>
      </c>
    </row>
    <row r="334" customFormat="false" ht="15" hidden="false" customHeight="false" outlineLevel="0" collapsed="false">
      <c r="A334" s="0" t="s">
        <v>988</v>
      </c>
      <c r="B334" s="0" t="n">
        <v>672087.883287967</v>
      </c>
      <c r="C334" s="0" t="n">
        <v>1057792.33854373</v>
      </c>
      <c r="D334" s="0" t="n">
        <f aca="false">IF(B334&gt;C334,1,0)</f>
        <v>0</v>
      </c>
    </row>
    <row r="335" customFormat="false" ht="15" hidden="false" customHeight="false" outlineLevel="0" collapsed="false">
      <c r="A335" s="0" t="s">
        <v>623</v>
      </c>
      <c r="B335" s="0" t="n">
        <v>-61353.9088821076</v>
      </c>
      <c r="C335" s="0" t="n">
        <v>1061412.08754876</v>
      </c>
      <c r="D335" s="0" t="n">
        <f aca="false">IF(B335&gt;C335,1,0)</f>
        <v>0</v>
      </c>
    </row>
    <row r="336" customFormat="false" ht="15" hidden="false" customHeight="false" outlineLevel="0" collapsed="false">
      <c r="A336" s="0" t="s">
        <v>989</v>
      </c>
      <c r="B336" s="0" t="n">
        <v>-754229.412612273</v>
      </c>
      <c r="C336" s="0" t="n">
        <v>1076168.97703748</v>
      </c>
      <c r="D336" s="0" t="n">
        <f aca="false">IF(B336&gt;C336,1,0)</f>
        <v>0</v>
      </c>
    </row>
    <row r="337" customFormat="false" ht="15" hidden="false" customHeight="false" outlineLevel="0" collapsed="false">
      <c r="A337" s="0" t="s">
        <v>990</v>
      </c>
      <c r="B337" s="0" t="n">
        <v>-1572154.2567393</v>
      </c>
      <c r="C337" s="0" t="n">
        <v>1106650.84925142</v>
      </c>
      <c r="D337" s="0" t="n">
        <f aca="false">IF(B337&gt;C337,1,0)</f>
        <v>0</v>
      </c>
    </row>
    <row r="338" customFormat="false" ht="15" hidden="false" customHeight="false" outlineLevel="0" collapsed="false">
      <c r="A338" s="0" t="s">
        <v>991</v>
      </c>
      <c r="B338" s="0" t="n">
        <v>-1501817.545519</v>
      </c>
      <c r="C338" s="0" t="n">
        <v>1119673.3295827</v>
      </c>
      <c r="D338" s="0" t="n">
        <f aca="false">IF(B338&gt;C338,1,0)</f>
        <v>0</v>
      </c>
    </row>
    <row r="339" customFormat="false" ht="15" hidden="false" customHeight="false" outlineLevel="0" collapsed="false">
      <c r="A339" s="0" t="s">
        <v>992</v>
      </c>
      <c r="B339" s="0" t="n">
        <v>-407988.140201921</v>
      </c>
      <c r="C339" s="0" t="n">
        <v>1126566.91082314</v>
      </c>
      <c r="D339" s="0" t="n">
        <f aca="false">IF(B339&gt;C339,1,0)</f>
        <v>0</v>
      </c>
    </row>
    <row r="340" customFormat="false" ht="15" hidden="false" customHeight="false" outlineLevel="0" collapsed="false">
      <c r="A340" s="0" t="s">
        <v>993</v>
      </c>
      <c r="B340" s="0" t="n">
        <v>-803210.935646014</v>
      </c>
      <c r="C340" s="0" t="n">
        <v>1124085.34171894</v>
      </c>
      <c r="D340" s="0" t="n">
        <f aca="false">IF(B340&gt;C340,1,0)</f>
        <v>0</v>
      </c>
    </row>
    <row r="341" customFormat="false" ht="15" hidden="false" customHeight="false" outlineLevel="0" collapsed="false">
      <c r="A341" s="0" t="s">
        <v>994</v>
      </c>
      <c r="B341" s="0" t="n">
        <v>-320044.337617315</v>
      </c>
      <c r="C341" s="0" t="n">
        <v>1165021.30654672</v>
      </c>
      <c r="D341" s="0" t="n">
        <f aca="false">IF(B341&gt;C341,1,0)</f>
        <v>0</v>
      </c>
    </row>
    <row r="342" customFormat="false" ht="15" hidden="false" customHeight="false" outlineLevel="0" collapsed="false">
      <c r="A342" s="0" t="s">
        <v>995</v>
      </c>
      <c r="B342" s="0" t="n">
        <v>-1372533.62236854</v>
      </c>
      <c r="C342" s="0" t="n">
        <v>1129389.32228463</v>
      </c>
      <c r="D342" s="0" t="n">
        <f aca="false">IF(B342&gt;C342,1,0)</f>
        <v>0</v>
      </c>
    </row>
    <row r="343" customFormat="false" ht="15" hidden="false" customHeight="false" outlineLevel="0" collapsed="false">
      <c r="A343" s="0" t="s">
        <v>996</v>
      </c>
      <c r="B343" s="0" t="n">
        <v>-371080.356279871</v>
      </c>
      <c r="C343" s="0" t="n">
        <v>1119577.79913649</v>
      </c>
      <c r="D343" s="0" t="n">
        <f aca="false">IF(B343&gt;C343,1,0)</f>
        <v>0</v>
      </c>
    </row>
    <row r="344" customFormat="false" ht="15" hidden="false" customHeight="false" outlineLevel="0" collapsed="false">
      <c r="A344" s="0" t="s">
        <v>997</v>
      </c>
      <c r="B344" s="0" t="n">
        <v>-65567.2003182676</v>
      </c>
      <c r="C344" s="0" t="n">
        <v>1101235.72287723</v>
      </c>
      <c r="D344" s="0" t="n">
        <f aca="false">IF(B344&gt;C344,1,0)</f>
        <v>0</v>
      </c>
    </row>
    <row r="345" customFormat="false" ht="15" hidden="false" customHeight="false" outlineLevel="0" collapsed="false">
      <c r="A345" s="0" t="s">
        <v>625</v>
      </c>
      <c r="B345" s="0" t="n">
        <v>122952.58776857</v>
      </c>
      <c r="C345" s="0" t="n">
        <v>1120496.98791312</v>
      </c>
      <c r="D345" s="0" t="n">
        <f aca="false">IF(B345&gt;C345,1,0)</f>
        <v>0</v>
      </c>
    </row>
    <row r="346" customFormat="false" ht="15" hidden="false" customHeight="false" outlineLevel="0" collapsed="false">
      <c r="A346" s="0" t="s">
        <v>998</v>
      </c>
      <c r="B346" s="0" t="n">
        <v>163953.309657397</v>
      </c>
      <c r="C346" s="0" t="n">
        <v>1119747.29733594</v>
      </c>
      <c r="D346" s="0" t="n">
        <f aca="false">IF(B346&gt;C346,1,0)</f>
        <v>0</v>
      </c>
    </row>
    <row r="347" customFormat="false" ht="15" hidden="false" customHeight="false" outlineLevel="0" collapsed="false">
      <c r="A347" s="0" t="s">
        <v>999</v>
      </c>
      <c r="B347" s="0" t="n">
        <v>-25086.1331314221</v>
      </c>
      <c r="C347" s="0" t="n">
        <v>1108183.68194794</v>
      </c>
      <c r="D347" s="0" t="n">
        <f aca="false">IF(B347&gt;C347,1,0)</f>
        <v>0</v>
      </c>
    </row>
    <row r="348" customFormat="false" ht="15" hidden="false" customHeight="false" outlineLevel="0" collapsed="false">
      <c r="A348" s="0" t="s">
        <v>1000</v>
      </c>
      <c r="B348" s="0" t="n">
        <v>-67868.1798824165</v>
      </c>
      <c r="C348" s="0" t="n">
        <v>1105988.80218944</v>
      </c>
      <c r="D348" s="0" t="n">
        <f aca="false">IF(B348&gt;C348,1,0)</f>
        <v>0</v>
      </c>
    </row>
    <row r="349" customFormat="false" ht="15" hidden="false" customHeight="false" outlineLevel="0" collapsed="false">
      <c r="A349" s="0" t="s">
        <v>1001</v>
      </c>
      <c r="B349" s="0" t="n">
        <v>110036.343327347</v>
      </c>
      <c r="C349" s="0" t="n">
        <v>1104051.72218318</v>
      </c>
      <c r="D349" s="0" t="n">
        <f aca="false">IF(B349&gt;C349,1,0)</f>
        <v>0</v>
      </c>
    </row>
    <row r="350" customFormat="false" ht="15" hidden="false" customHeight="false" outlineLevel="0" collapsed="false">
      <c r="A350" s="0" t="s">
        <v>1002</v>
      </c>
      <c r="B350" s="0" t="n">
        <v>262553.786821067</v>
      </c>
      <c r="C350" s="0" t="n">
        <v>1101754.0771224</v>
      </c>
      <c r="D350" s="0" t="n">
        <f aca="false">IF(B350&gt;C350,1,0)</f>
        <v>0</v>
      </c>
    </row>
    <row r="351" customFormat="false" ht="15" hidden="false" customHeight="false" outlineLevel="0" collapsed="false">
      <c r="A351" s="0" t="s">
        <v>1003</v>
      </c>
      <c r="B351" s="0" t="n">
        <v>-436457.990259204</v>
      </c>
      <c r="C351" s="0" t="n">
        <v>1103747.39666662</v>
      </c>
      <c r="D351" s="0" t="n">
        <f aca="false">IF(B351&gt;C351,1,0)</f>
        <v>0</v>
      </c>
    </row>
    <row r="352" customFormat="false" ht="15" hidden="false" customHeight="false" outlineLevel="0" collapsed="false">
      <c r="A352" s="0" t="s">
        <v>1004</v>
      </c>
      <c r="B352" s="0" t="n">
        <v>-53189.77349733</v>
      </c>
      <c r="C352" s="0" t="n">
        <v>1111651.9802503</v>
      </c>
      <c r="D352" s="0" t="n">
        <f aca="false">IF(B352&gt;C352,1,0)</f>
        <v>0</v>
      </c>
    </row>
    <row r="353" customFormat="false" ht="15" hidden="false" customHeight="false" outlineLevel="0" collapsed="false">
      <c r="A353" s="0" t="s">
        <v>1005</v>
      </c>
      <c r="B353" s="0" t="n">
        <v>63065.8473123033</v>
      </c>
      <c r="C353" s="0" t="n">
        <v>1102023.11376553</v>
      </c>
      <c r="D353" s="0" t="n">
        <f aca="false">IF(B353&gt;C353,1,0)</f>
        <v>0</v>
      </c>
    </row>
    <row r="354" customFormat="false" ht="15" hidden="false" customHeight="false" outlineLevel="0" collapsed="false">
      <c r="A354" s="0" t="s">
        <v>1006</v>
      </c>
      <c r="B354" s="0" t="n">
        <v>-220288.048983365</v>
      </c>
      <c r="C354" s="0" t="n">
        <v>1097444.83017708</v>
      </c>
      <c r="D354" s="0" t="n">
        <f aca="false">IF(B354&gt;C354,1,0)</f>
        <v>0</v>
      </c>
    </row>
    <row r="355" customFormat="false" ht="15" hidden="false" customHeight="false" outlineLevel="0" collapsed="false">
      <c r="A355" s="0" t="s">
        <v>627</v>
      </c>
      <c r="B355" s="0" t="n">
        <v>37617.234171208</v>
      </c>
      <c r="C355" s="0" t="n">
        <v>1089439.02849742</v>
      </c>
      <c r="D355" s="0" t="n">
        <f aca="false">IF(B355&gt;C355,1,0)</f>
        <v>0</v>
      </c>
    </row>
    <row r="356" customFormat="false" ht="15" hidden="false" customHeight="false" outlineLevel="0" collapsed="false">
      <c r="A356" s="0" t="s">
        <v>1007</v>
      </c>
      <c r="B356" s="0" t="n">
        <v>300061.082170483</v>
      </c>
      <c r="C356" s="0" t="n">
        <v>1088217.9679572</v>
      </c>
      <c r="D356" s="0" t="n">
        <f aca="false">IF(B356&gt;C356,1,0)</f>
        <v>0</v>
      </c>
    </row>
    <row r="357" customFormat="false" ht="15" hidden="false" customHeight="false" outlineLevel="0" collapsed="false">
      <c r="A357" s="0" t="s">
        <v>1008</v>
      </c>
      <c r="B357" s="0" t="n">
        <v>29987.7976421546</v>
      </c>
      <c r="C357" s="0" t="n">
        <v>1087901.1716983</v>
      </c>
      <c r="D357" s="0" t="n">
        <f aca="false">IF(B357&gt;C357,1,0)</f>
        <v>0</v>
      </c>
    </row>
    <row r="358" customFormat="false" ht="15" hidden="false" customHeight="false" outlineLevel="0" collapsed="false">
      <c r="A358" s="0" t="s">
        <v>1009</v>
      </c>
      <c r="B358" s="0" t="n">
        <v>-405936.691575509</v>
      </c>
      <c r="C358" s="0" t="n">
        <v>1111441.70836633</v>
      </c>
      <c r="D358" s="0" t="n">
        <f aca="false">IF(B358&gt;C358,1,0)</f>
        <v>0</v>
      </c>
    </row>
    <row r="359" customFormat="false" ht="15" hidden="false" customHeight="false" outlineLevel="0" collapsed="false">
      <c r="A359" s="0" t="s">
        <v>1010</v>
      </c>
      <c r="B359" s="0" t="n">
        <v>-591413.767234327</v>
      </c>
      <c r="C359" s="0" t="n">
        <v>1090393.14238747</v>
      </c>
      <c r="D359" s="0" t="n">
        <f aca="false">IF(B359&gt;C359,1,0)</f>
        <v>0</v>
      </c>
    </row>
    <row r="360" customFormat="false" ht="15" hidden="false" customHeight="false" outlineLevel="0" collapsed="false">
      <c r="A360" s="0" t="s">
        <v>1011</v>
      </c>
      <c r="B360" s="0" t="n">
        <v>-77019.4112106394</v>
      </c>
      <c r="C360" s="0" t="n">
        <v>1099142.76957992</v>
      </c>
      <c r="D360" s="0" t="n">
        <f aca="false">IF(B360&gt;C360,1,0)</f>
        <v>0</v>
      </c>
    </row>
    <row r="361" customFormat="false" ht="15" hidden="false" customHeight="false" outlineLevel="0" collapsed="false">
      <c r="A361" s="0" t="s">
        <v>1012</v>
      </c>
      <c r="B361" s="0" t="n">
        <v>-155866.290582588</v>
      </c>
      <c r="C361" s="0" t="n">
        <v>1093223.09201398</v>
      </c>
      <c r="D361" s="0" t="n">
        <f aca="false">IF(B361&gt;C361,1,0)</f>
        <v>0</v>
      </c>
    </row>
    <row r="362" customFormat="false" ht="15" hidden="false" customHeight="false" outlineLevel="0" collapsed="false">
      <c r="A362" s="0" t="s">
        <v>1013</v>
      </c>
      <c r="B362" s="0" t="n">
        <v>270017.402510002</v>
      </c>
      <c r="C362" s="0" t="n">
        <v>1099128.20742636</v>
      </c>
      <c r="D362" s="0" t="n">
        <f aca="false">IF(B362&gt;C362,1,0)</f>
        <v>0</v>
      </c>
    </row>
    <row r="363" customFormat="false" ht="15" hidden="false" customHeight="false" outlineLevel="0" collapsed="false">
      <c r="A363" s="0" t="s">
        <v>1014</v>
      </c>
      <c r="B363" s="0" t="n">
        <v>480537.400749123</v>
      </c>
      <c r="C363" s="0" t="n">
        <v>1115260.85445865</v>
      </c>
      <c r="D363" s="0" t="n">
        <f aca="false">IF(B363&gt;C363,1,0)</f>
        <v>0</v>
      </c>
    </row>
    <row r="364" customFormat="false" ht="15" hidden="false" customHeight="false" outlineLevel="0" collapsed="false">
      <c r="A364" s="0" t="s">
        <v>1015</v>
      </c>
      <c r="B364" s="0" t="n">
        <v>166214.26104711</v>
      </c>
      <c r="C364" s="0" t="n">
        <v>1105758.57548736</v>
      </c>
      <c r="D364" s="0" t="n">
        <f aca="false">IF(B364&gt;C364,1,0)</f>
        <v>0</v>
      </c>
    </row>
    <row r="365" customFormat="false" ht="15" hidden="false" customHeight="false" outlineLevel="0" collapsed="false">
      <c r="A365" s="0" t="s">
        <v>629</v>
      </c>
      <c r="B365" s="0" t="n">
        <v>144708.649710551</v>
      </c>
      <c r="C365" s="0" t="n">
        <v>1129707.42316406</v>
      </c>
      <c r="D365" s="0" t="n">
        <f aca="false">IF(B365&gt;C365,1,0)</f>
        <v>0</v>
      </c>
    </row>
    <row r="366" customFormat="false" ht="15" hidden="false" customHeight="false" outlineLevel="0" collapsed="false">
      <c r="A366" s="0" t="s">
        <v>1016</v>
      </c>
      <c r="B366" s="0" t="n">
        <v>-99842.269074766</v>
      </c>
      <c r="C366" s="0" t="n">
        <v>1112976.42712445</v>
      </c>
      <c r="D366" s="0" t="n">
        <f aca="false">IF(B366&gt;C366,1,0)</f>
        <v>0</v>
      </c>
    </row>
    <row r="367" customFormat="false" ht="15" hidden="false" customHeight="false" outlineLevel="0" collapsed="false">
      <c r="A367" s="0" t="s">
        <v>1017</v>
      </c>
      <c r="B367" s="0" t="n">
        <v>87815.3754403945</v>
      </c>
      <c r="C367" s="0" t="n">
        <v>1097657.04094339</v>
      </c>
      <c r="D367" s="0" t="n">
        <f aca="false">IF(B367&gt;C367,1,0)</f>
        <v>0</v>
      </c>
    </row>
    <row r="368" customFormat="false" ht="15" hidden="false" customHeight="false" outlineLevel="0" collapsed="false">
      <c r="A368" s="0" t="s">
        <v>1018</v>
      </c>
      <c r="B368" s="0" t="n">
        <v>-333712.526527753</v>
      </c>
      <c r="C368" s="0" t="n">
        <v>1088207.8536837</v>
      </c>
      <c r="D368" s="0" t="n">
        <f aca="false">IF(B368&gt;C368,1,0)</f>
        <v>0</v>
      </c>
    </row>
    <row r="369" customFormat="false" ht="15" hidden="false" customHeight="false" outlineLevel="0" collapsed="false">
      <c r="A369" s="0" t="s">
        <v>1019</v>
      </c>
      <c r="B369" s="0" t="n">
        <v>17751.6390139237</v>
      </c>
      <c r="C369" s="0" t="n">
        <v>1121856.01007038</v>
      </c>
      <c r="D369" s="0" t="n">
        <f aca="false">IF(B369&gt;C369,1,0)</f>
        <v>0</v>
      </c>
    </row>
    <row r="370" customFormat="false" ht="15" hidden="false" customHeight="false" outlineLevel="0" collapsed="false">
      <c r="A370" s="0" t="s">
        <v>1020</v>
      </c>
      <c r="B370" s="0" t="n">
        <v>176926.390939748</v>
      </c>
      <c r="C370" s="0" t="n">
        <v>1109686.30018265</v>
      </c>
      <c r="D370" s="0" t="n">
        <f aca="false">IF(B370&gt;C370,1,0)</f>
        <v>0</v>
      </c>
    </row>
    <row r="371" customFormat="false" ht="15" hidden="false" customHeight="false" outlineLevel="0" collapsed="false">
      <c r="A371" s="0" t="s">
        <v>1021</v>
      </c>
      <c r="B371" s="0" t="n">
        <v>188962.745025123</v>
      </c>
      <c r="C371" s="0" t="n">
        <v>1103719.269257</v>
      </c>
      <c r="D371" s="0" t="n">
        <f aca="false">IF(B371&gt;C371,1,0)</f>
        <v>0</v>
      </c>
    </row>
    <row r="372" customFormat="false" ht="15" hidden="false" customHeight="false" outlineLevel="0" collapsed="false">
      <c r="A372" s="0" t="s">
        <v>1022</v>
      </c>
      <c r="B372" s="0" t="n">
        <v>42670.9905595761</v>
      </c>
      <c r="C372" s="0" t="n">
        <v>1094943.94669484</v>
      </c>
      <c r="D372" s="0" t="n">
        <f aca="false">IF(B372&gt;C372,1,0)</f>
        <v>0</v>
      </c>
    </row>
    <row r="373" customFormat="false" ht="15" hidden="false" customHeight="false" outlineLevel="0" collapsed="false">
      <c r="A373" s="0" t="s">
        <v>1023</v>
      </c>
      <c r="B373" s="0" t="n">
        <v>228439.658006422</v>
      </c>
      <c r="C373" s="0" t="n">
        <v>1101511.02793084</v>
      </c>
      <c r="D373" s="0" t="n">
        <f aca="false">IF(B373&gt;C373,1,0)</f>
        <v>0</v>
      </c>
    </row>
    <row r="374" customFormat="false" ht="15" hidden="false" customHeight="false" outlineLevel="0" collapsed="false">
      <c r="A374" s="0" t="s">
        <v>1024</v>
      </c>
      <c r="B374" s="0" t="n">
        <v>-169598.980698114</v>
      </c>
      <c r="C374" s="0" t="n">
        <v>1110904.65407939</v>
      </c>
      <c r="D374" s="0" t="n">
        <f aca="false">IF(B374&gt;C374,1,0)</f>
        <v>0</v>
      </c>
    </row>
    <row r="375" customFormat="false" ht="15" hidden="false" customHeight="false" outlineLevel="0" collapsed="false">
      <c r="A375" s="0" t="s">
        <v>631</v>
      </c>
      <c r="B375" s="0" t="n">
        <v>135623.578968301</v>
      </c>
      <c r="C375" s="0" t="n">
        <v>1130928.45220545</v>
      </c>
      <c r="D375" s="0" t="n">
        <f aca="false">IF(B375&gt;C375,1,0)</f>
        <v>0</v>
      </c>
    </row>
    <row r="376" customFormat="false" ht="15" hidden="false" customHeight="false" outlineLevel="0" collapsed="false">
      <c r="A376" s="0" t="s">
        <v>1025</v>
      </c>
      <c r="B376" s="0" t="n">
        <v>111183.845509142</v>
      </c>
      <c r="C376" s="0" t="n">
        <v>1127868.29129584</v>
      </c>
      <c r="D376" s="0" t="n">
        <f aca="false">IF(B376&gt;C376,1,0)</f>
        <v>0</v>
      </c>
    </row>
    <row r="377" customFormat="false" ht="15" hidden="false" customHeight="false" outlineLevel="0" collapsed="false">
      <c r="A377" s="0" t="s">
        <v>1026</v>
      </c>
      <c r="B377" s="0" t="n">
        <v>-189865.815102635</v>
      </c>
      <c r="C377" s="0" t="n">
        <v>1138622.81592282</v>
      </c>
      <c r="D377" s="0" t="n">
        <f aca="false">IF(B377&gt;C377,1,0)</f>
        <v>0</v>
      </c>
    </row>
    <row r="378" customFormat="false" ht="15" hidden="false" customHeight="false" outlineLevel="0" collapsed="false">
      <c r="A378" s="0" t="s">
        <v>1027</v>
      </c>
      <c r="B378" s="0" t="n">
        <v>240753.003596799</v>
      </c>
      <c r="C378" s="0" t="n">
        <v>1204613.12755284</v>
      </c>
      <c r="D378" s="0" t="n">
        <f aca="false">IF(B378&gt;C378,1,0)</f>
        <v>0</v>
      </c>
    </row>
    <row r="379" customFormat="false" ht="15" hidden="false" customHeight="false" outlineLevel="0" collapsed="false">
      <c r="A379" s="0" t="s">
        <v>1028</v>
      </c>
      <c r="B379" s="0" t="n">
        <v>3142760.90120605</v>
      </c>
      <c r="C379" s="0" t="n">
        <v>1200472.04005555</v>
      </c>
      <c r="D379" s="0" t="n">
        <f aca="false">IF(B379&gt;C379,1,0)</f>
        <v>1</v>
      </c>
    </row>
    <row r="380" customFormat="false" ht="15" hidden="false" customHeight="false" outlineLevel="0" collapsed="false">
      <c r="A380" s="0" t="s">
        <v>1029</v>
      </c>
      <c r="B380" s="0" t="n">
        <v>146684.823623277</v>
      </c>
      <c r="C380" s="0" t="n">
        <v>1188908.57247021</v>
      </c>
      <c r="D380" s="0" t="n">
        <f aca="false">IF(B380&gt;C380,1,0)</f>
        <v>0</v>
      </c>
    </row>
    <row r="381" customFormat="false" ht="15" hidden="false" customHeight="false" outlineLevel="0" collapsed="false">
      <c r="A381" s="0" t="s">
        <v>1030</v>
      </c>
      <c r="B381" s="0" t="n">
        <v>200437.502615669</v>
      </c>
      <c r="C381" s="0" t="n">
        <v>1176137.84026436</v>
      </c>
      <c r="D381" s="0" t="n">
        <f aca="false">IF(B381&gt;C381,1,0)</f>
        <v>0</v>
      </c>
    </row>
    <row r="382" customFormat="false" ht="15" hidden="false" customHeight="false" outlineLevel="0" collapsed="false">
      <c r="A382" s="0" t="s">
        <v>1031</v>
      </c>
      <c r="B382" s="0" t="n">
        <v>-12866.1397493193</v>
      </c>
      <c r="C382" s="0" t="n">
        <v>1159743.28783859</v>
      </c>
      <c r="D382" s="0" t="n">
        <f aca="false">IF(B382&gt;C382,1,0)</f>
        <v>0</v>
      </c>
    </row>
    <row r="383" customFormat="false" ht="15" hidden="false" customHeight="false" outlineLevel="0" collapsed="false">
      <c r="A383" s="0" t="s">
        <v>1032</v>
      </c>
      <c r="B383" s="0" t="n">
        <v>-1565489.12291715</v>
      </c>
      <c r="C383" s="0" t="n">
        <v>1133670.01746671</v>
      </c>
      <c r="D383" s="0" t="n">
        <f aca="false">IF(B383&gt;C383,1,0)</f>
        <v>0</v>
      </c>
    </row>
    <row r="384" customFormat="false" ht="15" hidden="false" customHeight="false" outlineLevel="0" collapsed="false">
      <c r="A384" s="0" t="s">
        <v>1033</v>
      </c>
      <c r="B384" s="0" t="n">
        <v>-88774.4675509557</v>
      </c>
      <c r="C384" s="0" t="n">
        <v>1127778.6722626</v>
      </c>
      <c r="D384" s="0" t="n">
        <f aca="false">IF(B384&gt;C384,1,0)</f>
        <v>0</v>
      </c>
    </row>
    <row r="385" customFormat="false" ht="15" hidden="false" customHeight="false" outlineLevel="0" collapsed="false">
      <c r="A385" s="0" t="s">
        <v>633</v>
      </c>
      <c r="B385" s="0" t="n">
        <v>412295.083691551</v>
      </c>
      <c r="C385" s="0" t="n">
        <v>1088837.7699537</v>
      </c>
      <c r="D385" s="0" t="n">
        <f aca="false">IF(B385&gt;C385,1,0)</f>
        <v>0</v>
      </c>
    </row>
    <row r="386" customFormat="false" ht="15" hidden="false" customHeight="false" outlineLevel="0" collapsed="false">
      <c r="A386" s="0" t="s">
        <v>1034</v>
      </c>
      <c r="B386" s="0" t="n">
        <v>127176.00761534</v>
      </c>
      <c r="C386" s="0" t="n">
        <v>1107751.13015035</v>
      </c>
      <c r="D386" s="0" t="n">
        <f aca="false">IF(B386&gt;C386,1,0)</f>
        <v>0</v>
      </c>
    </row>
    <row r="387" customFormat="false" ht="15" hidden="false" customHeight="false" outlineLevel="0" collapsed="false">
      <c r="A387" s="0" t="s">
        <v>1035</v>
      </c>
      <c r="B387" s="0" t="n">
        <v>-273589.146449275</v>
      </c>
      <c r="C387" s="0" t="n">
        <v>1108730.28575185</v>
      </c>
      <c r="D387" s="0" t="n">
        <f aca="false">IF(B387&gt;C387,1,0)</f>
        <v>0</v>
      </c>
    </row>
    <row r="388" customFormat="false" ht="15" hidden="false" customHeight="false" outlineLevel="0" collapsed="false">
      <c r="A388" s="0" t="s">
        <v>1036</v>
      </c>
      <c r="B388" s="0" t="n">
        <v>-337186.135299444</v>
      </c>
      <c r="C388" s="0" t="n">
        <v>1118246.50473029</v>
      </c>
      <c r="D388" s="0" t="n">
        <f aca="false">IF(B388&gt;C388,1,0)</f>
        <v>0</v>
      </c>
    </row>
    <row r="389" customFormat="false" ht="15" hidden="false" customHeight="false" outlineLevel="0" collapsed="false">
      <c r="A389" s="0" t="s">
        <v>1037</v>
      </c>
      <c r="B389" s="0" t="n">
        <v>1451769.72065611</v>
      </c>
      <c r="C389" s="0" t="n">
        <v>1113668.69555929</v>
      </c>
      <c r="D389" s="0" t="n">
        <f aca="false">IF(B389&gt;C389,1,0)</f>
        <v>1</v>
      </c>
    </row>
    <row r="390" customFormat="false" ht="15" hidden="false" customHeight="false" outlineLevel="0" collapsed="false">
      <c r="A390" s="0" t="s">
        <v>1038</v>
      </c>
      <c r="B390" s="0" t="n">
        <v>30768.7904546782</v>
      </c>
      <c r="C390" s="0" t="n">
        <v>1133785.4588397</v>
      </c>
      <c r="D390" s="0" t="n">
        <f aca="false">IF(B390&gt;C390,1,0)</f>
        <v>0</v>
      </c>
    </row>
    <row r="391" customFormat="false" ht="15" hidden="false" customHeight="false" outlineLevel="0" collapsed="false">
      <c r="A391" s="0" t="s">
        <v>1039</v>
      </c>
      <c r="B391" s="0" t="n">
        <v>789873.139670763</v>
      </c>
      <c r="C391" s="0" t="n">
        <v>1112991.61554224</v>
      </c>
      <c r="D391" s="0" t="n">
        <f aca="false">IF(B391&gt;C391,1,0)</f>
        <v>0</v>
      </c>
    </row>
    <row r="392" customFormat="false" ht="15" hidden="false" customHeight="false" outlineLevel="0" collapsed="false">
      <c r="A392" s="0" t="s">
        <v>1040</v>
      </c>
      <c r="B392" s="0" t="n">
        <v>565562.509896687</v>
      </c>
      <c r="C392" s="0" t="n">
        <v>1081810.40024214</v>
      </c>
      <c r="D392" s="0" t="n">
        <f aca="false">IF(B392&gt;C392,1,0)</f>
        <v>0</v>
      </c>
    </row>
    <row r="393" customFormat="false" ht="15" hidden="false" customHeight="false" outlineLevel="0" collapsed="false">
      <c r="A393" s="0" t="s">
        <v>1041</v>
      </c>
      <c r="B393" s="0" t="n">
        <v>454754.958585402</v>
      </c>
      <c r="C393" s="0" t="n">
        <v>1123685.3936152</v>
      </c>
      <c r="D393" s="0" t="n">
        <f aca="false">IF(B393&gt;C393,1,0)</f>
        <v>0</v>
      </c>
    </row>
    <row r="394" customFormat="false" ht="15" hidden="false" customHeight="false" outlineLevel="0" collapsed="false">
      <c r="A394" s="0" t="s">
        <v>1042</v>
      </c>
      <c r="B394" s="0" t="n">
        <v>113739.796069418</v>
      </c>
      <c r="C394" s="0" t="n">
        <v>1117219.10748528</v>
      </c>
      <c r="D394" s="0" t="n">
        <f aca="false">IF(B394&gt;C394,1,0)</f>
        <v>0</v>
      </c>
    </row>
    <row r="395" customFormat="false" ht="15" hidden="false" customHeight="false" outlineLevel="0" collapsed="false">
      <c r="A395" s="0" t="s">
        <v>635</v>
      </c>
      <c r="B395" s="0" t="n">
        <v>16225.8909452739</v>
      </c>
      <c r="C395" s="0" t="n">
        <v>1110777.89594922</v>
      </c>
      <c r="D395" s="0" t="n">
        <f aca="false">IF(B395&gt;C395,1,0)</f>
        <v>0</v>
      </c>
    </row>
    <row r="396" customFormat="false" ht="15" hidden="false" customHeight="false" outlineLevel="0" collapsed="false">
      <c r="A396" s="0" t="s">
        <v>1043</v>
      </c>
      <c r="B396" s="0" t="n">
        <v>643843.738809081</v>
      </c>
      <c r="C396" s="0" t="n">
        <v>1115506.88154977</v>
      </c>
      <c r="D396" s="0" t="n">
        <f aca="false">IF(B396&gt;C396,1,0)</f>
        <v>0</v>
      </c>
    </row>
    <row r="397" customFormat="false" ht="15" hidden="false" customHeight="false" outlineLevel="0" collapsed="false">
      <c r="A397" s="0" t="s">
        <v>1044</v>
      </c>
      <c r="B397" s="0" t="n">
        <v>-10560.0878520249</v>
      </c>
      <c r="C397" s="0" t="n">
        <v>1121144.25225646</v>
      </c>
      <c r="D397" s="0" t="n">
        <f aca="false">IF(B397&gt;C397,1,0)</f>
        <v>0</v>
      </c>
    </row>
    <row r="398" customFormat="false" ht="15" hidden="false" customHeight="false" outlineLevel="0" collapsed="false">
      <c r="A398" s="0" t="s">
        <v>1045</v>
      </c>
      <c r="B398" s="0" t="n">
        <v>-191820.409852019</v>
      </c>
      <c r="C398" s="0" t="n">
        <v>1125656.17530037</v>
      </c>
      <c r="D398" s="0" t="n">
        <f aca="false">IF(B398&gt;C398,1,0)</f>
        <v>0</v>
      </c>
    </row>
    <row r="399" customFormat="false" ht="15" hidden="false" customHeight="false" outlineLevel="0" collapsed="false">
      <c r="A399" s="0" t="s">
        <v>1046</v>
      </c>
      <c r="B399" s="0" t="n">
        <v>-217576.309848629</v>
      </c>
      <c r="C399" s="0" t="n">
        <v>1136232.67527594</v>
      </c>
      <c r="D399" s="0" t="n">
        <f aca="false">IF(B399&gt;C399,1,0)</f>
        <v>0</v>
      </c>
    </row>
    <row r="400" customFormat="false" ht="15" hidden="false" customHeight="false" outlineLevel="0" collapsed="false">
      <c r="A400" s="0" t="s">
        <v>1047</v>
      </c>
      <c r="B400" s="0" t="n">
        <v>-96932.5747877541</v>
      </c>
      <c r="C400" s="0" t="n">
        <v>1117837.55552637</v>
      </c>
      <c r="D400" s="0" t="n">
        <f aca="false">IF(B400&gt;C400,1,0)</f>
        <v>0</v>
      </c>
    </row>
    <row r="401" customFormat="false" ht="15" hidden="false" customHeight="false" outlineLevel="0" collapsed="false">
      <c r="A401" s="0" t="s">
        <v>1048</v>
      </c>
      <c r="B401" s="0" t="n">
        <v>-308384.526254577</v>
      </c>
      <c r="C401" s="0" t="n">
        <v>1120601.73973788</v>
      </c>
      <c r="D401" s="0" t="n">
        <f aca="false">IF(B401&gt;C401,1,0)</f>
        <v>0</v>
      </c>
    </row>
    <row r="402" customFormat="false" ht="15" hidden="false" customHeight="false" outlineLevel="0" collapsed="false">
      <c r="A402" s="0" t="s">
        <v>1049</v>
      </c>
      <c r="B402" s="0" t="n">
        <v>282980.219361065</v>
      </c>
      <c r="C402" s="0" t="n">
        <v>1123931.18638441</v>
      </c>
      <c r="D402" s="0" t="n">
        <f aca="false">IF(B402&gt;C402,1,0)</f>
        <v>0</v>
      </c>
    </row>
    <row r="403" customFormat="false" ht="15" hidden="false" customHeight="false" outlineLevel="0" collapsed="false">
      <c r="A403" s="0" t="s">
        <v>1050</v>
      </c>
      <c r="B403" s="0" t="n">
        <v>-204337.083665348</v>
      </c>
      <c r="C403" s="0" t="n">
        <v>1120842.64343228</v>
      </c>
      <c r="D403" s="0" t="n">
        <f aca="false">IF(B403&gt;C403,1,0)</f>
        <v>0</v>
      </c>
    </row>
    <row r="404" customFormat="false" ht="15" hidden="false" customHeight="false" outlineLevel="0" collapsed="false">
      <c r="A404" s="0" t="s">
        <v>1051</v>
      </c>
      <c r="B404" s="0" t="n">
        <v>1297.58853592817</v>
      </c>
      <c r="C404" s="0" t="n">
        <v>1127569.72069748</v>
      </c>
      <c r="D404" s="0" t="n">
        <f aca="false">IF(B404&gt;C404,1,0)</f>
        <v>0</v>
      </c>
    </row>
    <row r="405" customFormat="false" ht="15" hidden="false" customHeight="false" outlineLevel="0" collapsed="false">
      <c r="A405" s="0" t="s">
        <v>636</v>
      </c>
      <c r="B405" s="0" t="n">
        <v>171355.936542308</v>
      </c>
      <c r="C405" s="0" t="n">
        <v>1132262.40046931</v>
      </c>
      <c r="D405" s="0" t="n">
        <f aca="false">IF(B405&gt;C405,1,0)</f>
        <v>0</v>
      </c>
    </row>
    <row r="406" customFormat="false" ht="15" hidden="false" customHeight="false" outlineLevel="0" collapsed="false">
      <c r="A406" s="0" t="s">
        <v>1052</v>
      </c>
      <c r="B406" s="0" t="n">
        <v>27935.5543226753</v>
      </c>
      <c r="C406" s="0" t="n">
        <v>1140499.16474266</v>
      </c>
      <c r="D406" s="0" t="n">
        <f aca="false">IF(B406&gt;C406,1,0)</f>
        <v>0</v>
      </c>
    </row>
    <row r="407" customFormat="false" ht="15" hidden="false" customHeight="false" outlineLevel="0" collapsed="false">
      <c r="A407" s="0" t="s">
        <v>1053</v>
      </c>
      <c r="B407" s="0" t="n">
        <v>-67259.9951794711</v>
      </c>
      <c r="C407" s="0" t="n">
        <v>1128809.60391363</v>
      </c>
      <c r="D407" s="0" t="n">
        <f aca="false">IF(B407&gt;C407,1,0)</f>
        <v>0</v>
      </c>
    </row>
    <row r="408" customFormat="false" ht="15" hidden="false" customHeight="false" outlineLevel="0" collapsed="false">
      <c r="A408" s="0" t="s">
        <v>1054</v>
      </c>
      <c r="B408" s="0" t="n">
        <v>-25850.9985875888</v>
      </c>
      <c r="C408" s="0" t="n">
        <v>1125360.86497312</v>
      </c>
      <c r="D408" s="0" t="n">
        <f aca="false">IF(B408&gt;C408,1,0)</f>
        <v>0</v>
      </c>
    </row>
    <row r="409" customFormat="false" ht="15" hidden="false" customHeight="false" outlineLevel="0" collapsed="false">
      <c r="A409" s="0" t="s">
        <v>1055</v>
      </c>
      <c r="B409" s="0" t="n">
        <v>196980.293014438</v>
      </c>
      <c r="C409" s="0" t="n">
        <v>1116059.12979567</v>
      </c>
      <c r="D409" s="0" t="n">
        <f aca="false">IF(B409&gt;C409,1,0)</f>
        <v>0</v>
      </c>
    </row>
    <row r="410" customFormat="false" ht="15" hidden="false" customHeight="false" outlineLevel="0" collapsed="false">
      <c r="A410" s="0" t="s">
        <v>1056</v>
      </c>
      <c r="B410" s="0" t="n">
        <v>-95134.8178433757</v>
      </c>
      <c r="C410" s="0" t="n">
        <v>1121259.41516226</v>
      </c>
      <c r="D410" s="0" t="n">
        <f aca="false">IF(B410&gt;C410,1,0)</f>
        <v>0</v>
      </c>
    </row>
    <row r="411" customFormat="false" ht="15" hidden="false" customHeight="false" outlineLevel="0" collapsed="false">
      <c r="A411" s="0" t="s">
        <v>1057</v>
      </c>
      <c r="B411" s="0" t="n">
        <v>228416.3546403</v>
      </c>
      <c r="C411" s="0" t="n">
        <v>1131507.70920693</v>
      </c>
      <c r="D411" s="0" t="n">
        <f aca="false">IF(B411&gt;C411,1,0)</f>
        <v>0</v>
      </c>
    </row>
    <row r="412" customFormat="false" ht="15" hidden="false" customHeight="false" outlineLevel="0" collapsed="false">
      <c r="A412" s="0" t="s">
        <v>1058</v>
      </c>
      <c r="B412" s="0" t="n">
        <v>184745.244296334</v>
      </c>
      <c r="C412" s="0" t="n">
        <v>1104098.87111781</v>
      </c>
      <c r="D412" s="0" t="n">
        <f aca="false">IF(B412&gt;C412,1,0)</f>
        <v>0</v>
      </c>
    </row>
    <row r="413" customFormat="false" ht="15" hidden="false" customHeight="false" outlineLevel="0" collapsed="false">
      <c r="A413" s="0" t="s">
        <v>1059</v>
      </c>
      <c r="B413" s="0" t="n">
        <v>285565.752446092</v>
      </c>
      <c r="C413" s="0" t="n">
        <v>1090818.37316336</v>
      </c>
      <c r="D413" s="0" t="n">
        <f aca="false">IF(B413&gt;C413,1,0)</f>
        <v>0</v>
      </c>
    </row>
    <row r="414" customFormat="false" ht="15" hidden="false" customHeight="false" outlineLevel="0" collapsed="false">
      <c r="A414" s="0" t="s">
        <v>1060</v>
      </c>
      <c r="B414" s="0" t="n">
        <v>30738.7365499768</v>
      </c>
      <c r="C414" s="0" t="n">
        <v>1083894.53781882</v>
      </c>
      <c r="D414" s="0" t="n">
        <f aca="false">IF(B414&gt;C414,1,0)</f>
        <v>0</v>
      </c>
    </row>
    <row r="415" customFormat="false" ht="15" hidden="false" customHeight="false" outlineLevel="0" collapsed="false">
      <c r="A415" s="0" t="s">
        <v>638</v>
      </c>
      <c r="B415" s="0" t="n">
        <v>-346771.230271981</v>
      </c>
      <c r="C415" s="0" t="n">
        <v>1077987.52920318</v>
      </c>
      <c r="D415" s="0" t="n">
        <f aca="false">IF(B415&gt;C415,1,0)</f>
        <v>0</v>
      </c>
    </row>
    <row r="416" customFormat="false" ht="15" hidden="false" customHeight="false" outlineLevel="0" collapsed="false">
      <c r="A416" s="0" t="s">
        <v>1061</v>
      </c>
      <c r="B416" s="0" t="n">
        <v>47503.5129668643</v>
      </c>
      <c r="C416" s="0" t="n">
        <v>1083616.91113107</v>
      </c>
      <c r="D416" s="0" t="n">
        <f aca="false">IF(B416&gt;C416,1,0)</f>
        <v>0</v>
      </c>
    </row>
    <row r="417" customFormat="false" ht="15" hidden="false" customHeight="false" outlineLevel="0" collapsed="false">
      <c r="A417" s="0" t="s">
        <v>1062</v>
      </c>
      <c r="B417" s="0" t="n">
        <v>265346.916521853</v>
      </c>
      <c r="C417" s="0" t="n">
        <v>1084728.78946506</v>
      </c>
      <c r="D417" s="0" t="n">
        <f aca="false">IF(B417&gt;C417,1,0)</f>
        <v>0</v>
      </c>
    </row>
    <row r="418" customFormat="false" ht="15" hidden="false" customHeight="false" outlineLevel="0" collapsed="false">
      <c r="A418" s="0" t="s">
        <v>1063</v>
      </c>
      <c r="B418" s="0" t="n">
        <v>108348.427706566</v>
      </c>
      <c r="C418" s="0" t="n">
        <v>1087770.05690136</v>
      </c>
      <c r="D418" s="0" t="n">
        <f aca="false">IF(B418&gt;C418,1,0)</f>
        <v>0</v>
      </c>
    </row>
    <row r="419" customFormat="false" ht="15" hidden="false" customHeight="false" outlineLevel="0" collapsed="false">
      <c r="A419" s="0" t="s">
        <v>1064</v>
      </c>
      <c r="B419" s="0" t="n">
        <v>-101032.195667221</v>
      </c>
      <c r="C419" s="0" t="n">
        <v>1086865.03063578</v>
      </c>
      <c r="D419" s="0" t="n">
        <f aca="false">IF(B419&gt;C419,1,0)</f>
        <v>0</v>
      </c>
    </row>
    <row r="420" customFormat="false" ht="15" hidden="false" customHeight="false" outlineLevel="0" collapsed="false">
      <c r="A420" s="0" t="s">
        <v>1065</v>
      </c>
      <c r="B420" s="0" t="n">
        <v>79025.6842170321</v>
      </c>
      <c r="C420" s="0" t="n">
        <v>1093999.9811509</v>
      </c>
      <c r="D420" s="0" t="n">
        <f aca="false">IF(B420&gt;C420,1,0)</f>
        <v>0</v>
      </c>
    </row>
    <row r="421" customFormat="false" ht="15" hidden="false" customHeight="false" outlineLevel="0" collapsed="false">
      <c r="A421" s="0" t="s">
        <v>1066</v>
      </c>
      <c r="B421" s="0" t="n">
        <v>-168947.943084202</v>
      </c>
      <c r="C421" s="0" t="n">
        <v>1096163.89573021</v>
      </c>
      <c r="D421" s="0" t="n">
        <f aca="false">IF(B421&gt;C421,1,0)</f>
        <v>0</v>
      </c>
    </row>
    <row r="422" customFormat="false" ht="15" hidden="false" customHeight="false" outlineLevel="0" collapsed="false">
      <c r="A422" s="0" t="s">
        <v>1067</v>
      </c>
      <c r="B422" s="0" t="n">
        <v>193915.70915787</v>
      </c>
      <c r="C422" s="0" t="n">
        <v>1107452.6727556</v>
      </c>
      <c r="D422" s="0" t="n">
        <f aca="false">IF(B422&gt;C422,1,0)</f>
        <v>0</v>
      </c>
    </row>
    <row r="423" customFormat="false" ht="15" hidden="false" customHeight="false" outlineLevel="0" collapsed="false">
      <c r="A423" s="0" t="s">
        <v>1068</v>
      </c>
      <c r="B423" s="0" t="n">
        <v>-283925.249722815</v>
      </c>
      <c r="C423" s="0" t="n">
        <v>1090441.71764668</v>
      </c>
      <c r="D423" s="0" t="n">
        <f aca="false">IF(B423&gt;C423,1,0)</f>
        <v>0</v>
      </c>
    </row>
    <row r="424" customFormat="false" ht="15" hidden="false" customHeight="false" outlineLevel="0" collapsed="false">
      <c r="A424" s="0" t="s">
        <v>1069</v>
      </c>
      <c r="B424" s="0" t="n">
        <v>-53667.7490158696</v>
      </c>
      <c r="C424" s="0" t="n">
        <v>1101516.98788119</v>
      </c>
      <c r="D424" s="0" t="n">
        <f aca="false">IF(B424&gt;C424,1,0)</f>
        <v>0</v>
      </c>
    </row>
    <row r="425" customFormat="false" ht="15" hidden="false" customHeight="false" outlineLevel="0" collapsed="false">
      <c r="A425" s="0" t="s">
        <v>640</v>
      </c>
      <c r="B425" s="0" t="n">
        <v>-119466.127206114</v>
      </c>
      <c r="C425" s="0" t="n">
        <v>1098965.12139453</v>
      </c>
      <c r="D425" s="0" t="n">
        <f aca="false">IF(B425&gt;C425,1,0)</f>
        <v>0</v>
      </c>
    </row>
    <row r="426" customFormat="false" ht="15" hidden="false" customHeight="false" outlineLevel="0" collapsed="false">
      <c r="A426" s="0" t="s">
        <v>1070</v>
      </c>
      <c r="B426" s="0" t="n">
        <v>221597.759987169</v>
      </c>
      <c r="C426" s="0" t="n">
        <v>1080766.48449189</v>
      </c>
      <c r="D426" s="0" t="n">
        <f aca="false">IF(B426&gt;C426,1,0)</f>
        <v>0</v>
      </c>
    </row>
    <row r="427" customFormat="false" ht="15" hidden="false" customHeight="false" outlineLevel="0" collapsed="false">
      <c r="A427" s="0" t="s">
        <v>1071</v>
      </c>
      <c r="B427" s="0" t="n">
        <v>-129533.52548462</v>
      </c>
      <c r="C427" s="0" t="n">
        <v>1092097.71764678</v>
      </c>
      <c r="D427" s="0" t="n">
        <f aca="false">IF(B427&gt;C427,1,0)</f>
        <v>0</v>
      </c>
    </row>
    <row r="428" customFormat="false" ht="15" hidden="false" customHeight="false" outlineLevel="0" collapsed="false">
      <c r="A428" s="0" t="s">
        <v>1072</v>
      </c>
      <c r="B428" s="0" t="n">
        <v>84553.4983269703</v>
      </c>
      <c r="C428" s="0" t="n">
        <v>1090451.0349115</v>
      </c>
      <c r="D428" s="0" t="n">
        <f aca="false">IF(B428&gt;C428,1,0)</f>
        <v>0</v>
      </c>
    </row>
    <row r="429" customFormat="false" ht="15" hidden="false" customHeight="false" outlineLevel="0" collapsed="false">
      <c r="A429" s="0" t="s">
        <v>1073</v>
      </c>
      <c r="B429" s="0" t="n">
        <v>-341595.801385914</v>
      </c>
      <c r="C429" s="0" t="n">
        <v>1080732.2031447</v>
      </c>
      <c r="D429" s="0" t="n">
        <f aca="false">IF(B429&gt;C429,1,0)</f>
        <v>0</v>
      </c>
    </row>
    <row r="430" customFormat="false" ht="15" hidden="false" customHeight="false" outlineLevel="0" collapsed="false">
      <c r="A430" s="0" t="s">
        <v>1074</v>
      </c>
      <c r="B430" s="0" t="n">
        <v>158931.20045588</v>
      </c>
      <c r="C430" s="0" t="n">
        <v>1095674.69725721</v>
      </c>
      <c r="D430" s="0" t="n">
        <f aca="false">IF(B430&gt;C430,1,0)</f>
        <v>0</v>
      </c>
    </row>
    <row r="431" customFormat="false" ht="15" hidden="false" customHeight="false" outlineLevel="0" collapsed="false">
      <c r="A431" s="0" t="s">
        <v>1075</v>
      </c>
      <c r="B431" s="0" t="n">
        <v>-90526.2403894579</v>
      </c>
      <c r="C431" s="0" t="n">
        <v>1095013.97684886</v>
      </c>
      <c r="D431" s="0" t="n">
        <f aca="false">IF(B431&gt;C431,1,0)</f>
        <v>0</v>
      </c>
    </row>
    <row r="432" customFormat="false" ht="15" hidden="false" customHeight="false" outlineLevel="0" collapsed="false">
      <c r="A432" s="0" t="s">
        <v>1076</v>
      </c>
      <c r="B432" s="0" t="n">
        <v>-30136.1564346184</v>
      </c>
      <c r="C432" s="0" t="n">
        <v>1094372.46510889</v>
      </c>
      <c r="D432" s="0" t="n">
        <f aca="false">IF(B432&gt;C432,1,0)</f>
        <v>0</v>
      </c>
    </row>
    <row r="433" customFormat="false" ht="15" hidden="false" customHeight="false" outlineLevel="0" collapsed="false">
      <c r="A433" s="0" t="s">
        <v>1077</v>
      </c>
      <c r="B433" s="0" t="n">
        <v>201943.032366504</v>
      </c>
      <c r="C433" s="0" t="n">
        <v>1012613.85126134</v>
      </c>
      <c r="D433" s="0" t="n">
        <f aca="false">IF(B433&gt;C433,1,0)</f>
        <v>0</v>
      </c>
    </row>
    <row r="434" customFormat="false" ht="15" hidden="false" customHeight="false" outlineLevel="0" collapsed="false">
      <c r="A434" s="0" t="s">
        <v>1078</v>
      </c>
      <c r="B434" s="0" t="n">
        <v>167265.451010013</v>
      </c>
      <c r="C434" s="0" t="n">
        <v>1031487.1542699</v>
      </c>
      <c r="D434" s="0" t="n">
        <f aca="false">IF(B434&gt;C434,1,0)</f>
        <v>0</v>
      </c>
    </row>
    <row r="435" customFormat="false" ht="15" hidden="false" customHeight="false" outlineLevel="0" collapsed="false">
      <c r="A435" s="0" t="s">
        <v>642</v>
      </c>
      <c r="B435" s="0" t="n">
        <v>-168268.759616293</v>
      </c>
      <c r="C435" s="0" t="n">
        <v>1019918.40579689</v>
      </c>
      <c r="D435" s="0" t="n">
        <f aca="false">IF(B435&gt;C435,1,0)</f>
        <v>0</v>
      </c>
    </row>
    <row r="436" customFormat="false" ht="15" hidden="false" customHeight="false" outlineLevel="0" collapsed="false">
      <c r="A436" s="0" t="s">
        <v>1079</v>
      </c>
      <c r="B436" s="0" t="n">
        <v>272662.001851291</v>
      </c>
      <c r="C436" s="0" t="n">
        <v>1018156.55491957</v>
      </c>
      <c r="D436" s="0" t="n">
        <f aca="false">IF(B436&gt;C436,1,0)</f>
        <v>0</v>
      </c>
    </row>
    <row r="437" customFormat="false" ht="15" hidden="false" customHeight="false" outlineLevel="0" collapsed="false">
      <c r="A437" s="0" t="s">
        <v>1080</v>
      </c>
      <c r="B437" s="0" t="n">
        <v>-691639.137001865</v>
      </c>
      <c r="C437" s="0" t="n">
        <v>1026537.33639378</v>
      </c>
      <c r="D437" s="0" t="n">
        <f aca="false">IF(B437&gt;C437,1,0)</f>
        <v>0</v>
      </c>
    </row>
    <row r="438" customFormat="false" ht="15" hidden="false" customHeight="false" outlineLevel="0" collapsed="false">
      <c r="A438" s="0" t="s">
        <v>1081</v>
      </c>
      <c r="B438" s="0" t="n">
        <v>255963.64519254</v>
      </c>
      <c r="C438" s="0" t="n">
        <v>1048361.15539969</v>
      </c>
      <c r="D438" s="0" t="n">
        <f aca="false">IF(B438&gt;C438,1,0)</f>
        <v>0</v>
      </c>
    </row>
    <row r="439" customFormat="false" ht="15" hidden="false" customHeight="false" outlineLevel="0" collapsed="false">
      <c r="A439" s="0" t="s">
        <v>1082</v>
      </c>
      <c r="B439" s="0" t="n">
        <v>262258.723416681</v>
      </c>
      <c r="C439" s="0" t="n">
        <v>1040914.32774619</v>
      </c>
      <c r="D439" s="0" t="n">
        <f aca="false">IF(B439&gt;C439,1,0)</f>
        <v>0</v>
      </c>
    </row>
    <row r="440" customFormat="false" ht="15" hidden="false" customHeight="false" outlineLevel="0" collapsed="false">
      <c r="A440" s="0" t="s">
        <v>1083</v>
      </c>
      <c r="B440" s="0" t="n">
        <v>178921.087501521</v>
      </c>
      <c r="C440" s="0" t="n">
        <v>993848.387654793</v>
      </c>
      <c r="D440" s="0" t="n">
        <f aca="false">IF(B440&gt;C440,1,0)</f>
        <v>0</v>
      </c>
    </row>
    <row r="441" customFormat="false" ht="15" hidden="false" customHeight="false" outlineLevel="0" collapsed="false">
      <c r="A441" s="0" t="s">
        <v>1084</v>
      </c>
      <c r="B441" s="0" t="n">
        <v>301408.141717529</v>
      </c>
      <c r="C441" s="0" t="n">
        <v>990525.237151736</v>
      </c>
      <c r="D441" s="0" t="n">
        <f aca="false">IF(B441&gt;C441,1,0)</f>
        <v>0</v>
      </c>
    </row>
    <row r="442" customFormat="false" ht="15" hidden="false" customHeight="false" outlineLevel="0" collapsed="false">
      <c r="A442" s="0" t="s">
        <v>1085</v>
      </c>
      <c r="B442" s="0" t="n">
        <v>13028.7942507407</v>
      </c>
      <c r="C442" s="0" t="n">
        <v>980659.896066238</v>
      </c>
      <c r="D442" s="0" t="n">
        <f aca="false">IF(B442&gt;C442,1,0)</f>
        <v>0</v>
      </c>
    </row>
    <row r="443" customFormat="false" ht="15" hidden="false" customHeight="false" outlineLevel="0" collapsed="false">
      <c r="A443" s="0" t="s">
        <v>1086</v>
      </c>
      <c r="B443" s="0" t="n">
        <v>197151.853213514</v>
      </c>
      <c r="C443" s="0" t="n">
        <v>974061.90102626</v>
      </c>
      <c r="D443" s="0" t="n">
        <f aca="false">IF(B443&gt;C443,1,0)</f>
        <v>0</v>
      </c>
    </row>
    <row r="444" customFormat="false" ht="15" hidden="false" customHeight="false" outlineLevel="0" collapsed="false">
      <c r="A444" s="0" t="s">
        <v>1087</v>
      </c>
      <c r="B444" s="0" t="n">
        <v>32874.4594637947</v>
      </c>
      <c r="C444" s="0" t="n">
        <v>961515.910894474</v>
      </c>
      <c r="D444" s="0" t="n">
        <f aca="false">IF(B444&gt;C444,1,0)</f>
        <v>0</v>
      </c>
    </row>
    <row r="445" customFormat="false" ht="15" hidden="false" customHeight="false" outlineLevel="0" collapsed="false">
      <c r="A445" s="0" t="s">
        <v>644</v>
      </c>
      <c r="B445" s="0" t="n">
        <v>-187745.83869979</v>
      </c>
      <c r="C445" s="0" t="n">
        <v>961752.059594449</v>
      </c>
      <c r="D445" s="0" t="n">
        <f aca="false">IF(B445&gt;C445,1,0)</f>
        <v>0</v>
      </c>
    </row>
    <row r="446" customFormat="false" ht="15" hidden="false" customHeight="false" outlineLevel="0" collapsed="false">
      <c r="A446" s="0" t="s">
        <v>1088</v>
      </c>
      <c r="B446" s="0" t="n">
        <v>578805.534396351</v>
      </c>
      <c r="C446" s="0" t="n">
        <v>965991.451972982</v>
      </c>
      <c r="D446" s="0" t="n">
        <f aca="false">IF(B446&gt;C446,1,0)</f>
        <v>0</v>
      </c>
    </row>
    <row r="447" customFormat="false" ht="15" hidden="false" customHeight="false" outlineLevel="0" collapsed="false">
      <c r="A447" s="0" t="s">
        <v>1089</v>
      </c>
      <c r="B447" s="0" t="n">
        <v>81206.4021369745</v>
      </c>
      <c r="C447" s="0" t="n">
        <v>953796.626223502</v>
      </c>
      <c r="D447" s="0" t="n">
        <f aca="false">IF(B447&gt;C447,1,0)</f>
        <v>0</v>
      </c>
    </row>
    <row r="448" customFormat="false" ht="15" hidden="false" customHeight="false" outlineLevel="0" collapsed="false">
      <c r="A448" s="0" t="s">
        <v>1090</v>
      </c>
      <c r="B448" s="0" t="n">
        <v>28672.3936991594</v>
      </c>
      <c r="C448" s="0" t="n">
        <v>947828.030739615</v>
      </c>
      <c r="D448" s="0" t="n">
        <f aca="false">IF(B448&gt;C448,1,0)</f>
        <v>0</v>
      </c>
    </row>
    <row r="449" customFormat="false" ht="15" hidden="false" customHeight="false" outlineLevel="0" collapsed="false">
      <c r="A449" s="0" t="s">
        <v>1091</v>
      </c>
      <c r="B449" s="0" t="n">
        <v>73262.0483102007</v>
      </c>
      <c r="C449" s="0" t="n">
        <v>947819.458240525</v>
      </c>
      <c r="D449" s="0" t="n">
        <f aca="false">IF(B449&gt;C449,1,0)</f>
        <v>0</v>
      </c>
    </row>
    <row r="450" customFormat="false" ht="15" hidden="false" customHeight="false" outlineLevel="0" collapsed="false">
      <c r="A450" s="0" t="s">
        <v>1092</v>
      </c>
      <c r="B450" s="0" t="n">
        <v>243073.230309743</v>
      </c>
      <c r="C450" s="0" t="n">
        <v>944755.626598022</v>
      </c>
      <c r="D450" s="0" t="n">
        <f aca="false">IF(B450&gt;C450,1,0)</f>
        <v>0</v>
      </c>
    </row>
    <row r="451" customFormat="false" ht="15" hidden="false" customHeight="false" outlineLevel="0" collapsed="false">
      <c r="A451" s="0" t="s">
        <v>1093</v>
      </c>
      <c r="B451" s="0" t="n">
        <v>-195072.488346792</v>
      </c>
      <c r="C451" s="0" t="n">
        <v>946012.704352892</v>
      </c>
      <c r="D451" s="0" t="n">
        <f aca="false">IF(B451&gt;C451,1,0)</f>
        <v>0</v>
      </c>
    </row>
    <row r="452" customFormat="false" ht="15" hidden="false" customHeight="false" outlineLevel="0" collapsed="false">
      <c r="A452" s="0" t="s">
        <v>1094</v>
      </c>
      <c r="B452" s="0" t="n">
        <v>-24026.5360583514</v>
      </c>
      <c r="C452" s="0" t="n">
        <v>933579.988569838</v>
      </c>
      <c r="D452" s="0" t="n">
        <f aca="false">IF(B452&gt;C452,1,0)</f>
        <v>0</v>
      </c>
    </row>
    <row r="453" customFormat="false" ht="15" hidden="false" customHeight="false" outlineLevel="0" collapsed="false">
      <c r="A453" s="0" t="s">
        <v>1095</v>
      </c>
      <c r="B453" s="0" t="n">
        <v>65780.8218212575</v>
      </c>
      <c r="C453" s="0" t="n">
        <v>947818.161370461</v>
      </c>
      <c r="D453" s="0" t="n">
        <f aca="false">IF(B453&gt;C453,1,0)</f>
        <v>0</v>
      </c>
    </row>
    <row r="454" customFormat="false" ht="15" hidden="false" customHeight="false" outlineLevel="0" collapsed="false">
      <c r="A454" s="0" t="s">
        <v>1096</v>
      </c>
      <c r="B454" s="0" t="n">
        <v>146343.927885067</v>
      </c>
      <c r="C454" s="0" t="n">
        <v>944695.367008285</v>
      </c>
      <c r="D454" s="0" t="n">
        <f aca="false">IF(B454&gt;C454,1,0)</f>
        <v>0</v>
      </c>
    </row>
    <row r="455" customFormat="false" ht="15" hidden="false" customHeight="false" outlineLevel="0" collapsed="false">
      <c r="A455" s="0" t="s">
        <v>646</v>
      </c>
      <c r="B455" s="0" t="n">
        <v>-201469.379760209</v>
      </c>
      <c r="C455" s="0" t="n">
        <v>944757.119360652</v>
      </c>
      <c r="D455" s="0" t="n">
        <f aca="false">IF(B455&gt;C455,1,0)</f>
        <v>0</v>
      </c>
    </row>
    <row r="456" customFormat="false" ht="15" hidden="false" customHeight="false" outlineLevel="0" collapsed="false">
      <c r="A456" s="0" t="s">
        <v>1097</v>
      </c>
      <c r="B456" s="0" t="n">
        <v>-209089.202670754</v>
      </c>
      <c r="C456" s="0" t="n">
        <v>948688.441457832</v>
      </c>
      <c r="D456" s="0" t="n">
        <f aca="false">IF(B456&gt;C456,1,0)</f>
        <v>0</v>
      </c>
    </row>
    <row r="457" customFormat="false" ht="15" hidden="false" customHeight="false" outlineLevel="0" collapsed="false">
      <c r="A457" s="0" t="s">
        <v>1098</v>
      </c>
      <c r="B457" s="0" t="n">
        <v>-844395.454561392</v>
      </c>
      <c r="C457" s="0" t="n">
        <v>948066.990461123</v>
      </c>
      <c r="D457" s="0" t="n">
        <f aca="false">IF(B457&gt;C457,1,0)</f>
        <v>0</v>
      </c>
    </row>
    <row r="458" customFormat="false" ht="15" hidden="false" customHeight="false" outlineLevel="0" collapsed="false">
      <c r="A458" s="0" t="s">
        <v>1099</v>
      </c>
      <c r="B458" s="0" t="n">
        <v>-503771.244257134</v>
      </c>
      <c r="C458" s="0" t="n">
        <v>934570.574441604</v>
      </c>
      <c r="D458" s="0" t="n">
        <f aca="false">IF(B458&gt;C458,1,0)</f>
        <v>0</v>
      </c>
    </row>
    <row r="459" customFormat="false" ht="15" hidden="false" customHeight="false" outlineLevel="0" collapsed="false">
      <c r="A459" s="0" t="s">
        <v>1100</v>
      </c>
      <c r="B459" s="0" t="n">
        <v>324392.921034535</v>
      </c>
      <c r="C459" s="0" t="n">
        <v>935740.873227226</v>
      </c>
      <c r="D459" s="0" t="n">
        <f aca="false">IF(B459&gt;C459,1,0)</f>
        <v>0</v>
      </c>
    </row>
    <row r="460" customFormat="false" ht="15" hidden="false" customHeight="false" outlineLevel="0" collapsed="false">
      <c r="A460" s="0" t="s">
        <v>1101</v>
      </c>
      <c r="B460" s="0" t="n">
        <v>-430990.775453481</v>
      </c>
      <c r="C460" s="0" t="n">
        <v>917993.865971655</v>
      </c>
      <c r="D460" s="0" t="n">
        <f aca="false">IF(B460&gt;C460,1,0)</f>
        <v>0</v>
      </c>
    </row>
    <row r="461" customFormat="false" ht="15" hidden="false" customHeight="false" outlineLevel="0" collapsed="false">
      <c r="A461" s="0" t="s">
        <v>1102</v>
      </c>
      <c r="B461" s="0" t="n">
        <v>33533.5278964238</v>
      </c>
      <c r="C461" s="0" t="n">
        <v>939568.478125854</v>
      </c>
      <c r="D461" s="0" t="n">
        <f aca="false">IF(B461&gt;C461,1,0)</f>
        <v>0</v>
      </c>
    </row>
    <row r="462" customFormat="false" ht="15" hidden="false" customHeight="false" outlineLevel="0" collapsed="false">
      <c r="A462" s="0" t="s">
        <v>1103</v>
      </c>
      <c r="B462" s="0" t="n">
        <v>746783.466006541</v>
      </c>
      <c r="C462" s="0" t="n">
        <v>924752.985492306</v>
      </c>
      <c r="D462" s="0" t="n">
        <f aca="false">IF(B462&gt;C462,1,0)</f>
        <v>0</v>
      </c>
    </row>
    <row r="463" customFormat="false" ht="15" hidden="false" customHeight="false" outlineLevel="0" collapsed="false">
      <c r="A463" s="0" t="s">
        <v>1104</v>
      </c>
      <c r="B463" s="0" t="n">
        <v>654696.684239834</v>
      </c>
      <c r="C463" s="0" t="n">
        <v>918520.229589067</v>
      </c>
      <c r="D463" s="0" t="n">
        <f aca="false">IF(B463&gt;C463,1,0)</f>
        <v>0</v>
      </c>
    </row>
    <row r="464" customFormat="false" ht="15" hidden="false" customHeight="false" outlineLevel="0" collapsed="false">
      <c r="A464" s="0" t="s">
        <v>1105</v>
      </c>
      <c r="B464" s="0" t="n">
        <v>831625.45827284</v>
      </c>
      <c r="C464" s="0" t="n">
        <v>902402.45975427</v>
      </c>
      <c r="D464" s="0" t="n">
        <f aca="false">IF(B464&gt;C464,1,0)</f>
        <v>0</v>
      </c>
    </row>
    <row r="465" customFormat="false" ht="15" hidden="false" customHeight="false" outlineLevel="0" collapsed="false">
      <c r="A465" s="0" t="s">
        <v>648</v>
      </c>
      <c r="B465" s="0" t="n">
        <v>68584.1251598045</v>
      </c>
      <c r="C465" s="0" t="n">
        <v>905465.774087489</v>
      </c>
      <c r="D465" s="0" t="n">
        <f aca="false">IF(B465&gt;C465,1,0)</f>
        <v>0</v>
      </c>
    </row>
    <row r="466" customFormat="false" ht="15" hidden="false" customHeight="false" outlineLevel="0" collapsed="false">
      <c r="A466" s="0" t="s">
        <v>1106</v>
      </c>
      <c r="B466" s="0" t="n">
        <v>645944.969851129</v>
      </c>
      <c r="C466" s="0" t="n">
        <v>901468.598173183</v>
      </c>
      <c r="D466" s="0" t="n">
        <f aca="false">IF(B466&gt;C466,1,0)</f>
        <v>0</v>
      </c>
    </row>
    <row r="467" customFormat="false" ht="15" hidden="false" customHeight="false" outlineLevel="0" collapsed="false">
      <c r="A467" s="0" t="s">
        <v>1107</v>
      </c>
      <c r="B467" s="0" t="n">
        <v>-214299.09030671</v>
      </c>
      <c r="C467" s="0" t="n">
        <v>916530.447748663</v>
      </c>
      <c r="D467" s="0" t="n">
        <f aca="false">IF(B467&gt;C467,1,0)</f>
        <v>0</v>
      </c>
    </row>
    <row r="468" customFormat="false" ht="15" hidden="false" customHeight="false" outlineLevel="0" collapsed="false">
      <c r="A468" s="0" t="s">
        <v>1108</v>
      </c>
      <c r="B468" s="0" t="n">
        <v>360140.781965698</v>
      </c>
      <c r="C468" s="0" t="n">
        <v>915915.027376625</v>
      </c>
      <c r="D468" s="0" t="n">
        <f aca="false">IF(B468&gt;C468,1,0)</f>
        <v>0</v>
      </c>
    </row>
    <row r="469" customFormat="false" ht="15" hidden="false" customHeight="false" outlineLevel="0" collapsed="false">
      <c r="A469" s="0" t="s">
        <v>1109</v>
      </c>
      <c r="B469" s="0" t="n">
        <v>665630.365410302</v>
      </c>
      <c r="C469" s="0" t="n">
        <v>929291.844286934</v>
      </c>
      <c r="D469" s="0" t="n">
        <f aca="false">IF(B469&gt;C469,1,0)</f>
        <v>0</v>
      </c>
    </row>
    <row r="470" customFormat="false" ht="15" hidden="false" customHeight="false" outlineLevel="0" collapsed="false">
      <c r="A470" s="0" t="s">
        <v>1110</v>
      </c>
      <c r="B470" s="0" t="n">
        <v>998940.617678748</v>
      </c>
      <c r="C470" s="0" t="n">
        <v>936115.897208573</v>
      </c>
      <c r="D470" s="0" t="n">
        <f aca="false">IF(B470&gt;C470,1,0)</f>
        <v>1</v>
      </c>
    </row>
    <row r="471" customFormat="false" ht="15" hidden="false" customHeight="false" outlineLevel="0" collapsed="false">
      <c r="A471" s="0" t="s">
        <v>1111</v>
      </c>
      <c r="B471" s="0" t="n">
        <v>114813.964058213</v>
      </c>
      <c r="C471" s="0" t="n">
        <v>947154.84139225</v>
      </c>
      <c r="D471" s="0" t="n">
        <f aca="false">IF(B471&gt;C471,1,0)</f>
        <v>0</v>
      </c>
    </row>
    <row r="472" customFormat="false" ht="15" hidden="false" customHeight="false" outlineLevel="0" collapsed="false">
      <c r="A472" s="0" t="s">
        <v>1112</v>
      </c>
      <c r="B472" s="0" t="n">
        <v>1330422.71633977</v>
      </c>
      <c r="C472" s="0" t="n">
        <v>918722.425428474</v>
      </c>
      <c r="D472" s="0" t="n">
        <f aca="false">IF(B472&gt;C472,1,0)</f>
        <v>1</v>
      </c>
    </row>
    <row r="473" customFormat="false" ht="15" hidden="false" customHeight="false" outlineLevel="0" collapsed="false">
      <c r="A473" s="0" t="s">
        <v>1113</v>
      </c>
      <c r="B473" s="0" t="n">
        <v>-739884.88302957</v>
      </c>
      <c r="C473" s="0" t="n">
        <v>871637.920418173</v>
      </c>
      <c r="D473" s="0" t="n">
        <f aca="false">IF(B473&gt;C473,1,0)</f>
        <v>0</v>
      </c>
    </row>
    <row r="474" customFormat="false" ht="15" hidden="false" customHeight="false" outlineLevel="0" collapsed="false">
      <c r="A474" s="0" t="s">
        <v>1114</v>
      </c>
      <c r="B474" s="0" t="n">
        <v>10648.2107897222</v>
      </c>
      <c r="C474" s="0" t="n">
        <v>908538.687872409</v>
      </c>
      <c r="D474" s="0" t="n">
        <f aca="false">IF(B474&gt;C474,1,0)</f>
        <v>0</v>
      </c>
    </row>
    <row r="475" customFormat="false" ht="15" hidden="false" customHeight="false" outlineLevel="0" collapsed="false">
      <c r="A475" s="0" t="s">
        <v>650</v>
      </c>
      <c r="B475" s="0" t="n">
        <v>-378421.096149491</v>
      </c>
      <c r="C475" s="0" t="n">
        <v>905077.515404426</v>
      </c>
      <c r="D475" s="0" t="n">
        <f aca="false">IF(B475&gt;C475,1,0)</f>
        <v>0</v>
      </c>
    </row>
    <row r="476" customFormat="false" ht="15" hidden="false" customHeight="false" outlineLevel="0" collapsed="false">
      <c r="A476" s="0" t="s">
        <v>1115</v>
      </c>
      <c r="B476" s="0" t="n">
        <v>-54194.2212109845</v>
      </c>
      <c r="C476" s="0" t="n">
        <v>931918.758954555</v>
      </c>
      <c r="D476" s="0" t="n">
        <f aca="false">IF(B476&gt;C476,1,0)</f>
        <v>0</v>
      </c>
    </row>
    <row r="477" customFormat="false" ht="15" hidden="false" customHeight="false" outlineLevel="0" collapsed="false">
      <c r="A477" s="0" t="s">
        <v>1116</v>
      </c>
      <c r="B477" s="0" t="n">
        <v>-1122072.94132101</v>
      </c>
      <c r="C477" s="0" t="n">
        <v>930240.610442775</v>
      </c>
      <c r="D477" s="0" t="n">
        <f aca="false">IF(B477&gt;C477,1,0)</f>
        <v>0</v>
      </c>
    </row>
    <row r="478" customFormat="false" ht="15" hidden="false" customHeight="false" outlineLevel="0" collapsed="false">
      <c r="A478" s="0" t="s">
        <v>1117</v>
      </c>
      <c r="B478" s="0" t="n">
        <v>719723.26713705</v>
      </c>
      <c r="C478" s="0" t="n">
        <v>924193.333254257</v>
      </c>
      <c r="D478" s="0" t="n">
        <f aca="false">IF(B478&gt;C478,1,0)</f>
        <v>0</v>
      </c>
    </row>
    <row r="479" customFormat="false" ht="15" hidden="false" customHeight="false" outlineLevel="0" collapsed="false">
      <c r="A479" s="0" t="s">
        <v>1118</v>
      </c>
      <c r="B479" s="0" t="n">
        <v>-199650.113953585</v>
      </c>
      <c r="C479" s="0" t="n">
        <v>911417.95054367</v>
      </c>
      <c r="D479" s="0" t="n">
        <f aca="false">IF(B479&gt;C479,1,0)</f>
        <v>0</v>
      </c>
    </row>
    <row r="480" customFormat="false" ht="15" hidden="false" customHeight="false" outlineLevel="0" collapsed="false">
      <c r="A480" s="0" t="s">
        <v>1119</v>
      </c>
      <c r="B480" s="0" t="n">
        <v>-291238.152982634</v>
      </c>
      <c r="C480" s="0" t="n">
        <v>932538.040855775</v>
      </c>
      <c r="D480" s="0" t="n">
        <f aca="false">IF(B480&gt;C480,1,0)</f>
        <v>0</v>
      </c>
    </row>
    <row r="481" customFormat="false" ht="15" hidden="false" customHeight="false" outlineLevel="0" collapsed="false">
      <c r="A481" s="0" t="s">
        <v>1120</v>
      </c>
      <c r="B481" s="0" t="n">
        <v>-799325.200618307</v>
      </c>
      <c r="C481" s="0" t="n">
        <v>916488.432626882</v>
      </c>
      <c r="D481" s="0" t="n">
        <f aca="false">IF(B481&gt;C481,1,0)</f>
        <v>0</v>
      </c>
    </row>
    <row r="482" customFormat="false" ht="15" hidden="false" customHeight="false" outlineLevel="0" collapsed="false">
      <c r="A482" s="0" t="s">
        <v>1121</v>
      </c>
      <c r="B482" s="0" t="n">
        <v>63726.2361245684</v>
      </c>
      <c r="C482" s="0" t="n">
        <v>911566.486649953</v>
      </c>
      <c r="D482" s="0" t="n">
        <f aca="false">IF(B482&gt;C482,1,0)</f>
        <v>0</v>
      </c>
    </row>
    <row r="483" customFormat="false" ht="15" hidden="false" customHeight="false" outlineLevel="0" collapsed="false">
      <c r="A483" s="0" t="s">
        <v>1122</v>
      </c>
      <c r="B483" s="0" t="n">
        <v>100919.722838933</v>
      </c>
      <c r="C483" s="0" t="n">
        <v>908199.207465156</v>
      </c>
      <c r="D483" s="0" t="n">
        <f aca="false">IF(B483&gt;C483,1,0)</f>
        <v>0</v>
      </c>
    </row>
    <row r="484" customFormat="false" ht="15" hidden="false" customHeight="false" outlineLevel="0" collapsed="false">
      <c r="A484" s="0" t="s">
        <v>1123</v>
      </c>
      <c r="B484" s="0" t="n">
        <v>50080.6039094171</v>
      </c>
      <c r="C484" s="0" t="n">
        <v>919357.225431001</v>
      </c>
      <c r="D484" s="0" t="n">
        <f aca="false">IF(B484&gt;C484,1,0)</f>
        <v>0</v>
      </c>
    </row>
    <row r="485" customFormat="false" ht="15" hidden="false" customHeight="false" outlineLevel="0" collapsed="false">
      <c r="A485" s="0" t="s">
        <v>652</v>
      </c>
      <c r="B485" s="0" t="n">
        <v>199604.970705334</v>
      </c>
      <c r="C485" s="0" t="n">
        <v>894290.101632849</v>
      </c>
      <c r="D485" s="0" t="n">
        <f aca="false">IF(B485&gt;C485,1,0)</f>
        <v>0</v>
      </c>
    </row>
    <row r="486" customFormat="false" ht="15" hidden="false" customHeight="false" outlineLevel="0" collapsed="false">
      <c r="A486" s="0" t="s">
        <v>1124</v>
      </c>
      <c r="B486" s="0" t="n">
        <v>235014.175725563</v>
      </c>
      <c r="C486" s="0" t="n">
        <v>923245.647025568</v>
      </c>
      <c r="D486" s="0" t="n">
        <f aca="false">IF(B486&gt;C486,1,0)</f>
        <v>0</v>
      </c>
    </row>
    <row r="487" customFormat="false" ht="15" hidden="false" customHeight="false" outlineLevel="0" collapsed="false">
      <c r="A487" s="0" t="s">
        <v>1125</v>
      </c>
      <c r="B487" s="0" t="n">
        <v>-486469.64215891</v>
      </c>
      <c r="C487" s="0" t="n">
        <v>912760.328337425</v>
      </c>
      <c r="D487" s="0" t="n">
        <f aca="false">IF(B487&gt;C487,1,0)</f>
        <v>0</v>
      </c>
    </row>
    <row r="488" customFormat="false" ht="15" hidden="false" customHeight="false" outlineLevel="0" collapsed="false">
      <c r="A488" s="0" t="s">
        <v>1126</v>
      </c>
      <c r="B488" s="0" t="n">
        <v>-1237503.55927411</v>
      </c>
      <c r="C488" s="0" t="n">
        <v>911158.618014504</v>
      </c>
      <c r="D488" s="0" t="n">
        <f aca="false">IF(B488&gt;C488,1,0)</f>
        <v>0</v>
      </c>
    </row>
    <row r="489" customFormat="false" ht="15" hidden="false" customHeight="false" outlineLevel="0" collapsed="false">
      <c r="A489" s="0" t="s">
        <v>1127</v>
      </c>
      <c r="B489" s="0" t="n">
        <v>-263874.401663083</v>
      </c>
      <c r="C489" s="0" t="n">
        <v>930685.128651408</v>
      </c>
      <c r="D489" s="0" t="n">
        <f aca="false">IF(B489&gt;C489,1,0)</f>
        <v>0</v>
      </c>
    </row>
    <row r="490" customFormat="false" ht="15" hidden="false" customHeight="false" outlineLevel="0" collapsed="false">
      <c r="A490" s="0" t="s">
        <v>1128</v>
      </c>
      <c r="B490" s="0" t="n">
        <v>-487185.01642276</v>
      </c>
      <c r="C490" s="0" t="n">
        <v>947078.175638679</v>
      </c>
      <c r="D490" s="0" t="n">
        <f aca="false">IF(B490&gt;C490,1,0)</f>
        <v>0</v>
      </c>
    </row>
    <row r="491" customFormat="false" ht="15" hidden="false" customHeight="false" outlineLevel="0" collapsed="false">
      <c r="A491" s="0" t="s">
        <v>1129</v>
      </c>
      <c r="B491" s="0" t="n">
        <v>-373753.39523106</v>
      </c>
      <c r="C491" s="0" t="n">
        <v>960425.992695007</v>
      </c>
      <c r="D491" s="0" t="n">
        <f aca="false">IF(B491&gt;C491,1,0)</f>
        <v>0</v>
      </c>
    </row>
    <row r="492" customFormat="false" ht="15" hidden="false" customHeight="false" outlineLevel="0" collapsed="false">
      <c r="A492" s="0" t="s">
        <v>1130</v>
      </c>
      <c r="B492" s="0" t="n">
        <v>334649.608587811</v>
      </c>
      <c r="C492" s="0" t="n">
        <v>982612.259116791</v>
      </c>
      <c r="D492" s="0" t="n">
        <f aca="false">IF(B492&gt;C492,1,0)</f>
        <v>0</v>
      </c>
    </row>
    <row r="493" customFormat="false" ht="15" hidden="false" customHeight="false" outlineLevel="0" collapsed="false">
      <c r="A493" s="0" t="s">
        <v>1131</v>
      </c>
      <c r="B493" s="0" t="n">
        <v>-662398.661371721</v>
      </c>
      <c r="C493" s="0" t="n">
        <v>955432.76033909</v>
      </c>
      <c r="D493" s="0" t="n">
        <f aca="false">IF(B493&gt;C493,1,0)</f>
        <v>0</v>
      </c>
    </row>
    <row r="494" customFormat="false" ht="15" hidden="false" customHeight="false" outlineLevel="0" collapsed="false">
      <c r="A494" s="0" t="s">
        <v>1132</v>
      </c>
      <c r="B494" s="0" t="n">
        <v>6868.08427903149</v>
      </c>
      <c r="C494" s="0" t="n">
        <v>977555.489688952</v>
      </c>
      <c r="D494" s="0" t="n">
        <f aca="false">IF(B494&gt;C494,1,0)</f>
        <v>0</v>
      </c>
    </row>
    <row r="495" customFormat="false" ht="15" hidden="false" customHeight="false" outlineLevel="0" collapsed="false">
      <c r="A495" s="0" t="s">
        <v>654</v>
      </c>
      <c r="B495" s="0" t="n">
        <v>441321.601795056</v>
      </c>
      <c r="C495" s="0" t="n">
        <v>972762.18283073</v>
      </c>
      <c r="D495" s="0" t="n">
        <f aca="false">IF(B495&gt;C495,1,0)</f>
        <v>0</v>
      </c>
    </row>
    <row r="496" customFormat="false" ht="15" hidden="false" customHeight="false" outlineLevel="0" collapsed="false">
      <c r="A496" s="0" t="s">
        <v>1133</v>
      </c>
      <c r="B496" s="0" t="n">
        <v>-48308.3580569471</v>
      </c>
      <c r="C496" s="0" t="n">
        <v>962263.065893464</v>
      </c>
      <c r="D496" s="0" t="n">
        <f aca="false">IF(B496&gt;C496,1,0)</f>
        <v>0</v>
      </c>
    </row>
    <row r="497" customFormat="false" ht="15" hidden="false" customHeight="false" outlineLevel="0" collapsed="false">
      <c r="A497" s="0" t="s">
        <v>1134</v>
      </c>
      <c r="B497" s="0" t="n">
        <v>290143.765087382</v>
      </c>
      <c r="C497" s="0" t="n">
        <v>981615.808166965</v>
      </c>
      <c r="D497" s="0" t="n">
        <f aca="false">IF(B497&gt;C497,1,0)</f>
        <v>0</v>
      </c>
    </row>
    <row r="498" customFormat="false" ht="15" hidden="false" customHeight="false" outlineLevel="0" collapsed="false">
      <c r="A498" s="0" t="s">
        <v>1135</v>
      </c>
      <c r="B498" s="0" t="n">
        <v>-178452.007761696</v>
      </c>
      <c r="C498" s="0" t="n">
        <v>944031.416170337</v>
      </c>
      <c r="D498" s="0" t="n">
        <f aca="false">IF(B498&gt;C498,1,0)</f>
        <v>0</v>
      </c>
    </row>
    <row r="499" customFormat="false" ht="15" hidden="false" customHeight="false" outlineLevel="0" collapsed="false">
      <c r="A499" s="0" t="s">
        <v>1136</v>
      </c>
      <c r="B499" s="0" t="n">
        <v>-11720.9826321174</v>
      </c>
      <c r="C499" s="0" t="n">
        <v>997186.025744798</v>
      </c>
      <c r="D499" s="0" t="n">
        <f aca="false">IF(B499&gt;C499,1,0)</f>
        <v>0</v>
      </c>
    </row>
    <row r="500" customFormat="false" ht="15" hidden="false" customHeight="false" outlineLevel="0" collapsed="false">
      <c r="A500" s="0" t="s">
        <v>1137</v>
      </c>
      <c r="B500" s="0" t="n">
        <v>-306114.937494747</v>
      </c>
      <c r="C500" s="0" t="n">
        <v>990759.321773883</v>
      </c>
      <c r="D500" s="0" t="n">
        <f aca="false">IF(B500&gt;C500,1,0)</f>
        <v>0</v>
      </c>
    </row>
    <row r="501" customFormat="false" ht="15" hidden="false" customHeight="false" outlineLevel="0" collapsed="false">
      <c r="A501" s="0" t="s">
        <v>1138</v>
      </c>
      <c r="B501" s="0" t="n">
        <v>540359.378458924</v>
      </c>
      <c r="C501" s="0" t="n">
        <v>985717.927628497</v>
      </c>
      <c r="D501" s="0" t="n">
        <f aca="false">IF(B501&gt;C501,1,0)</f>
        <v>0</v>
      </c>
    </row>
    <row r="502" customFormat="false" ht="15" hidden="false" customHeight="false" outlineLevel="0" collapsed="false">
      <c r="A502" s="0" t="s">
        <v>1139</v>
      </c>
      <c r="B502" s="0" t="n">
        <v>-148872.550445491</v>
      </c>
      <c r="C502" s="0" t="n">
        <v>978085.849070758</v>
      </c>
      <c r="D502" s="0" t="n">
        <f aca="false">IF(B502&gt;C502,1,0)</f>
        <v>0</v>
      </c>
    </row>
    <row r="503" customFormat="false" ht="15" hidden="false" customHeight="false" outlineLevel="0" collapsed="false">
      <c r="A503" s="0" t="s">
        <v>1140</v>
      </c>
      <c r="B503" s="0" t="n">
        <v>-231798.311026874</v>
      </c>
      <c r="C503" s="0" t="n">
        <v>966419.522356087</v>
      </c>
      <c r="D503" s="0" t="n">
        <f aca="false">IF(B503&gt;C503,1,0)</f>
        <v>0</v>
      </c>
    </row>
    <row r="504" customFormat="false" ht="15" hidden="false" customHeight="false" outlineLevel="0" collapsed="false">
      <c r="A504" s="0" t="s">
        <v>1141</v>
      </c>
      <c r="B504" s="0" t="n">
        <v>225875.006200918</v>
      </c>
      <c r="C504" s="0" t="n">
        <v>974568.598442648</v>
      </c>
      <c r="D504" s="0" t="n">
        <f aca="false">IF(B504&gt;C504,1,0)</f>
        <v>0</v>
      </c>
    </row>
    <row r="505" customFormat="false" ht="15" hidden="false" customHeight="false" outlineLevel="0" collapsed="false">
      <c r="A505" s="0" t="s">
        <v>655</v>
      </c>
      <c r="B505" s="0" t="n">
        <v>493930.744248141</v>
      </c>
      <c r="C505" s="0" t="n">
        <v>978860.558842125</v>
      </c>
      <c r="D505" s="0" t="n">
        <f aca="false">IF(B505&gt;C505,1,0)</f>
        <v>0</v>
      </c>
    </row>
    <row r="506" customFormat="false" ht="15" hidden="false" customHeight="false" outlineLevel="0" collapsed="false">
      <c r="A506" s="0" t="s">
        <v>1142</v>
      </c>
      <c r="B506" s="0" t="n">
        <v>-293209.677516278</v>
      </c>
      <c r="C506" s="0" t="n">
        <v>946524.594797237</v>
      </c>
      <c r="D506" s="0" t="n">
        <f aca="false">IF(B506&gt;C506,1,0)</f>
        <v>0</v>
      </c>
    </row>
    <row r="507" customFormat="false" ht="15" hidden="false" customHeight="false" outlineLevel="0" collapsed="false">
      <c r="A507" s="0" t="s">
        <v>1143</v>
      </c>
      <c r="B507" s="0" t="n">
        <v>330612.983412989</v>
      </c>
      <c r="C507" s="0" t="n">
        <v>955981.067122549</v>
      </c>
      <c r="D507" s="0" t="n">
        <f aca="false">IF(B507&gt;C507,1,0)</f>
        <v>0</v>
      </c>
    </row>
    <row r="508" customFormat="false" ht="15" hidden="false" customHeight="false" outlineLevel="0" collapsed="false">
      <c r="A508" s="0" t="s">
        <v>1144</v>
      </c>
      <c r="B508" s="0" t="n">
        <v>382094.935550886</v>
      </c>
      <c r="C508" s="0" t="n">
        <v>951953.311238372</v>
      </c>
      <c r="D508" s="0" t="n">
        <f aca="false">IF(B508&gt;C508,1,0)</f>
        <v>0</v>
      </c>
    </row>
    <row r="509" customFormat="false" ht="15" hidden="false" customHeight="false" outlineLevel="0" collapsed="false">
      <c r="A509" s="0" t="s">
        <v>1145</v>
      </c>
      <c r="B509" s="0" t="n">
        <v>375938.135776724</v>
      </c>
      <c r="C509" s="0" t="n">
        <v>957355.199518213</v>
      </c>
      <c r="D509" s="0" t="n">
        <f aca="false">IF(B509&gt;C509,1,0)</f>
        <v>0</v>
      </c>
    </row>
    <row r="510" customFormat="false" ht="15" hidden="false" customHeight="false" outlineLevel="0" collapsed="false">
      <c r="A510" s="0" t="s">
        <v>1146</v>
      </c>
      <c r="B510" s="0" t="n">
        <v>-22252.0867676577</v>
      </c>
      <c r="C510" s="0" t="n">
        <v>959761.42467866</v>
      </c>
      <c r="D510" s="0" t="n">
        <f aca="false">IF(B510&gt;C510,1,0)</f>
        <v>0</v>
      </c>
    </row>
    <row r="511" customFormat="false" ht="15" hidden="false" customHeight="false" outlineLevel="0" collapsed="false">
      <c r="A511" s="0" t="s">
        <v>1147</v>
      </c>
      <c r="B511" s="0" t="n">
        <v>-383149.867564465</v>
      </c>
      <c r="C511" s="0" t="n">
        <v>954524.195146238</v>
      </c>
      <c r="D511" s="0" t="n">
        <f aca="false">IF(B511&gt;C511,1,0)</f>
        <v>0</v>
      </c>
    </row>
    <row r="512" customFormat="false" ht="15" hidden="false" customHeight="false" outlineLevel="0" collapsed="false">
      <c r="A512" s="0" t="s">
        <v>1148</v>
      </c>
      <c r="B512" s="0" t="n">
        <v>-353092.829565111</v>
      </c>
      <c r="C512" s="0" t="n">
        <v>959113.244865508</v>
      </c>
      <c r="D512" s="0" t="n">
        <f aca="false">IF(B512&gt;C512,1,0)</f>
        <v>0</v>
      </c>
    </row>
    <row r="513" customFormat="false" ht="15" hidden="false" customHeight="false" outlineLevel="0" collapsed="false">
      <c r="A513" s="0" t="s">
        <v>1149</v>
      </c>
      <c r="B513" s="0" t="n">
        <v>-91060.2519826512</v>
      </c>
      <c r="C513" s="0" t="n">
        <v>958474.500196198</v>
      </c>
      <c r="D513" s="0" t="n">
        <f aca="false">IF(B513&gt;C513,1,0)</f>
        <v>0</v>
      </c>
    </row>
    <row r="514" customFormat="false" ht="15" hidden="false" customHeight="false" outlineLevel="0" collapsed="false">
      <c r="A514" s="0" t="s">
        <v>1150</v>
      </c>
      <c r="B514" s="0" t="n">
        <v>75700.3113064354</v>
      </c>
      <c r="C514" s="0" t="n">
        <v>961599.709951424</v>
      </c>
      <c r="D514" s="0" t="n">
        <f aca="false">IF(B514&gt;C514,1,0)</f>
        <v>0</v>
      </c>
    </row>
    <row r="515" customFormat="false" ht="15" hidden="false" customHeight="false" outlineLevel="0" collapsed="false">
      <c r="A515" s="0" t="s">
        <v>657</v>
      </c>
      <c r="B515" s="0" t="n">
        <v>-371415.358237873</v>
      </c>
      <c r="C515" s="0" t="n">
        <v>987495.298187831</v>
      </c>
      <c r="D515" s="0" t="n">
        <f aca="false">IF(B515&gt;C515,1,0)</f>
        <v>0</v>
      </c>
    </row>
    <row r="516" customFormat="false" ht="15" hidden="false" customHeight="false" outlineLevel="0" collapsed="false">
      <c r="A516" s="0" t="s">
        <v>1151</v>
      </c>
      <c r="B516" s="0" t="n">
        <v>626486.995306459</v>
      </c>
      <c r="C516" s="0" t="n">
        <v>985964.15880338</v>
      </c>
      <c r="D516" s="0" t="n">
        <f aca="false">IF(B516&gt;C516,1,0)</f>
        <v>0</v>
      </c>
    </row>
    <row r="517" customFormat="false" ht="15" hidden="false" customHeight="false" outlineLevel="0" collapsed="false">
      <c r="A517" s="0" t="s">
        <v>1152</v>
      </c>
      <c r="B517" s="0" t="n">
        <v>797080.906500676</v>
      </c>
      <c r="C517" s="0" t="n">
        <v>972993.455161312</v>
      </c>
      <c r="D517" s="0" t="n">
        <f aca="false">IF(B517&gt;C517,1,0)</f>
        <v>0</v>
      </c>
    </row>
    <row r="518" customFormat="false" ht="15" hidden="false" customHeight="false" outlineLevel="0" collapsed="false">
      <c r="A518" s="0" t="s">
        <v>1153</v>
      </c>
      <c r="B518" s="0" t="n">
        <v>-953881.726152523</v>
      </c>
      <c r="C518" s="0" t="n">
        <v>975253.305531408</v>
      </c>
      <c r="D518" s="0" t="n">
        <f aca="false">IF(B518&gt;C518,1,0)</f>
        <v>0</v>
      </c>
    </row>
    <row r="519" customFormat="false" ht="15" hidden="false" customHeight="false" outlineLevel="0" collapsed="false">
      <c r="A519" s="0" t="s">
        <v>1154</v>
      </c>
      <c r="B519" s="0" t="n">
        <v>200410.100841559</v>
      </c>
      <c r="C519" s="0" t="n">
        <v>995139.582453077</v>
      </c>
      <c r="D519" s="0" t="n">
        <f aca="false">IF(B519&gt;C519,1,0)</f>
        <v>0</v>
      </c>
    </row>
    <row r="520" customFormat="false" ht="15" hidden="false" customHeight="false" outlineLevel="0" collapsed="false">
      <c r="A520" s="0" t="s">
        <v>1155</v>
      </c>
      <c r="B520" s="0" t="n">
        <v>-349132.061167397</v>
      </c>
      <c r="C520" s="0" t="n">
        <v>985531.82247125</v>
      </c>
      <c r="D520" s="0" t="n">
        <f aca="false">IF(B520&gt;C520,1,0)</f>
        <v>0</v>
      </c>
    </row>
    <row r="521" customFormat="false" ht="15" hidden="false" customHeight="false" outlineLevel="0" collapsed="false">
      <c r="A521" s="0" t="s">
        <v>1156</v>
      </c>
      <c r="B521" s="0" t="n">
        <v>-994825.121800171</v>
      </c>
      <c r="C521" s="0" t="n">
        <v>997785.33745317</v>
      </c>
      <c r="D521" s="0" t="n">
        <f aca="false">IF(B521&gt;C521,1,0)</f>
        <v>0</v>
      </c>
    </row>
    <row r="522" customFormat="false" ht="15" hidden="false" customHeight="false" outlineLevel="0" collapsed="false">
      <c r="A522" s="0" t="s">
        <v>1157</v>
      </c>
      <c r="B522" s="0" t="n">
        <v>566045.356174897</v>
      </c>
      <c r="C522" s="0" t="n">
        <v>1010422.5457994</v>
      </c>
      <c r="D522" s="0" t="n">
        <f aca="false">IF(B522&gt;C522,1,0)</f>
        <v>0</v>
      </c>
    </row>
    <row r="523" customFormat="false" ht="15" hidden="false" customHeight="false" outlineLevel="0" collapsed="false">
      <c r="A523" s="0" t="s">
        <v>1158</v>
      </c>
      <c r="B523" s="0" t="n">
        <v>407402.192108118</v>
      </c>
      <c r="C523" s="0" t="n">
        <v>1003135.02731527</v>
      </c>
      <c r="D523" s="0" t="n">
        <f aca="false">IF(B523&gt;C523,1,0)</f>
        <v>0</v>
      </c>
    </row>
    <row r="524" customFormat="false" ht="15" hidden="false" customHeight="false" outlineLevel="0" collapsed="false">
      <c r="A524" s="0" t="s">
        <v>1159</v>
      </c>
      <c r="B524" s="0" t="n">
        <v>1147815.25338023</v>
      </c>
      <c r="C524" s="0" t="n">
        <v>1029915.81462925</v>
      </c>
      <c r="D524" s="0" t="n">
        <f aca="false">IF(B524&gt;C524,1,0)</f>
        <v>1</v>
      </c>
    </row>
    <row r="525" customFormat="false" ht="15" hidden="false" customHeight="false" outlineLevel="0" collapsed="false">
      <c r="A525" s="0" t="s">
        <v>659</v>
      </c>
      <c r="B525" s="0" t="n">
        <v>776703.16997951</v>
      </c>
      <c r="C525" s="0" t="n">
        <v>1023321.21757414</v>
      </c>
      <c r="D525" s="0" t="n">
        <f aca="false">IF(B525&gt;C525,1,0)</f>
        <v>0</v>
      </c>
    </row>
    <row r="526" customFormat="false" ht="15" hidden="false" customHeight="false" outlineLevel="0" collapsed="false">
      <c r="A526" s="0" t="s">
        <v>1160</v>
      </c>
      <c r="B526" s="0" t="n">
        <v>-964503.483589373</v>
      </c>
      <c r="C526" s="0" t="n">
        <v>1042599.1285743</v>
      </c>
      <c r="D526" s="0" t="n">
        <f aca="false">IF(B526&gt;C526,1,0)</f>
        <v>0</v>
      </c>
    </row>
    <row r="527" customFormat="false" ht="15" hidden="false" customHeight="false" outlineLevel="0" collapsed="false">
      <c r="A527" s="0" t="s">
        <v>1161</v>
      </c>
      <c r="B527" s="0" t="n">
        <v>1071313.16504244</v>
      </c>
      <c r="C527" s="0" t="n">
        <v>1045101.92703306</v>
      </c>
      <c r="D527" s="0" t="n">
        <f aca="false">IF(B527&gt;C527,1,0)</f>
        <v>1</v>
      </c>
    </row>
    <row r="528" customFormat="false" ht="15" hidden="false" customHeight="false" outlineLevel="0" collapsed="false">
      <c r="A528" s="0" t="s">
        <v>1162</v>
      </c>
      <c r="B528" s="0" t="n">
        <v>-520179.013941272</v>
      </c>
      <c r="C528" s="0" t="n">
        <v>1008686.45807254</v>
      </c>
      <c r="D528" s="0" t="n">
        <f aca="false">IF(B528&gt;C528,1,0)</f>
        <v>0</v>
      </c>
    </row>
    <row r="529" customFormat="false" ht="15" hidden="false" customHeight="false" outlineLevel="0" collapsed="false">
      <c r="A529" s="0" t="s">
        <v>1163</v>
      </c>
      <c r="B529" s="0" t="n">
        <v>130091.58348307</v>
      </c>
      <c r="C529" s="0" t="n">
        <v>1001338.7792052</v>
      </c>
      <c r="D529" s="0" t="n">
        <f aca="false">IF(B529&gt;C529,1,0)</f>
        <v>0</v>
      </c>
    </row>
    <row r="530" customFormat="false" ht="15" hidden="false" customHeight="false" outlineLevel="0" collapsed="false">
      <c r="A530" s="0" t="s">
        <v>1164</v>
      </c>
      <c r="B530" s="0" t="n">
        <v>-134971.508656546</v>
      </c>
      <c r="C530" s="0" t="n">
        <v>1009720.38816599</v>
      </c>
      <c r="D530" s="0" t="n">
        <f aca="false">IF(B530&gt;C530,1,0)</f>
        <v>0</v>
      </c>
    </row>
    <row r="531" customFormat="false" ht="15" hidden="false" customHeight="false" outlineLevel="0" collapsed="false">
      <c r="A531" s="0" t="s">
        <v>1165</v>
      </c>
      <c r="B531" s="0" t="n">
        <v>907542.477096082</v>
      </c>
      <c r="C531" s="0" t="n">
        <v>1029130.9801189</v>
      </c>
      <c r="D531" s="0" t="n">
        <f aca="false">IF(B531&gt;C531,1,0)</f>
        <v>0</v>
      </c>
    </row>
    <row r="532" customFormat="false" ht="15" hidden="false" customHeight="false" outlineLevel="0" collapsed="false">
      <c r="A532" s="0" t="s">
        <v>1166</v>
      </c>
      <c r="B532" s="0" t="n">
        <v>-175527.168928733</v>
      </c>
      <c r="C532" s="0" t="n">
        <v>1006872.57318003</v>
      </c>
      <c r="D532" s="0" t="n">
        <f aca="false">IF(B532&gt;C532,1,0)</f>
        <v>0</v>
      </c>
    </row>
    <row r="533" customFormat="false" ht="15" hidden="false" customHeight="false" outlineLevel="0" collapsed="false">
      <c r="A533" s="0" t="s">
        <v>1167</v>
      </c>
      <c r="B533" s="0" t="n">
        <v>440297.334880255</v>
      </c>
      <c r="C533" s="0" t="n">
        <v>995745.021225391</v>
      </c>
      <c r="D533" s="0" t="n">
        <f aca="false">IF(B533&gt;C533,1,0)</f>
        <v>0</v>
      </c>
    </row>
    <row r="534" customFormat="false" ht="15" hidden="false" customHeight="false" outlineLevel="0" collapsed="false">
      <c r="A534" s="0" t="s">
        <v>1168</v>
      </c>
      <c r="B534" s="0" t="n">
        <v>51807.2334315889</v>
      </c>
      <c r="C534" s="0" t="n">
        <v>1028996.35390141</v>
      </c>
      <c r="D534" s="0" t="n">
        <f aca="false">IF(B534&gt;C534,1,0)</f>
        <v>0</v>
      </c>
    </row>
    <row r="535" customFormat="false" ht="15" hidden="false" customHeight="false" outlineLevel="0" collapsed="false">
      <c r="A535" s="0" t="s">
        <v>661</v>
      </c>
      <c r="B535" s="0" t="n">
        <v>-417793.205995203</v>
      </c>
      <c r="C535" s="0" t="n">
        <v>1022439.41490775</v>
      </c>
      <c r="D535" s="0" t="n">
        <f aca="false">IF(B535&gt;C535,1,0)</f>
        <v>0</v>
      </c>
    </row>
    <row r="536" customFormat="false" ht="15" hidden="false" customHeight="false" outlineLevel="0" collapsed="false">
      <c r="A536" s="0" t="s">
        <v>1169</v>
      </c>
      <c r="B536" s="0" t="n">
        <v>355253.030118897</v>
      </c>
      <c r="C536" s="0" t="n">
        <v>1020415.0641735</v>
      </c>
      <c r="D536" s="0" t="n">
        <f aca="false">IF(B536&gt;C536,1,0)</f>
        <v>0</v>
      </c>
    </row>
    <row r="537" customFormat="false" ht="15" hidden="false" customHeight="false" outlineLevel="0" collapsed="false">
      <c r="A537" s="0" t="s">
        <v>1170</v>
      </c>
      <c r="B537" s="0" t="n">
        <v>16928.4427611074</v>
      </c>
      <c r="C537" s="0" t="n">
        <v>1021269.33642105</v>
      </c>
      <c r="D537" s="0" t="n">
        <f aca="false">IF(B537&gt;C537,1,0)</f>
        <v>0</v>
      </c>
    </row>
    <row r="538" customFormat="false" ht="15" hidden="false" customHeight="false" outlineLevel="0" collapsed="false">
      <c r="A538" s="0" t="s">
        <v>1171</v>
      </c>
      <c r="B538" s="0" t="n">
        <v>745786.394968699</v>
      </c>
      <c r="C538" s="0" t="n">
        <v>1040037.75339457</v>
      </c>
      <c r="D538" s="0" t="n">
        <f aca="false">IF(B538&gt;C538,1,0)</f>
        <v>0</v>
      </c>
    </row>
    <row r="539" customFormat="false" ht="15" hidden="false" customHeight="false" outlineLevel="0" collapsed="false">
      <c r="A539" s="0" t="s">
        <v>1172</v>
      </c>
      <c r="B539" s="0" t="n">
        <v>1292863.37018372</v>
      </c>
      <c r="C539" s="0" t="n">
        <v>1018136.45900199</v>
      </c>
      <c r="D539" s="0" t="n">
        <f aca="false">IF(B539&gt;C539,1,0)</f>
        <v>1</v>
      </c>
    </row>
    <row r="540" customFormat="false" ht="15" hidden="false" customHeight="false" outlineLevel="0" collapsed="false">
      <c r="A540" s="0" t="s">
        <v>1173</v>
      </c>
      <c r="B540" s="0" t="n">
        <v>368009.871470655</v>
      </c>
      <c r="C540" s="0" t="n">
        <v>1055137.70818778</v>
      </c>
      <c r="D540" s="0" t="n">
        <f aca="false">IF(B540&gt;C540,1,0)</f>
        <v>0</v>
      </c>
    </row>
    <row r="541" customFormat="false" ht="15" hidden="false" customHeight="false" outlineLevel="0" collapsed="false">
      <c r="A541" s="0" t="s">
        <v>1174</v>
      </c>
      <c r="B541" s="0" t="n">
        <v>139664.595457262</v>
      </c>
      <c r="C541" s="0" t="n">
        <v>1024403.75392021</v>
      </c>
      <c r="D541" s="0" t="n">
        <f aca="false">IF(B541&gt;C541,1,0)</f>
        <v>0</v>
      </c>
    </row>
    <row r="542" customFormat="false" ht="15" hidden="false" customHeight="false" outlineLevel="0" collapsed="false">
      <c r="A542" s="0" t="s">
        <v>1175</v>
      </c>
      <c r="B542" s="0" t="n">
        <v>-926775.233082658</v>
      </c>
      <c r="C542" s="0" t="n">
        <v>1012603.33753125</v>
      </c>
      <c r="D542" s="0" t="n">
        <f aca="false">IF(B542&gt;C542,1,0)</f>
        <v>0</v>
      </c>
    </row>
    <row r="543" customFormat="false" ht="15" hidden="false" customHeight="false" outlineLevel="0" collapsed="false">
      <c r="A543" s="0" t="s">
        <v>1176</v>
      </c>
      <c r="B543" s="0" t="n">
        <v>21580.5240659304</v>
      </c>
      <c r="C543" s="0" t="n">
        <v>1045052.92461725</v>
      </c>
      <c r="D543" s="0" t="n">
        <f aca="false">IF(B543&gt;C543,1,0)</f>
        <v>0</v>
      </c>
    </row>
    <row r="544" customFormat="false" ht="15" hidden="false" customHeight="false" outlineLevel="0" collapsed="false">
      <c r="A544" s="0" t="s">
        <v>1177</v>
      </c>
      <c r="B544" s="0" t="n">
        <v>-593172.489883217</v>
      </c>
      <c r="C544" s="0" t="n">
        <v>1023338.36508496</v>
      </c>
      <c r="D544" s="0" t="n">
        <f aca="false">IF(B544&gt;C544,1,0)</f>
        <v>0</v>
      </c>
    </row>
    <row r="545" customFormat="false" ht="15" hidden="false" customHeight="false" outlineLevel="0" collapsed="false">
      <c r="A545" s="0" t="s">
        <v>663</v>
      </c>
      <c r="B545" s="0" t="n">
        <v>-135577.584715546</v>
      </c>
      <c r="C545" s="0" t="n">
        <v>1077900.32294713</v>
      </c>
      <c r="D545" s="0" t="n">
        <f aca="false">IF(B545&gt;C545,1,0)</f>
        <v>0</v>
      </c>
    </row>
    <row r="546" customFormat="false" ht="15" hidden="false" customHeight="false" outlineLevel="0" collapsed="false">
      <c r="A546" s="0" t="s">
        <v>1178</v>
      </c>
      <c r="B546" s="0" t="n">
        <v>-348053.734910377</v>
      </c>
      <c r="C546" s="0" t="n">
        <v>1084511.3367291</v>
      </c>
      <c r="D546" s="0" t="n">
        <f aca="false">IF(B546&gt;C546,1,0)</f>
        <v>0</v>
      </c>
    </row>
    <row r="547" customFormat="false" ht="15" hidden="false" customHeight="false" outlineLevel="0" collapsed="false">
      <c r="A547" s="0" t="s">
        <v>1179</v>
      </c>
      <c r="B547" s="0" t="n">
        <v>-6919.71075297496</v>
      </c>
      <c r="C547" s="0" t="n">
        <v>1073396.16054149</v>
      </c>
      <c r="D547" s="0" t="n">
        <f aca="false">IF(B547&gt;C547,1,0)</f>
        <v>0</v>
      </c>
    </row>
    <row r="548" customFormat="false" ht="15" hidden="false" customHeight="false" outlineLevel="0" collapsed="false">
      <c r="A548" s="0" t="s">
        <v>1180</v>
      </c>
      <c r="B548" s="0" t="n">
        <v>48422.1827733554</v>
      </c>
      <c r="C548" s="0" t="n">
        <v>1068127.5838007</v>
      </c>
      <c r="D548" s="0" t="n">
        <f aca="false">IF(B548&gt;C548,1,0)</f>
        <v>0</v>
      </c>
    </row>
    <row r="549" customFormat="false" ht="15" hidden="false" customHeight="false" outlineLevel="0" collapsed="false">
      <c r="A549" s="0" t="s">
        <v>1181</v>
      </c>
      <c r="B549" s="0" t="n">
        <v>-61924.0850662966</v>
      </c>
      <c r="C549" s="0" t="n">
        <v>1083328.37748733</v>
      </c>
      <c r="D549" s="0" t="n">
        <f aca="false">IF(B549&gt;C549,1,0)</f>
        <v>0</v>
      </c>
    </row>
    <row r="550" customFormat="false" ht="15" hidden="false" customHeight="false" outlineLevel="0" collapsed="false">
      <c r="A550" s="0" t="s">
        <v>1182</v>
      </c>
      <c r="B550" s="0" t="n">
        <v>-58845.0145743049</v>
      </c>
      <c r="C550" s="0" t="n">
        <v>1083990.83077117</v>
      </c>
      <c r="D550" s="0" t="n">
        <f aca="false">IF(B550&gt;C550,1,0)</f>
        <v>0</v>
      </c>
    </row>
    <row r="551" customFormat="false" ht="15" hidden="false" customHeight="false" outlineLevel="0" collapsed="false">
      <c r="A551" s="0" t="s">
        <v>1183</v>
      </c>
      <c r="B551" s="0" t="n">
        <v>375468.188894452</v>
      </c>
      <c r="C551" s="0" t="n">
        <v>1069295.94510784</v>
      </c>
      <c r="D551" s="0" t="n">
        <f aca="false">IF(B551&gt;C551,1,0)</f>
        <v>0</v>
      </c>
    </row>
    <row r="552" customFormat="false" ht="15" hidden="false" customHeight="false" outlineLevel="0" collapsed="false">
      <c r="A552" s="0" t="s">
        <v>1184</v>
      </c>
      <c r="B552" s="0" t="n">
        <v>419108.649528239</v>
      </c>
      <c r="C552" s="0" t="n">
        <v>1065785.20883374</v>
      </c>
      <c r="D552" s="0" t="n">
        <f aca="false">IF(B552&gt;C552,1,0)</f>
        <v>0</v>
      </c>
    </row>
    <row r="553" customFormat="false" ht="15" hidden="false" customHeight="false" outlineLevel="0" collapsed="false">
      <c r="A553" s="0" t="s">
        <v>1185</v>
      </c>
      <c r="B553" s="0" t="n">
        <v>-20182.1913153348</v>
      </c>
      <c r="C553" s="0" t="n">
        <v>1049093.68584616</v>
      </c>
      <c r="D553" s="0" t="n">
        <f aca="false">IF(B553&gt;C553,1,0)</f>
        <v>0</v>
      </c>
    </row>
    <row r="554" customFormat="false" ht="15" hidden="false" customHeight="false" outlineLevel="0" collapsed="false">
      <c r="A554" s="0" t="s">
        <v>1186</v>
      </c>
      <c r="B554" s="0" t="n">
        <v>-152696.293906018</v>
      </c>
      <c r="C554" s="0" t="n">
        <v>1051679.55403674</v>
      </c>
      <c r="D554" s="0" t="n">
        <f aca="false">IF(B554&gt;C554,1,0)</f>
        <v>0</v>
      </c>
    </row>
    <row r="555" customFormat="false" ht="15" hidden="false" customHeight="false" outlineLevel="0" collapsed="false">
      <c r="A555" s="0" t="s">
        <v>665</v>
      </c>
      <c r="B555" s="0" t="n">
        <v>-43326.5516305184</v>
      </c>
      <c r="C555" s="0" t="n">
        <v>1069113.06782957</v>
      </c>
      <c r="D555" s="0" t="n">
        <f aca="false">IF(B555&gt;C555,1,0)</f>
        <v>0</v>
      </c>
    </row>
    <row r="556" customFormat="false" ht="15" hidden="false" customHeight="false" outlineLevel="0" collapsed="false">
      <c r="A556" s="0" t="s">
        <v>1187</v>
      </c>
      <c r="B556" s="0" t="n">
        <v>-37237.1234989481</v>
      </c>
      <c r="C556" s="0" t="n">
        <v>1084857.28816556</v>
      </c>
      <c r="D556" s="0" t="n">
        <f aca="false">IF(B556&gt;C556,1,0)</f>
        <v>0</v>
      </c>
    </row>
    <row r="557" customFormat="false" ht="15" hidden="false" customHeight="false" outlineLevel="0" collapsed="false">
      <c r="A557" s="0" t="s">
        <v>1188</v>
      </c>
      <c r="B557" s="0" t="n">
        <v>-34366.8823466515</v>
      </c>
      <c r="C557" s="0" t="n">
        <v>1093266.39356122</v>
      </c>
      <c r="D557" s="0" t="n">
        <f aca="false">IF(B557&gt;C557,1,0)</f>
        <v>0</v>
      </c>
    </row>
    <row r="558" customFormat="false" ht="15" hidden="false" customHeight="false" outlineLevel="0" collapsed="false">
      <c r="A558" s="0" t="s">
        <v>1189</v>
      </c>
      <c r="B558" s="0" t="n">
        <v>-406464.544180569</v>
      </c>
      <c r="C558" s="0" t="n">
        <v>1105603.81294312</v>
      </c>
      <c r="D558" s="0" t="n">
        <f aca="false">IF(B558&gt;C558,1,0)</f>
        <v>0</v>
      </c>
    </row>
    <row r="559" customFormat="false" ht="15" hidden="false" customHeight="false" outlineLevel="0" collapsed="false">
      <c r="A559" s="0" t="s">
        <v>1190</v>
      </c>
      <c r="B559" s="0" t="n">
        <v>1146964.14099754</v>
      </c>
      <c r="C559" s="0" t="n">
        <v>1167979.82976018</v>
      </c>
      <c r="D559" s="0" t="n">
        <f aca="false">IF(B559&gt;C559,1,0)</f>
        <v>0</v>
      </c>
    </row>
    <row r="560" customFormat="false" ht="15" hidden="false" customHeight="false" outlineLevel="0" collapsed="false">
      <c r="A560" s="0" t="s">
        <v>1191</v>
      </c>
      <c r="B560" s="0" t="n">
        <v>93183.7257941924</v>
      </c>
      <c r="C560" s="0" t="n">
        <v>1085338.98314731</v>
      </c>
      <c r="D560" s="0" t="n">
        <f aca="false">IF(B560&gt;C560,1,0)</f>
        <v>0</v>
      </c>
    </row>
    <row r="561" customFormat="false" ht="15" hidden="false" customHeight="false" outlineLevel="0" collapsed="false">
      <c r="A561" s="0" t="s">
        <v>1192</v>
      </c>
      <c r="B561" s="0" t="n">
        <v>270151.059475025</v>
      </c>
      <c r="C561" s="0" t="n">
        <v>1095073.59769691</v>
      </c>
      <c r="D561" s="0" t="n">
        <f aca="false">IF(B561&gt;C561,1,0)</f>
        <v>0</v>
      </c>
    </row>
    <row r="562" customFormat="false" ht="15" hidden="false" customHeight="false" outlineLevel="0" collapsed="false">
      <c r="A562" s="0" t="s">
        <v>1193</v>
      </c>
      <c r="B562" s="0" t="n">
        <v>196020.582623381</v>
      </c>
      <c r="C562" s="0" t="n">
        <v>1117222.30421234</v>
      </c>
      <c r="D562" s="0" t="n">
        <f aca="false">IF(B562&gt;C562,1,0)</f>
        <v>0</v>
      </c>
    </row>
    <row r="563" customFormat="false" ht="15" hidden="false" customHeight="false" outlineLevel="0" collapsed="false">
      <c r="A563" s="0" t="s">
        <v>1194</v>
      </c>
      <c r="B563" s="0" t="n">
        <v>101413.883923969</v>
      </c>
      <c r="C563" s="0" t="n">
        <v>1182563.46943678</v>
      </c>
      <c r="D563" s="0" t="n">
        <f aca="false">IF(B563&gt;C563,1,0)</f>
        <v>0</v>
      </c>
    </row>
    <row r="564" customFormat="false" ht="15" hidden="false" customHeight="false" outlineLevel="0" collapsed="false">
      <c r="A564" s="0" t="s">
        <v>1195</v>
      </c>
      <c r="B564" s="0" t="n">
        <v>-522550.893669347</v>
      </c>
      <c r="C564" s="0" t="n">
        <v>1154765.10375659</v>
      </c>
      <c r="D564" s="0" t="n">
        <f aca="false">IF(B564&gt;C564,1,0)</f>
        <v>0</v>
      </c>
    </row>
    <row r="565" customFormat="false" ht="15" hidden="false" customHeight="false" outlineLevel="0" collapsed="false">
      <c r="A565" s="0" t="s">
        <v>667</v>
      </c>
      <c r="B565" s="0" t="n">
        <v>562942.690083117</v>
      </c>
      <c r="C565" s="0" t="n">
        <v>1147597.57474127</v>
      </c>
      <c r="D565" s="0" t="n">
        <f aca="false">IF(B565&gt;C565,1,0)</f>
        <v>0</v>
      </c>
    </row>
    <row r="566" customFormat="false" ht="15" hidden="false" customHeight="false" outlineLevel="0" collapsed="false">
      <c r="A566" s="0" t="s">
        <v>1196</v>
      </c>
      <c r="B566" s="0" t="n">
        <v>-343770.954012559</v>
      </c>
      <c r="C566" s="0" t="n">
        <v>1145014.18846869</v>
      </c>
      <c r="D566" s="0" t="n">
        <f aca="false">IF(B566&gt;C566,1,0)</f>
        <v>0</v>
      </c>
    </row>
    <row r="567" customFormat="false" ht="15" hidden="false" customHeight="false" outlineLevel="0" collapsed="false">
      <c r="A567" s="0" t="s">
        <v>1197</v>
      </c>
      <c r="B567" s="0" t="n">
        <v>465615.163741159</v>
      </c>
      <c r="C567" s="0" t="n">
        <v>1145749.22114284</v>
      </c>
      <c r="D567" s="0" t="n">
        <f aca="false">IF(B567&gt;C567,1,0)</f>
        <v>0</v>
      </c>
    </row>
    <row r="568" customFormat="false" ht="15" hidden="false" customHeight="false" outlineLevel="0" collapsed="false">
      <c r="A568" s="0" t="s">
        <v>1198</v>
      </c>
      <c r="B568" s="0" t="n">
        <v>-472241.72924154</v>
      </c>
      <c r="C568" s="0" t="n">
        <v>1150468.66092315</v>
      </c>
      <c r="D568" s="0" t="n">
        <f aca="false">IF(B568&gt;C568,1,0)</f>
        <v>0</v>
      </c>
    </row>
    <row r="569" customFormat="false" ht="15" hidden="false" customHeight="false" outlineLevel="0" collapsed="false">
      <c r="A569" s="0" t="s">
        <v>1199</v>
      </c>
      <c r="B569" s="0" t="n">
        <v>661681.518871944</v>
      </c>
      <c r="C569" s="0" t="n">
        <v>1100647.18376283</v>
      </c>
      <c r="D569" s="0" t="n">
        <f aca="false">IF(B569&gt;C569,1,0)</f>
        <v>0</v>
      </c>
    </row>
    <row r="570" customFormat="false" ht="15" hidden="false" customHeight="false" outlineLevel="0" collapsed="false">
      <c r="A570" s="0" t="s">
        <v>1200</v>
      </c>
      <c r="B570" s="0" t="n">
        <v>-105534.75642741</v>
      </c>
      <c r="C570" s="0" t="n">
        <v>1084013.66124238</v>
      </c>
      <c r="D570" s="0" t="n">
        <f aca="false">IF(B570&gt;C570,1,0)</f>
        <v>0</v>
      </c>
    </row>
    <row r="571" customFormat="false" ht="15" hidden="false" customHeight="false" outlineLevel="0" collapsed="false">
      <c r="A571" s="0" t="s">
        <v>1201</v>
      </c>
      <c r="B571" s="0" t="n">
        <v>467634.093847883</v>
      </c>
      <c r="C571" s="0" t="n">
        <v>1073436.06898685</v>
      </c>
      <c r="D571" s="0" t="n">
        <f aca="false">IF(B571&gt;C571,1,0)</f>
        <v>0</v>
      </c>
    </row>
    <row r="572" customFormat="false" ht="15" hidden="false" customHeight="false" outlineLevel="0" collapsed="false">
      <c r="A572" s="0" t="s">
        <v>1202</v>
      </c>
      <c r="B572" s="0" t="n">
        <v>-510544.279172561</v>
      </c>
      <c r="C572" s="0" t="n">
        <v>1083037.35799876</v>
      </c>
      <c r="D572" s="0" t="n">
        <f aca="false">IF(B572&gt;C572,1,0)</f>
        <v>0</v>
      </c>
    </row>
    <row r="573" customFormat="false" ht="15" hidden="false" customHeight="false" outlineLevel="0" collapsed="false">
      <c r="A573" s="0" t="s">
        <v>1203</v>
      </c>
      <c r="B573" s="0" t="n">
        <v>907942.253225346</v>
      </c>
      <c r="C573" s="0" t="n">
        <v>1083705.03289424</v>
      </c>
      <c r="D573" s="0" t="n">
        <f aca="false">IF(B573&gt;C573,1,0)</f>
        <v>0</v>
      </c>
    </row>
    <row r="574" customFormat="false" ht="15" hidden="false" customHeight="false" outlineLevel="0" collapsed="false">
      <c r="A574" s="0" t="s">
        <v>1204</v>
      </c>
      <c r="B574" s="0" t="n">
        <v>-2273941.29770869</v>
      </c>
      <c r="C574" s="0" t="n">
        <v>1100441.33027725</v>
      </c>
      <c r="D574" s="0" t="n">
        <f aca="false">IF(B574&gt;C574,1,0)</f>
        <v>0</v>
      </c>
    </row>
    <row r="575" customFormat="false" ht="15" hidden="false" customHeight="false" outlineLevel="0" collapsed="false">
      <c r="A575" s="0" t="s">
        <v>669</v>
      </c>
      <c r="B575" s="0" t="n">
        <v>1065338.95967707</v>
      </c>
      <c r="C575" s="0" t="n">
        <v>1108527.72722237</v>
      </c>
      <c r="D575" s="0" t="n">
        <f aca="false">IF(B575&gt;C575,1,0)</f>
        <v>0</v>
      </c>
    </row>
    <row r="576" customFormat="false" ht="15" hidden="false" customHeight="false" outlineLevel="0" collapsed="false">
      <c r="A576" s="0" t="s">
        <v>1205</v>
      </c>
      <c r="B576" s="0" t="n">
        <v>-1227314.90778416</v>
      </c>
      <c r="C576" s="0" t="n">
        <v>1152229.29528588</v>
      </c>
      <c r="D576" s="0" t="n">
        <f aca="false">IF(B576&gt;C576,1,0)</f>
        <v>0</v>
      </c>
    </row>
    <row r="577" customFormat="false" ht="15" hidden="false" customHeight="false" outlineLevel="0" collapsed="false">
      <c r="A577" s="0" t="s">
        <v>1206</v>
      </c>
      <c r="B577" s="0" t="n">
        <v>-280897.782843512</v>
      </c>
      <c r="C577" s="0" t="n">
        <v>1137839.0476936</v>
      </c>
      <c r="D577" s="0" t="n">
        <f aca="false">IF(B577&gt;C577,1,0)</f>
        <v>0</v>
      </c>
    </row>
    <row r="578" customFormat="false" ht="15" hidden="false" customHeight="false" outlineLevel="0" collapsed="false">
      <c r="A578" s="0" t="s">
        <v>1207</v>
      </c>
      <c r="B578" s="0" t="n">
        <v>-101923.292980287</v>
      </c>
      <c r="C578" s="0" t="n">
        <v>1159190.68795376</v>
      </c>
      <c r="D578" s="0" t="n">
        <f aca="false">IF(B578&gt;C578,1,0)</f>
        <v>0</v>
      </c>
    </row>
    <row r="579" customFormat="false" ht="15" hidden="false" customHeight="false" outlineLevel="0" collapsed="false">
      <c r="A579" s="0" t="s">
        <v>1208</v>
      </c>
      <c r="B579" s="0" t="n">
        <v>-2491.09176442144</v>
      </c>
      <c r="C579" s="0" t="n">
        <v>1264198.31725741</v>
      </c>
      <c r="D579" s="0" t="n">
        <f aca="false">IF(B579&gt;C579,1,0)</f>
        <v>0</v>
      </c>
    </row>
    <row r="580" customFormat="false" ht="15" hidden="false" customHeight="false" outlineLevel="0" collapsed="false">
      <c r="A580" s="0" t="s">
        <v>1209</v>
      </c>
      <c r="B580" s="0" t="n">
        <v>-786442.97424146</v>
      </c>
      <c r="C580" s="0" t="n">
        <v>1266807.4814573</v>
      </c>
      <c r="D580" s="0" t="n">
        <f aca="false">IF(B580&gt;C580,1,0)</f>
        <v>0</v>
      </c>
    </row>
    <row r="581" customFormat="false" ht="15" hidden="false" customHeight="false" outlineLevel="0" collapsed="false">
      <c r="A581" s="0" t="s">
        <v>1210</v>
      </c>
      <c r="B581" s="0" t="n">
        <v>-1383257.28764918</v>
      </c>
      <c r="C581" s="0" t="n">
        <v>1315977.60879171</v>
      </c>
      <c r="D581" s="0" t="n">
        <f aca="false">IF(B581&gt;C581,1,0)</f>
        <v>0</v>
      </c>
    </row>
    <row r="582" customFormat="false" ht="15" hidden="false" customHeight="false" outlineLevel="0" collapsed="false">
      <c r="A582" s="0" t="s">
        <v>1211</v>
      </c>
      <c r="B582" s="0" t="n">
        <v>821849.8263317</v>
      </c>
      <c r="C582" s="0" t="n">
        <v>1214332.55569572</v>
      </c>
      <c r="D582" s="0" t="n">
        <f aca="false">IF(B582&gt;C582,1,0)</f>
        <v>0</v>
      </c>
    </row>
    <row r="583" customFormat="false" ht="15" hidden="false" customHeight="false" outlineLevel="0" collapsed="false">
      <c r="A583" s="0" t="s">
        <v>1212</v>
      </c>
      <c r="B583" s="0" t="n">
        <v>1371577.84955319</v>
      </c>
      <c r="C583" s="0" t="n">
        <v>1228833.29275512</v>
      </c>
      <c r="D583" s="0" t="n">
        <f aca="false">IF(B583&gt;C583,1,0)</f>
        <v>1</v>
      </c>
    </row>
    <row r="584" customFormat="false" ht="15" hidden="false" customHeight="false" outlineLevel="0" collapsed="false">
      <c r="A584" s="0" t="s">
        <v>1213</v>
      </c>
      <c r="B584" s="0" t="n">
        <v>1579142.93813303</v>
      </c>
      <c r="C584" s="0" t="n">
        <v>1344860.96134969</v>
      </c>
      <c r="D584" s="0" t="n">
        <f aca="false">IF(B584&gt;C584,1,0)</f>
        <v>1</v>
      </c>
    </row>
    <row r="585" customFormat="false" ht="15" hidden="false" customHeight="false" outlineLevel="0" collapsed="false">
      <c r="A585" s="0" t="s">
        <v>671</v>
      </c>
      <c r="B585" s="0" t="n">
        <v>727474.797036084</v>
      </c>
      <c r="C585" s="0" t="n">
        <v>1320551.72759843</v>
      </c>
      <c r="D585" s="0" t="n">
        <f aca="false">IF(B585&gt;C585,1,0)</f>
        <v>0</v>
      </c>
    </row>
    <row r="586" customFormat="false" ht="15" hidden="false" customHeight="false" outlineLevel="0" collapsed="false">
      <c r="A586" s="0" t="s">
        <v>1214</v>
      </c>
      <c r="B586" s="0" t="n">
        <v>139123.857840371</v>
      </c>
      <c r="C586" s="0" t="n">
        <v>1316915.2147983</v>
      </c>
      <c r="D586" s="0" t="n">
        <f aca="false">IF(B586&gt;C586,1,0)</f>
        <v>0</v>
      </c>
    </row>
    <row r="587" customFormat="false" ht="15" hidden="false" customHeight="false" outlineLevel="0" collapsed="false">
      <c r="A587" s="0" t="s">
        <v>1215</v>
      </c>
      <c r="B587" s="0" t="n">
        <v>-16519.2982394793</v>
      </c>
      <c r="C587" s="0" t="n">
        <v>1311499.29901473</v>
      </c>
      <c r="D587" s="0" t="n">
        <f aca="false">IF(B587&gt;C587,1,0)</f>
        <v>0</v>
      </c>
    </row>
    <row r="588" customFormat="false" ht="15" hidden="false" customHeight="false" outlineLevel="0" collapsed="false">
      <c r="A588" s="0" t="s">
        <v>1216</v>
      </c>
      <c r="B588" s="0" t="n">
        <v>494473.605672581</v>
      </c>
      <c r="C588" s="0" t="n">
        <v>1310577.96555428</v>
      </c>
      <c r="D588" s="0" t="n">
        <f aca="false">IF(B588&gt;C588,1,0)</f>
        <v>0</v>
      </c>
    </row>
    <row r="589" customFormat="false" ht="15" hidden="false" customHeight="false" outlineLevel="0" collapsed="false">
      <c r="A589" s="0" t="s">
        <v>1217</v>
      </c>
      <c r="B589" s="0" t="n">
        <v>-84846.2623100411</v>
      </c>
      <c r="C589" s="0" t="n">
        <v>1308113.41579047</v>
      </c>
      <c r="D589" s="0" t="n">
        <f aca="false">IF(B589&gt;C589,1,0)</f>
        <v>0</v>
      </c>
    </row>
    <row r="590" customFormat="false" ht="15" hidden="false" customHeight="false" outlineLevel="0" collapsed="false">
      <c r="A590" s="0" t="s">
        <v>1218</v>
      </c>
      <c r="B590" s="0" t="n">
        <v>-95626.8987129098</v>
      </c>
      <c r="C590" s="0" t="n">
        <v>1308309.04021412</v>
      </c>
      <c r="D590" s="0" t="n">
        <f aca="false">IF(B590&gt;C590,1,0)</f>
        <v>0</v>
      </c>
    </row>
    <row r="591" customFormat="false" ht="15" hidden="false" customHeight="false" outlineLevel="0" collapsed="false">
      <c r="A591" s="0" t="s">
        <v>1219</v>
      </c>
      <c r="B591" s="0" t="n">
        <v>-595735.917993198</v>
      </c>
      <c r="C591" s="0" t="n">
        <v>1321722.8851577</v>
      </c>
      <c r="D591" s="0" t="n">
        <f aca="false">IF(B591&gt;C591,1,0)</f>
        <v>0</v>
      </c>
    </row>
    <row r="592" customFormat="false" ht="15" hidden="false" customHeight="false" outlineLevel="0" collapsed="false">
      <c r="A592" s="0" t="s">
        <v>1220</v>
      </c>
      <c r="B592" s="0" t="n">
        <v>677495.058278624</v>
      </c>
      <c r="C592" s="0" t="n">
        <v>1330609.14852446</v>
      </c>
      <c r="D592" s="0" t="n">
        <f aca="false">IF(B592&gt;C592,1,0)</f>
        <v>0</v>
      </c>
    </row>
    <row r="593" customFormat="false" ht="15" hidden="false" customHeight="false" outlineLevel="0" collapsed="false">
      <c r="A593" s="0" t="s">
        <v>1221</v>
      </c>
      <c r="B593" s="0" t="n">
        <v>-589715.315707018</v>
      </c>
      <c r="C593" s="0" t="n">
        <v>1322412.99077736</v>
      </c>
      <c r="D593" s="0" t="n">
        <f aca="false">IF(B593&gt;C593,1,0)</f>
        <v>0</v>
      </c>
    </row>
    <row r="594" customFormat="false" ht="15" hidden="false" customHeight="false" outlineLevel="0" collapsed="false">
      <c r="A594" s="0" t="s">
        <v>1222</v>
      </c>
      <c r="B594" s="0" t="n">
        <v>-221631.373322868</v>
      </c>
      <c r="C594" s="0" t="n">
        <v>1328523.56156684</v>
      </c>
      <c r="D594" s="0" t="n">
        <f aca="false">IF(B594&gt;C594,1,0)</f>
        <v>0</v>
      </c>
    </row>
    <row r="595" customFormat="false" ht="15" hidden="false" customHeight="false" outlineLevel="0" collapsed="false">
      <c r="A595" s="0" t="s">
        <v>673</v>
      </c>
      <c r="B595" s="0" t="n">
        <v>1266597.61859994</v>
      </c>
      <c r="C595" s="0" t="n">
        <v>1334775.05754266</v>
      </c>
      <c r="D595" s="0" t="n">
        <f aca="false">IF(B595&gt;C595,1,0)</f>
        <v>0</v>
      </c>
    </row>
    <row r="596" customFormat="false" ht="15" hidden="false" customHeight="false" outlineLevel="0" collapsed="false">
      <c r="A596" s="0" t="s">
        <v>1223</v>
      </c>
      <c r="B596" s="0" t="n">
        <v>1437610.74643655</v>
      </c>
      <c r="C596" s="0" t="n">
        <v>1342733.96020932</v>
      </c>
      <c r="D596" s="0" t="n">
        <f aca="false">IF(B596&gt;C596,1,0)</f>
        <v>1</v>
      </c>
    </row>
    <row r="597" customFormat="false" ht="15" hidden="false" customHeight="false" outlineLevel="0" collapsed="false">
      <c r="A597" s="0" t="s">
        <v>1224</v>
      </c>
      <c r="B597" s="0" t="n">
        <v>-660266.470414155</v>
      </c>
      <c r="C597" s="0" t="n">
        <v>1384633.78105812</v>
      </c>
      <c r="D597" s="0" t="n">
        <f aca="false">IF(B597&gt;C597,1,0)</f>
        <v>0</v>
      </c>
    </row>
    <row r="598" customFormat="false" ht="15" hidden="false" customHeight="false" outlineLevel="0" collapsed="false">
      <c r="A598" s="0" t="s">
        <v>1225</v>
      </c>
      <c r="B598" s="0" t="n">
        <v>-397331.546486465</v>
      </c>
      <c r="C598" s="0" t="n">
        <v>1355162.95371721</v>
      </c>
      <c r="D598" s="0" t="n">
        <f aca="false">IF(B598&gt;C598,1,0)</f>
        <v>0</v>
      </c>
    </row>
    <row r="599" customFormat="false" ht="15" hidden="false" customHeight="false" outlineLevel="0" collapsed="false">
      <c r="A599" s="0" t="s">
        <v>1226</v>
      </c>
      <c r="B599" s="0" t="n">
        <v>-472354.524990848</v>
      </c>
      <c r="C599" s="0" t="n">
        <v>1348539.09266502</v>
      </c>
      <c r="D599" s="0" t="n">
        <f aca="false">IF(B599&gt;C599,1,0)</f>
        <v>0</v>
      </c>
    </row>
    <row r="600" customFormat="false" ht="15" hidden="false" customHeight="false" outlineLevel="0" collapsed="false">
      <c r="A600" s="0" t="s">
        <v>1227</v>
      </c>
      <c r="B600" s="0" t="n">
        <v>-237308.313909624</v>
      </c>
      <c r="C600" s="0" t="n">
        <v>1355948.77170115</v>
      </c>
      <c r="D600" s="0" t="n">
        <f aca="false">IF(B600&gt;C600,1,0)</f>
        <v>0</v>
      </c>
    </row>
    <row r="601" customFormat="false" ht="15" hidden="false" customHeight="false" outlineLevel="0" collapsed="false">
      <c r="A601" s="0" t="s">
        <v>1228</v>
      </c>
      <c r="B601" s="0" t="n">
        <v>272545.971043249</v>
      </c>
      <c r="C601" s="0" t="n">
        <v>1365389.68287293</v>
      </c>
      <c r="D601" s="0" t="n">
        <f aca="false">IF(B601&gt;C601,1,0)</f>
        <v>0</v>
      </c>
    </row>
    <row r="602" customFormat="false" ht="15" hidden="false" customHeight="false" outlineLevel="0" collapsed="false">
      <c r="A602" s="0" t="s">
        <v>1229</v>
      </c>
      <c r="B602" s="0" t="n">
        <v>-1205770.81445406</v>
      </c>
      <c r="C602" s="0" t="n">
        <v>1353302.96224237</v>
      </c>
      <c r="D602" s="0" t="n">
        <f aca="false">IF(B602&gt;C602,1,0)</f>
        <v>0</v>
      </c>
    </row>
    <row r="603" customFormat="false" ht="15" hidden="false" customHeight="false" outlineLevel="0" collapsed="false">
      <c r="A603" s="0" t="s">
        <v>1230</v>
      </c>
      <c r="B603" s="0" t="n">
        <v>-460721.067139866</v>
      </c>
      <c r="C603" s="0" t="n">
        <v>1315902.02352054</v>
      </c>
      <c r="D603" s="0" t="n">
        <f aca="false">IF(B603&gt;C603,1,0)</f>
        <v>0</v>
      </c>
    </row>
    <row r="604" customFormat="false" ht="15" hidden="false" customHeight="false" outlineLevel="0" collapsed="false">
      <c r="A604" s="0" t="s">
        <v>1231</v>
      </c>
      <c r="B604" s="0" t="n">
        <v>-49801.8303223345</v>
      </c>
      <c r="C604" s="0" t="n">
        <v>1304316.88681559</v>
      </c>
      <c r="D604" s="0" t="n">
        <f aca="false">IF(B604&gt;C604,1,0)</f>
        <v>0</v>
      </c>
    </row>
    <row r="605" customFormat="false" ht="15" hidden="false" customHeight="false" outlineLevel="0" collapsed="false">
      <c r="A605" s="0" t="s">
        <v>674</v>
      </c>
      <c r="B605" s="0" t="n">
        <v>-272884.290583015</v>
      </c>
      <c r="C605" s="0" t="n">
        <v>1321787.95132747</v>
      </c>
      <c r="D605" s="0" t="n">
        <f aca="false">IF(B605&gt;C605,1,0)</f>
        <v>0</v>
      </c>
    </row>
    <row r="606" customFormat="false" ht="15" hidden="false" customHeight="false" outlineLevel="0" collapsed="false">
      <c r="A606" s="0" t="s">
        <v>1232</v>
      </c>
      <c r="B606" s="0" t="n">
        <v>29577.6593386526</v>
      </c>
      <c r="C606" s="0" t="n">
        <v>1320006.35049353</v>
      </c>
      <c r="D606" s="0" t="n">
        <f aca="false">IF(B606&gt;C606,1,0)</f>
        <v>0</v>
      </c>
    </row>
    <row r="607" customFormat="false" ht="15" hidden="false" customHeight="false" outlineLevel="0" collapsed="false">
      <c r="A607" s="0" t="s">
        <v>1233</v>
      </c>
      <c r="B607" s="0" t="n">
        <v>306413.915726924</v>
      </c>
      <c r="C607" s="0" t="n">
        <v>1313312.63055197</v>
      </c>
      <c r="D607" s="0" t="n">
        <f aca="false">IF(B607&gt;C607,1,0)</f>
        <v>0</v>
      </c>
    </row>
    <row r="608" customFormat="false" ht="15" hidden="false" customHeight="false" outlineLevel="0" collapsed="false">
      <c r="A608" s="0" t="s">
        <v>1234</v>
      </c>
      <c r="B608" s="0" t="n">
        <v>-1099055.48146647</v>
      </c>
      <c r="C608" s="0" t="n">
        <v>1321902.27453998</v>
      </c>
      <c r="D608" s="0" t="n">
        <f aca="false">IF(B608&gt;C608,1,0)</f>
        <v>0</v>
      </c>
    </row>
    <row r="609" customFormat="false" ht="15" hidden="false" customHeight="false" outlineLevel="0" collapsed="false">
      <c r="A609" s="0" t="s">
        <v>1235</v>
      </c>
      <c r="B609" s="0" t="n">
        <v>-143836.478495692</v>
      </c>
      <c r="C609" s="0" t="n">
        <v>1310773.50714624</v>
      </c>
      <c r="D609" s="0" t="n">
        <f aca="false">IF(B609&gt;C609,1,0)</f>
        <v>0</v>
      </c>
    </row>
    <row r="610" customFormat="false" ht="15" hidden="false" customHeight="false" outlineLevel="0" collapsed="false">
      <c r="A610" s="0" t="s">
        <v>1236</v>
      </c>
      <c r="B610" s="0" t="n">
        <v>243944.425999317</v>
      </c>
      <c r="C610" s="0" t="n">
        <v>1318493.76956036</v>
      </c>
      <c r="D610" s="0" t="n">
        <f aca="false">IF(B610&gt;C610,1,0)</f>
        <v>0</v>
      </c>
    </row>
    <row r="611" customFormat="false" ht="15" hidden="false" customHeight="false" outlineLevel="0" collapsed="false">
      <c r="A611" s="0" t="s">
        <v>1237</v>
      </c>
      <c r="B611" s="0" t="n">
        <v>73809.5948176552</v>
      </c>
      <c r="C611" s="0" t="n">
        <v>1312306.19798583</v>
      </c>
      <c r="D611" s="0" t="n">
        <f aca="false">IF(B611&gt;C611,1,0)</f>
        <v>0</v>
      </c>
    </row>
    <row r="612" customFormat="false" ht="15" hidden="false" customHeight="false" outlineLevel="0" collapsed="false">
      <c r="A612" s="0" t="s">
        <v>1238</v>
      </c>
      <c r="B612" s="0" t="n">
        <v>222219.904158966</v>
      </c>
      <c r="C612" s="0" t="n">
        <v>1315161.61298414</v>
      </c>
      <c r="D612" s="0" t="n">
        <f aca="false">IF(B612&gt;C612,1,0)</f>
        <v>0</v>
      </c>
    </row>
    <row r="613" customFormat="false" ht="15" hidden="false" customHeight="false" outlineLevel="0" collapsed="false">
      <c r="A613" s="0" t="s">
        <v>1239</v>
      </c>
      <c r="B613" s="0" t="n">
        <v>782835.729273889</v>
      </c>
      <c r="C613" s="0" t="n">
        <v>1303299.75751176</v>
      </c>
      <c r="D613" s="0" t="n">
        <f aca="false">IF(B613&gt;C613,1,0)</f>
        <v>0</v>
      </c>
    </row>
    <row r="614" customFormat="false" ht="15" hidden="false" customHeight="false" outlineLevel="0" collapsed="false">
      <c r="A614" s="0" t="s">
        <v>1240</v>
      </c>
      <c r="B614" s="0" t="n">
        <v>-727560.366233479</v>
      </c>
      <c r="C614" s="0" t="n">
        <v>1319691.62531003</v>
      </c>
      <c r="D614" s="0" t="n">
        <f aca="false">IF(B614&gt;C614,1,0)</f>
        <v>0</v>
      </c>
    </row>
    <row r="615" customFormat="false" ht="15" hidden="false" customHeight="false" outlineLevel="0" collapsed="false">
      <c r="A615" s="0" t="s">
        <v>676</v>
      </c>
      <c r="B615" s="0" t="n">
        <v>-475279.848445722</v>
      </c>
      <c r="C615" s="0" t="n">
        <v>1304926.86930511</v>
      </c>
      <c r="D615" s="0" t="n">
        <f aca="false">IF(B615&gt;C615,1,0)</f>
        <v>0</v>
      </c>
    </row>
    <row r="616" customFormat="false" ht="15" hidden="false" customHeight="false" outlineLevel="0" collapsed="false">
      <c r="A616" s="0" t="s">
        <v>1241</v>
      </c>
      <c r="B616" s="0" t="n">
        <v>491066.201204629</v>
      </c>
      <c r="C616" s="0" t="n">
        <v>1302897.67462019</v>
      </c>
      <c r="D616" s="0" t="n">
        <f aca="false">IF(B616&gt;C616,1,0)</f>
        <v>0</v>
      </c>
    </row>
    <row r="617" customFormat="false" ht="15" hidden="false" customHeight="false" outlineLevel="0" collapsed="false">
      <c r="A617" s="0" t="s">
        <v>1242</v>
      </c>
      <c r="B617" s="0" t="n">
        <v>789484.718274816</v>
      </c>
      <c r="C617" s="0" t="n">
        <v>1278507.82911748</v>
      </c>
      <c r="D617" s="0" t="n">
        <f aca="false">IF(B617&gt;C617,1,0)</f>
        <v>0</v>
      </c>
    </row>
    <row r="618" customFormat="false" ht="15" hidden="false" customHeight="false" outlineLevel="0" collapsed="false">
      <c r="A618" s="0" t="s">
        <v>1243</v>
      </c>
      <c r="B618" s="0" t="n">
        <v>-489441.81137689</v>
      </c>
      <c r="C618" s="0" t="n">
        <v>1294944.22805164</v>
      </c>
      <c r="D618" s="0" t="n">
        <f aca="false">IF(B618&gt;C618,1,0)</f>
        <v>0</v>
      </c>
    </row>
    <row r="619" customFormat="false" ht="15" hidden="false" customHeight="false" outlineLevel="0" collapsed="false">
      <c r="A619" s="0" t="s">
        <v>1244</v>
      </c>
      <c r="B619" s="0" t="n">
        <v>-2130473.86061914</v>
      </c>
      <c r="C619" s="0" t="n">
        <v>1311193.9639759</v>
      </c>
      <c r="D619" s="0" t="n">
        <f aca="false">IF(B619&gt;C619,1,0)</f>
        <v>0</v>
      </c>
    </row>
    <row r="620" customFormat="false" ht="15" hidden="false" customHeight="false" outlineLevel="0" collapsed="false">
      <c r="A620" s="0" t="s">
        <v>1245</v>
      </c>
      <c r="B620" s="0" t="n">
        <v>-912872.005810466</v>
      </c>
      <c r="C620" s="0" t="n">
        <v>1295533.25249242</v>
      </c>
      <c r="D620" s="0" t="n">
        <f aca="false">IF(B620&gt;C620,1,0)</f>
        <v>0</v>
      </c>
    </row>
    <row r="621" customFormat="false" ht="15" hidden="false" customHeight="false" outlineLevel="0" collapsed="false">
      <c r="A621" s="0" t="s">
        <v>1246</v>
      </c>
      <c r="B621" s="0" t="n">
        <v>-88494.3286436228</v>
      </c>
      <c r="C621" s="0" t="n">
        <v>1288973.37503061</v>
      </c>
      <c r="D621" s="0" t="n">
        <f aca="false">IF(B621&gt;C621,1,0)</f>
        <v>0</v>
      </c>
    </row>
    <row r="622" customFormat="false" ht="15" hidden="false" customHeight="false" outlineLevel="0" collapsed="false">
      <c r="A622" s="0" t="s">
        <v>1247</v>
      </c>
      <c r="B622" s="0" t="n">
        <v>867509.481016196</v>
      </c>
      <c r="C622" s="0" t="n">
        <v>1296355.13104163</v>
      </c>
      <c r="D622" s="0" t="n">
        <f aca="false">IF(B622&gt;C622,1,0)</f>
        <v>0</v>
      </c>
    </row>
    <row r="623" customFormat="false" ht="15" hidden="false" customHeight="false" outlineLevel="0" collapsed="false">
      <c r="A623" s="0" t="s">
        <v>1248</v>
      </c>
      <c r="B623" s="0" t="n">
        <v>-1118464.91059702</v>
      </c>
      <c r="C623" s="0" t="n">
        <v>1302225.21297657</v>
      </c>
      <c r="D623" s="0" t="n">
        <f aca="false">IF(B623&gt;C623,1,0)</f>
        <v>0</v>
      </c>
    </row>
    <row r="624" customFormat="false" ht="15" hidden="false" customHeight="false" outlineLevel="0" collapsed="false">
      <c r="A624" s="0" t="s">
        <v>1249</v>
      </c>
      <c r="B624" s="0" t="n">
        <v>-474454.084054182</v>
      </c>
      <c r="C624" s="0" t="n">
        <v>1275673.85656313</v>
      </c>
      <c r="D624" s="0" t="n">
        <f aca="false">IF(B624&gt;C624,1,0)</f>
        <v>0</v>
      </c>
    </row>
    <row r="625" customFormat="false" ht="15" hidden="false" customHeight="false" outlineLevel="0" collapsed="false">
      <c r="A625" s="0" t="s">
        <v>678</v>
      </c>
      <c r="B625" s="0" t="n">
        <v>-1126303.86472666</v>
      </c>
      <c r="C625" s="0" t="n">
        <v>1267474.9500889</v>
      </c>
      <c r="D625" s="0" t="n">
        <f aca="false">IF(B625&gt;C625,1,0)</f>
        <v>0</v>
      </c>
    </row>
    <row r="626" customFormat="false" ht="15" hidden="false" customHeight="false" outlineLevel="0" collapsed="false">
      <c r="A626" s="0" t="s">
        <v>1250</v>
      </c>
      <c r="B626" s="0" t="n">
        <v>144600.048012892</v>
      </c>
      <c r="C626" s="0" t="n">
        <v>1236841.69855288</v>
      </c>
      <c r="D626" s="0" t="n">
        <f aca="false">IF(B626&gt;C626,1,0)</f>
        <v>0</v>
      </c>
    </row>
    <row r="627" customFormat="false" ht="15" hidden="false" customHeight="false" outlineLevel="0" collapsed="false">
      <c r="A627" s="0" t="s">
        <v>1251</v>
      </c>
      <c r="B627" s="0" t="n">
        <v>-820659.509404948</v>
      </c>
      <c r="C627" s="0" t="n">
        <v>1229456.48315122</v>
      </c>
      <c r="D627" s="0" t="n">
        <f aca="false">IF(B627&gt;C627,1,0)</f>
        <v>0</v>
      </c>
    </row>
    <row r="628" customFormat="false" ht="15" hidden="false" customHeight="false" outlineLevel="0" collapsed="false">
      <c r="A628" s="0" t="s">
        <v>1252</v>
      </c>
      <c r="B628" s="0" t="n">
        <v>1168778.97674393</v>
      </c>
      <c r="C628" s="0" t="n">
        <v>1227254.00693099</v>
      </c>
      <c r="D628" s="0" t="n">
        <f aca="false">IF(B628&gt;C628,1,0)</f>
        <v>0</v>
      </c>
    </row>
    <row r="629" customFormat="false" ht="15" hidden="false" customHeight="false" outlineLevel="0" collapsed="false">
      <c r="A629" s="0" t="s">
        <v>1253</v>
      </c>
      <c r="B629" s="0" t="n">
        <v>-76458.9247388355</v>
      </c>
      <c r="C629" s="0" t="n">
        <v>1267977.12817402</v>
      </c>
      <c r="D629" s="0" t="n">
        <f aca="false">IF(B629&gt;C629,1,0)</f>
        <v>0</v>
      </c>
    </row>
    <row r="630" customFormat="false" ht="15" hidden="false" customHeight="false" outlineLevel="0" collapsed="false">
      <c r="A630" s="0" t="s">
        <v>1254</v>
      </c>
      <c r="B630" s="0" t="n">
        <v>-137239.982931039</v>
      </c>
      <c r="C630" s="0" t="n">
        <v>1294335.03662185</v>
      </c>
      <c r="D630" s="0" t="n">
        <f aca="false">IF(B630&gt;C630,1,0)</f>
        <v>0</v>
      </c>
    </row>
    <row r="631" customFormat="false" ht="15" hidden="false" customHeight="false" outlineLevel="0" collapsed="false">
      <c r="A631" s="0" t="s">
        <v>1255</v>
      </c>
      <c r="B631" s="0" t="n">
        <v>-1672256.48036118</v>
      </c>
      <c r="C631" s="0" t="n">
        <v>1265168.94703763</v>
      </c>
      <c r="D631" s="0" t="n">
        <f aca="false">IF(B631&gt;C631,1,0)</f>
        <v>0</v>
      </c>
    </row>
    <row r="632" customFormat="false" ht="15" hidden="false" customHeight="false" outlineLevel="0" collapsed="false">
      <c r="A632" s="0" t="s">
        <v>1256</v>
      </c>
      <c r="B632" s="0" t="n">
        <v>-2560031.29337937</v>
      </c>
      <c r="C632" s="0" t="n">
        <v>1280132.5582569</v>
      </c>
      <c r="D632" s="0" t="n">
        <f aca="false">IF(B632&gt;C632,1,0)</f>
        <v>0</v>
      </c>
    </row>
    <row r="633" customFormat="false" ht="15" hidden="false" customHeight="false" outlineLevel="0" collapsed="false">
      <c r="A633" s="0" t="s">
        <v>1257</v>
      </c>
      <c r="B633" s="0" t="n">
        <v>716982.698904689</v>
      </c>
      <c r="C633" s="0" t="n">
        <v>1177078.43384633</v>
      </c>
      <c r="D633" s="0" t="n">
        <f aca="false">IF(B633&gt;C633,1,0)</f>
        <v>0</v>
      </c>
    </row>
    <row r="634" customFormat="false" ht="15" hidden="false" customHeight="false" outlineLevel="0" collapsed="false">
      <c r="A634" s="0" t="s">
        <v>1258</v>
      </c>
      <c r="B634" s="0" t="n">
        <v>-148572.83235029</v>
      </c>
      <c r="C634" s="0" t="n">
        <v>1173904.41081614</v>
      </c>
      <c r="D634" s="0" t="n">
        <f aca="false">IF(B634&gt;C634,1,0)</f>
        <v>0</v>
      </c>
    </row>
    <row r="635" customFormat="false" ht="15" hidden="false" customHeight="false" outlineLevel="0" collapsed="false">
      <c r="A635" s="0" t="s">
        <v>680</v>
      </c>
      <c r="B635" s="0" t="n">
        <v>-210658.114502029</v>
      </c>
      <c r="C635" s="0" t="n">
        <v>1158558.19235993</v>
      </c>
      <c r="D635" s="0" t="n">
        <f aca="false">IF(B635&gt;C635,1,0)</f>
        <v>0</v>
      </c>
    </row>
    <row r="636" customFormat="false" ht="15" hidden="false" customHeight="false" outlineLevel="0" collapsed="false">
      <c r="A636" s="0" t="s">
        <v>1259</v>
      </c>
      <c r="B636" s="0" t="n">
        <v>112361.036852693</v>
      </c>
      <c r="C636" s="0" t="n">
        <v>1178489.69191719</v>
      </c>
      <c r="D636" s="0" t="n">
        <f aca="false">IF(B636&gt;C636,1,0)</f>
        <v>0</v>
      </c>
    </row>
    <row r="637" customFormat="false" ht="15" hidden="false" customHeight="false" outlineLevel="0" collapsed="false">
      <c r="A637" s="0" t="s">
        <v>1260</v>
      </c>
      <c r="B637" s="0" t="n">
        <v>-586754.546302578</v>
      </c>
      <c r="C637" s="0" t="n">
        <v>1160765.64111016</v>
      </c>
      <c r="D637" s="0" t="n">
        <f aca="false">IF(B637&gt;C637,1,0)</f>
        <v>0</v>
      </c>
    </row>
    <row r="638" customFormat="false" ht="15" hidden="false" customHeight="false" outlineLevel="0" collapsed="false">
      <c r="A638" s="0" t="s">
        <v>1261</v>
      </c>
      <c r="B638" s="0" t="n">
        <v>-683444.147445295</v>
      </c>
      <c r="C638" s="0" t="n">
        <v>1154977.37792622</v>
      </c>
      <c r="D638" s="0" t="n">
        <f aca="false">IF(B638&gt;C638,1,0)</f>
        <v>0</v>
      </c>
    </row>
    <row r="639" customFormat="false" ht="15" hidden="false" customHeight="false" outlineLevel="0" collapsed="false">
      <c r="A639" s="0" t="s">
        <v>1262</v>
      </c>
      <c r="B639" s="0" t="n">
        <v>892139.517184214</v>
      </c>
      <c r="C639" s="0" t="n">
        <v>1143481.90838597</v>
      </c>
      <c r="D639" s="0" t="n">
        <f aca="false">IF(B639&gt;C639,1,0)</f>
        <v>0</v>
      </c>
    </row>
    <row r="640" customFormat="false" ht="15" hidden="false" customHeight="false" outlineLevel="0" collapsed="false">
      <c r="A640" s="0" t="s">
        <v>1263</v>
      </c>
      <c r="B640" s="0" t="n">
        <v>1229712.83487046</v>
      </c>
      <c r="C640" s="0" t="n">
        <v>1153795.81320432</v>
      </c>
      <c r="D640" s="0" t="n">
        <f aca="false">IF(B640&gt;C640,1,0)</f>
        <v>1</v>
      </c>
    </row>
    <row r="641" customFormat="false" ht="15" hidden="false" customHeight="false" outlineLevel="0" collapsed="false">
      <c r="A641" s="0" t="s">
        <v>1264</v>
      </c>
      <c r="B641" s="0" t="n">
        <v>480829.738818491</v>
      </c>
      <c r="C641" s="0" t="n">
        <v>1198593.69888334</v>
      </c>
      <c r="D641" s="0" t="n">
        <f aca="false">IF(B641&gt;C641,1,0)</f>
        <v>0</v>
      </c>
    </row>
    <row r="642" customFormat="false" ht="15" hidden="false" customHeight="false" outlineLevel="0" collapsed="false">
      <c r="A642" s="0" t="s">
        <v>1265</v>
      </c>
      <c r="B642" s="0" t="n">
        <v>498111.189056546</v>
      </c>
      <c r="C642" s="0" t="n">
        <v>1206903.01819381</v>
      </c>
      <c r="D642" s="0" t="n">
        <f aca="false">IF(B642&gt;C642,1,0)</f>
        <v>0</v>
      </c>
    </row>
    <row r="643" customFormat="false" ht="15" hidden="false" customHeight="false" outlineLevel="0" collapsed="false">
      <c r="A643" s="0" t="s">
        <v>1266</v>
      </c>
      <c r="B643" s="0" t="n">
        <v>-555304.531130329</v>
      </c>
      <c r="C643" s="0" t="n">
        <v>1209323.48159031</v>
      </c>
      <c r="D643" s="0" t="n">
        <f aca="false">IF(B643&gt;C643,1,0)</f>
        <v>0</v>
      </c>
    </row>
    <row r="644" customFormat="false" ht="15" hidden="false" customHeight="false" outlineLevel="0" collapsed="false">
      <c r="A644" s="0" t="s">
        <v>1267</v>
      </c>
      <c r="B644" s="0" t="n">
        <v>-919108.730511205</v>
      </c>
      <c r="C644" s="0" t="n">
        <v>1177650.08484014</v>
      </c>
      <c r="D644" s="0" t="n">
        <f aca="false">IF(B644&gt;C644,1,0)</f>
        <v>0</v>
      </c>
    </row>
    <row r="645" customFormat="false" ht="15" hidden="false" customHeight="false" outlineLevel="0" collapsed="false">
      <c r="A645" s="0" t="s">
        <v>682</v>
      </c>
      <c r="B645" s="0" t="n">
        <v>942506.27178364</v>
      </c>
      <c r="C645" s="0" t="n">
        <v>1194090.65319012</v>
      </c>
      <c r="D645" s="0" t="n">
        <f aca="false">IF(B645&gt;C645,1,0)</f>
        <v>0</v>
      </c>
    </row>
    <row r="646" customFormat="false" ht="15" hidden="false" customHeight="false" outlineLevel="0" collapsed="false">
      <c r="A646" s="0" t="s">
        <v>1268</v>
      </c>
      <c r="B646" s="0" t="n">
        <v>-253909.528279286</v>
      </c>
      <c r="C646" s="0" t="n">
        <v>1168969.89255173</v>
      </c>
      <c r="D646" s="0" t="n">
        <f aca="false">IF(B646&gt;C646,1,0)</f>
        <v>0</v>
      </c>
    </row>
    <row r="647" customFormat="false" ht="15" hidden="false" customHeight="false" outlineLevel="0" collapsed="false">
      <c r="A647" s="0" t="s">
        <v>1269</v>
      </c>
      <c r="B647" s="0" t="n">
        <v>-834485.449894302</v>
      </c>
      <c r="C647" s="0" t="n">
        <v>1210508.90387795</v>
      </c>
      <c r="D647" s="0" t="n">
        <f aca="false">IF(B647&gt;C647,1,0)</f>
        <v>0</v>
      </c>
    </row>
    <row r="648" customFormat="false" ht="15" hidden="false" customHeight="false" outlineLevel="0" collapsed="false">
      <c r="A648" s="0" t="s">
        <v>1270</v>
      </c>
      <c r="B648" s="0" t="n">
        <v>-1158772.83441476</v>
      </c>
      <c r="C648" s="0" t="n">
        <v>1186182.44849468</v>
      </c>
      <c r="D648" s="0" t="n">
        <f aca="false">IF(B648&gt;C648,1,0)</f>
        <v>0</v>
      </c>
    </row>
    <row r="649" customFormat="false" ht="15" hidden="false" customHeight="false" outlineLevel="0" collapsed="false">
      <c r="A649" s="0" t="s">
        <v>1271</v>
      </c>
      <c r="B649" s="0" t="n">
        <v>-2193734.34647264</v>
      </c>
      <c r="C649" s="0" t="n">
        <v>1203833.44570651</v>
      </c>
      <c r="D649" s="0" t="n">
        <f aca="false">IF(B649&gt;C649,1,0)</f>
        <v>0</v>
      </c>
    </row>
    <row r="650" customFormat="false" ht="15" hidden="false" customHeight="false" outlineLevel="0" collapsed="false">
      <c r="A650" s="0" t="s">
        <v>1272</v>
      </c>
      <c r="B650" s="0" t="n">
        <v>-451616.047703516</v>
      </c>
      <c r="C650" s="0" t="n">
        <v>1137397.16434854</v>
      </c>
      <c r="D650" s="0" t="n">
        <f aca="false">IF(B650&gt;C650,1,0)</f>
        <v>0</v>
      </c>
    </row>
    <row r="651" customFormat="false" ht="15" hidden="false" customHeight="false" outlineLevel="0" collapsed="false">
      <c r="A651" s="0" t="s">
        <v>1273</v>
      </c>
      <c r="B651" s="0" t="n">
        <v>288843.614441983</v>
      </c>
      <c r="C651" s="0" t="n">
        <v>1115630.36960217</v>
      </c>
      <c r="D651" s="0" t="n">
        <f aca="false">IF(B651&gt;C651,1,0)</f>
        <v>0</v>
      </c>
    </row>
    <row r="652" customFormat="false" ht="15" hidden="false" customHeight="false" outlineLevel="0" collapsed="false">
      <c r="A652" s="0" t="s">
        <v>1274</v>
      </c>
      <c r="B652" s="0" t="n">
        <v>-679569.321058059</v>
      </c>
      <c r="C652" s="0" t="n">
        <v>1115474.82945893</v>
      </c>
      <c r="D652" s="0" t="n">
        <f aca="false">IF(B652&gt;C652,1,0)</f>
        <v>0</v>
      </c>
    </row>
    <row r="653" customFormat="false" ht="15" hidden="false" customHeight="false" outlineLevel="0" collapsed="false">
      <c r="A653" s="0" t="s">
        <v>1275</v>
      </c>
      <c r="B653" s="0" t="n">
        <v>414743.56197302</v>
      </c>
      <c r="C653" s="0" t="n">
        <v>1093121.64641712</v>
      </c>
      <c r="D653" s="0" t="n">
        <f aca="false">IF(B653&gt;C653,1,0)</f>
        <v>0</v>
      </c>
    </row>
    <row r="654" customFormat="false" ht="15" hidden="false" customHeight="false" outlineLevel="0" collapsed="false">
      <c r="A654" s="0" t="s">
        <v>1276</v>
      </c>
      <c r="B654" s="0" t="n">
        <v>116216.006740274</v>
      </c>
      <c r="C654" s="0" t="n">
        <v>1111092.69108884</v>
      </c>
      <c r="D654" s="0" t="n">
        <f aca="false">IF(B654&gt;C654,1,0)</f>
        <v>0</v>
      </c>
    </row>
    <row r="655" customFormat="false" ht="15" hidden="false" customHeight="false" outlineLevel="0" collapsed="false">
      <c r="A655" s="0" t="s">
        <v>684</v>
      </c>
      <c r="B655" s="0" t="n">
        <v>158344.251690349</v>
      </c>
      <c r="C655" s="0" t="n">
        <v>1105046.54524117</v>
      </c>
      <c r="D655" s="0" t="n">
        <f aca="false">IF(B655&gt;C655,1,0)</f>
        <v>0</v>
      </c>
    </row>
    <row r="656" customFormat="false" ht="15" hidden="false" customHeight="false" outlineLevel="0" collapsed="false">
      <c r="A656" s="0" t="s">
        <v>1277</v>
      </c>
      <c r="B656" s="0" t="n">
        <v>12792.6679472774</v>
      </c>
      <c r="C656" s="0" t="n">
        <v>1101202.567143</v>
      </c>
      <c r="D656" s="0" t="n">
        <f aca="false">IF(B656&gt;C656,1,0)</f>
        <v>0</v>
      </c>
    </row>
    <row r="657" customFormat="false" ht="15" hidden="false" customHeight="false" outlineLevel="0" collapsed="false">
      <c r="A657" s="0" t="s">
        <v>1278</v>
      </c>
      <c r="B657" s="0" t="n">
        <v>53248.2955698315</v>
      </c>
      <c r="C657" s="0" t="n">
        <v>1111953.31889923</v>
      </c>
      <c r="D657" s="0" t="n">
        <f aca="false">IF(B657&gt;C657,1,0)</f>
        <v>0</v>
      </c>
    </row>
    <row r="658" customFormat="false" ht="15" hidden="false" customHeight="false" outlineLevel="0" collapsed="false">
      <c r="A658" s="0" t="s">
        <v>1279</v>
      </c>
      <c r="B658" s="0" t="n">
        <v>19374.5502648633</v>
      </c>
      <c r="C658" s="0" t="n">
        <v>1108895.69550168</v>
      </c>
      <c r="D658" s="0" t="n">
        <f aca="false">IF(B658&gt;C658,1,0)</f>
        <v>0</v>
      </c>
    </row>
    <row r="659" customFormat="false" ht="15" hidden="false" customHeight="false" outlineLevel="0" collapsed="false">
      <c r="A659" s="0" t="s">
        <v>1280</v>
      </c>
      <c r="B659" s="0" t="n">
        <v>101434.622670762</v>
      </c>
      <c r="C659" s="0" t="n">
        <v>1111696.42090815</v>
      </c>
      <c r="D659" s="0" t="n">
        <f aca="false">IF(B659&gt;C659,1,0)</f>
        <v>0</v>
      </c>
    </row>
    <row r="660" customFormat="false" ht="15" hidden="false" customHeight="false" outlineLevel="0" collapsed="false">
      <c r="A660" s="0" t="s">
        <v>1281</v>
      </c>
      <c r="B660" s="0" t="n">
        <v>316691.411815932</v>
      </c>
      <c r="C660" s="0" t="n">
        <v>1115908.04426369</v>
      </c>
      <c r="D660" s="0" t="n">
        <f aca="false">IF(B660&gt;C660,1,0)</f>
        <v>0</v>
      </c>
    </row>
    <row r="661" customFormat="false" ht="15" hidden="false" customHeight="false" outlineLevel="0" collapsed="false">
      <c r="A661" s="0" t="s">
        <v>1282</v>
      </c>
      <c r="B661" s="0" t="n">
        <v>-64501.585064996</v>
      </c>
      <c r="C661" s="0" t="n">
        <v>1126952.42931774</v>
      </c>
      <c r="D661" s="0" t="n">
        <f aca="false">IF(B661&gt;C661,1,0)</f>
        <v>0</v>
      </c>
    </row>
    <row r="662" customFormat="false" ht="15" hidden="false" customHeight="false" outlineLevel="0" collapsed="false">
      <c r="A662" s="0" t="s">
        <v>1283</v>
      </c>
      <c r="B662" s="0" t="n">
        <v>174553.166039772</v>
      </c>
      <c r="C662" s="0" t="n">
        <v>1129492.67260272</v>
      </c>
      <c r="D662" s="0" t="n">
        <f aca="false">IF(B662&gt;C662,1,0)</f>
        <v>0</v>
      </c>
    </row>
    <row r="663" customFormat="false" ht="15" hidden="false" customHeight="false" outlineLevel="0" collapsed="false">
      <c r="A663" s="0" t="s">
        <v>1284</v>
      </c>
      <c r="B663" s="0" t="n">
        <v>78221.0196441822</v>
      </c>
      <c r="C663" s="0" t="n">
        <v>1136480.89700478</v>
      </c>
      <c r="D663" s="0" t="n">
        <f aca="false">IF(B663&gt;C663,1,0)</f>
        <v>0</v>
      </c>
    </row>
    <row r="664" customFormat="false" ht="15" hidden="false" customHeight="false" outlineLevel="0" collapsed="false">
      <c r="A664" s="0" t="s">
        <v>1285</v>
      </c>
      <c r="B664" s="0" t="n">
        <v>-56404.5640268084</v>
      </c>
      <c r="C664" s="0" t="n">
        <v>1135621.63178033</v>
      </c>
      <c r="D664" s="0" t="n">
        <f aca="false">IF(B664&gt;C664,1,0)</f>
        <v>0</v>
      </c>
    </row>
    <row r="665" customFormat="false" ht="15" hidden="false" customHeight="false" outlineLevel="0" collapsed="false">
      <c r="A665" s="0" t="s">
        <v>686</v>
      </c>
      <c r="B665" s="0" t="n">
        <v>150800.90076035</v>
      </c>
      <c r="C665" s="0" t="n">
        <v>1135323.51350089</v>
      </c>
      <c r="D665" s="0" t="n">
        <f aca="false">IF(B665&gt;C665,1,0)</f>
        <v>0</v>
      </c>
    </row>
    <row r="666" customFormat="false" ht="15" hidden="false" customHeight="false" outlineLevel="0" collapsed="false">
      <c r="A666" s="0" t="s">
        <v>1286</v>
      </c>
      <c r="B666" s="0" t="n">
        <v>-32736.9599493975</v>
      </c>
      <c r="C666" s="0" t="n">
        <v>1132319.35777889</v>
      </c>
      <c r="D666" s="0" t="n">
        <f aca="false">IF(B666&gt;C666,1,0)</f>
        <v>0</v>
      </c>
    </row>
    <row r="667" customFormat="false" ht="15" hidden="false" customHeight="false" outlineLevel="0" collapsed="false">
      <c r="A667" s="0" t="s">
        <v>1287</v>
      </c>
      <c r="B667" s="0" t="n">
        <v>-421873.977380212</v>
      </c>
      <c r="C667" s="0" t="n">
        <v>1117469.76413735</v>
      </c>
      <c r="D667" s="0" t="n">
        <f aca="false">IF(B667&gt;C667,1,0)</f>
        <v>0</v>
      </c>
    </row>
    <row r="668" customFormat="false" ht="15" hidden="false" customHeight="false" outlineLevel="0" collapsed="false">
      <c r="A668" s="0" t="s">
        <v>1288</v>
      </c>
      <c r="B668" s="0" t="n">
        <v>155182.20596987</v>
      </c>
      <c r="C668" s="0" t="n">
        <v>1092163.85891213</v>
      </c>
      <c r="D668" s="0" t="n">
        <f aca="false">IF(B668&gt;C668,1,0)</f>
        <v>0</v>
      </c>
    </row>
    <row r="669" customFormat="false" ht="15" hidden="false" customHeight="false" outlineLevel="0" collapsed="false">
      <c r="A669" s="0" t="s">
        <v>1289</v>
      </c>
      <c r="B669" s="0" t="n">
        <v>-149185.532196159</v>
      </c>
      <c r="C669" s="0" t="n">
        <v>1087116.05088545</v>
      </c>
      <c r="D669" s="0" t="n">
        <f aca="false">IF(B669&gt;C669,1,0)</f>
        <v>0</v>
      </c>
    </row>
    <row r="670" customFormat="false" ht="15" hidden="false" customHeight="false" outlineLevel="0" collapsed="false">
      <c r="A670" s="0" t="s">
        <v>1290</v>
      </c>
      <c r="B670" s="0" t="n">
        <v>-185477.663356835</v>
      </c>
      <c r="C670" s="0" t="n">
        <v>1086313.62359953</v>
      </c>
      <c r="D670" s="0" t="n">
        <f aca="false">IF(B670&gt;C670,1,0)</f>
        <v>0</v>
      </c>
    </row>
    <row r="671" customFormat="false" ht="15" hidden="false" customHeight="false" outlineLevel="0" collapsed="false">
      <c r="A671" s="0" t="s">
        <v>1291</v>
      </c>
      <c r="B671" s="0" t="n">
        <v>-103139.646155393</v>
      </c>
      <c r="C671" s="0" t="n">
        <v>1081789.98666479</v>
      </c>
      <c r="D671" s="0" t="n">
        <f aca="false">IF(B671&gt;C671,1,0)</f>
        <v>0</v>
      </c>
    </row>
    <row r="672" customFormat="false" ht="15" hidden="false" customHeight="false" outlineLevel="0" collapsed="false">
      <c r="A672" s="0" t="s">
        <v>1292</v>
      </c>
      <c r="B672" s="0" t="n">
        <v>16957.5022354834</v>
      </c>
      <c r="C672" s="0" t="n">
        <v>1081458.48405278</v>
      </c>
      <c r="D672" s="0" t="n">
        <f aca="false">IF(B672&gt;C672,1,0)</f>
        <v>0</v>
      </c>
    </row>
    <row r="673" customFormat="false" ht="15" hidden="false" customHeight="false" outlineLevel="0" collapsed="false">
      <c r="A673" s="0" t="s">
        <v>1293</v>
      </c>
      <c r="B673" s="0" t="n">
        <v>170421.013926467</v>
      </c>
      <c r="C673" s="0" t="n">
        <v>1082340.32349402</v>
      </c>
      <c r="D673" s="0" t="n">
        <f aca="false">IF(B673&gt;C673,1,0)</f>
        <v>0</v>
      </c>
    </row>
    <row r="674" customFormat="false" ht="15" hidden="false" customHeight="false" outlineLevel="0" collapsed="false">
      <c r="A674" s="0" t="s">
        <v>1294</v>
      </c>
      <c r="B674" s="0" t="n">
        <v>291628.004811412</v>
      </c>
      <c r="C674" s="0" t="n">
        <v>1088287.0393234</v>
      </c>
      <c r="D674" s="0" t="n">
        <f aca="false">IF(B674&gt;C674,1,0)</f>
        <v>0</v>
      </c>
    </row>
    <row r="675" customFormat="false" ht="15" hidden="false" customHeight="false" outlineLevel="0" collapsed="false">
      <c r="A675" s="0" t="s">
        <v>688</v>
      </c>
      <c r="B675" s="0" t="n">
        <v>-47582.1890029814</v>
      </c>
      <c r="C675" s="0" t="n">
        <v>1096826.52140876</v>
      </c>
      <c r="D675" s="0" t="n">
        <f aca="false">IF(B675&gt;C675,1,0)</f>
        <v>0</v>
      </c>
    </row>
    <row r="676" customFormat="false" ht="15" hidden="false" customHeight="false" outlineLevel="0" collapsed="false">
      <c r="A676" s="0" t="s">
        <v>1295</v>
      </c>
      <c r="B676" s="0" t="n">
        <v>-14527.4185274374</v>
      </c>
      <c r="C676" s="0" t="n">
        <v>1098083.63644775</v>
      </c>
      <c r="D676" s="0" t="n">
        <f aca="false">IF(B676&gt;C676,1,0)</f>
        <v>0</v>
      </c>
    </row>
    <row r="677" customFormat="false" ht="15" hidden="false" customHeight="false" outlineLevel="0" collapsed="false">
      <c r="A677" s="0" t="s">
        <v>1296</v>
      </c>
      <c r="B677" s="0" t="n">
        <v>-54642.5131233148</v>
      </c>
      <c r="C677" s="0" t="n">
        <v>1100183.51428948</v>
      </c>
      <c r="D677" s="0" t="n">
        <f aca="false">IF(B677&gt;C677,1,0)</f>
        <v>0</v>
      </c>
    </row>
    <row r="678" customFormat="false" ht="15" hidden="false" customHeight="false" outlineLevel="0" collapsed="false">
      <c r="A678" s="0" t="s">
        <v>1297</v>
      </c>
      <c r="B678" s="0" t="n">
        <v>357781.689172071</v>
      </c>
      <c r="C678" s="0" t="n">
        <v>1104170.2432617</v>
      </c>
      <c r="D678" s="0" t="n">
        <f aca="false">IF(B678&gt;C678,1,0)</f>
        <v>0</v>
      </c>
    </row>
    <row r="679" customFormat="false" ht="15" hidden="false" customHeight="false" outlineLevel="0" collapsed="false">
      <c r="A679" s="0" t="s">
        <v>1298</v>
      </c>
      <c r="B679" s="0" t="n">
        <v>67771.3125996888</v>
      </c>
      <c r="C679" s="0" t="n">
        <v>1102836.927208</v>
      </c>
      <c r="D679" s="0" t="n">
        <f aca="false">IF(B679&gt;C679,1,0)</f>
        <v>0</v>
      </c>
    </row>
    <row r="680" customFormat="false" ht="15" hidden="false" customHeight="false" outlineLevel="0" collapsed="false">
      <c r="A680" s="0" t="s">
        <v>1299</v>
      </c>
      <c r="B680" s="0" t="n">
        <v>272245.619061182</v>
      </c>
      <c r="C680" s="0" t="n">
        <v>1102925.26473803</v>
      </c>
      <c r="D680" s="0" t="n">
        <f aca="false">IF(B680&gt;C680,1,0)</f>
        <v>0</v>
      </c>
    </row>
    <row r="681" customFormat="false" ht="15" hidden="false" customHeight="false" outlineLevel="0" collapsed="false">
      <c r="A681" s="0" t="s">
        <v>1300</v>
      </c>
      <c r="B681" s="0" t="n">
        <v>68276.5425770618</v>
      </c>
      <c r="C681" s="0" t="n">
        <v>1104015.51902087</v>
      </c>
      <c r="D681" s="0" t="n">
        <f aca="false">IF(B681&gt;C681,1,0)</f>
        <v>0</v>
      </c>
    </row>
    <row r="682" customFormat="false" ht="15" hidden="false" customHeight="false" outlineLevel="0" collapsed="false">
      <c r="A682" s="0" t="s">
        <v>1301</v>
      </c>
      <c r="B682" s="0" t="n">
        <v>-394309.040719997</v>
      </c>
      <c r="C682" s="0" t="n">
        <v>1116458.84469704</v>
      </c>
      <c r="D682" s="0" t="n">
        <f aca="false">IF(B682&gt;C682,1,0)</f>
        <v>0</v>
      </c>
    </row>
    <row r="683" customFormat="false" ht="15" hidden="false" customHeight="false" outlineLevel="0" collapsed="false">
      <c r="A683" s="0" t="s">
        <v>1302</v>
      </c>
      <c r="B683" s="0" t="n">
        <v>-130323.667103341</v>
      </c>
      <c r="C683" s="0" t="n">
        <v>1117489.05638138</v>
      </c>
      <c r="D683" s="0" t="n">
        <f aca="false">IF(B683&gt;C683,1,0)</f>
        <v>0</v>
      </c>
    </row>
    <row r="684" customFormat="false" ht="15" hidden="false" customHeight="false" outlineLevel="0" collapsed="false">
      <c r="A684" s="0" t="s">
        <v>1303</v>
      </c>
      <c r="B684" s="0" t="n">
        <v>-39836.7317181323</v>
      </c>
      <c r="C684" s="0" t="n">
        <v>1116760.50888419</v>
      </c>
      <c r="D684" s="0" t="n">
        <f aca="false">IF(B684&gt;C684,1,0)</f>
        <v>0</v>
      </c>
    </row>
    <row r="685" customFormat="false" ht="15" hidden="false" customHeight="false" outlineLevel="0" collapsed="false">
      <c r="A685" s="0" t="s">
        <v>690</v>
      </c>
      <c r="B685" s="0" t="n">
        <v>-56368.6649117302</v>
      </c>
      <c r="C685" s="0" t="n">
        <v>1115534.75250882</v>
      </c>
      <c r="D685" s="0" t="n">
        <f aca="false">IF(B685&gt;C685,1,0)</f>
        <v>0</v>
      </c>
    </row>
    <row r="686" customFormat="false" ht="15" hidden="false" customHeight="false" outlineLevel="0" collapsed="false">
      <c r="A686" s="0" t="s">
        <v>1304</v>
      </c>
      <c r="B686" s="0" t="n">
        <v>72279.028167082</v>
      </c>
      <c r="C686" s="0" t="n">
        <v>1115292.00580533</v>
      </c>
      <c r="D686" s="0" t="n">
        <f aca="false">IF(B686&gt;C686,1,0)</f>
        <v>0</v>
      </c>
    </row>
    <row r="687" customFormat="false" ht="15" hidden="false" customHeight="false" outlineLevel="0" collapsed="false">
      <c r="A687" s="0" t="s">
        <v>1305</v>
      </c>
      <c r="B687" s="0" t="n">
        <v>-46290.1020037849</v>
      </c>
      <c r="C687" s="0" t="n">
        <v>1111313.21283829</v>
      </c>
      <c r="D687" s="0" t="n">
        <f aca="false">IF(B687&gt;C687,1,0)</f>
        <v>0</v>
      </c>
    </row>
    <row r="688" customFormat="false" ht="15" hidden="false" customHeight="false" outlineLevel="0" collapsed="false">
      <c r="A688" s="0" t="s">
        <v>1306</v>
      </c>
      <c r="B688" s="0" t="n">
        <v>-81320.8716584481</v>
      </c>
      <c r="C688" s="0" t="n">
        <v>1111804.89584856</v>
      </c>
      <c r="D688" s="0" t="n">
        <f aca="false">IF(B688&gt;C688,1,0)</f>
        <v>0</v>
      </c>
    </row>
    <row r="689" customFormat="false" ht="15" hidden="false" customHeight="false" outlineLevel="0" collapsed="false">
      <c r="A689" s="0" t="s">
        <v>1307</v>
      </c>
      <c r="B689" s="0" t="n">
        <v>114850.061262341</v>
      </c>
      <c r="C689" s="0" t="n">
        <v>1130455.98874157</v>
      </c>
      <c r="D689" s="0" t="n">
        <f aca="false">IF(B689&gt;C689,1,0)</f>
        <v>0</v>
      </c>
    </row>
    <row r="690" customFormat="false" ht="15" hidden="false" customHeight="false" outlineLevel="0" collapsed="false">
      <c r="A690" s="0" t="s">
        <v>1308</v>
      </c>
      <c r="B690" s="0" t="n">
        <v>141224.749975713</v>
      </c>
      <c r="C690" s="0" t="n">
        <v>1142403.36644244</v>
      </c>
      <c r="D690" s="0" t="n">
        <f aca="false">IF(B690&gt;C690,1,0)</f>
        <v>0</v>
      </c>
    </row>
    <row r="691" customFormat="false" ht="15" hidden="false" customHeight="false" outlineLevel="0" collapsed="false">
      <c r="A691" s="0" t="s">
        <v>1309</v>
      </c>
      <c r="B691" s="0" t="n">
        <v>1176426.48064651</v>
      </c>
      <c r="C691" s="0" t="n">
        <v>1128973.02519893</v>
      </c>
      <c r="D691" s="0" t="n">
        <f aca="false">IF(B691&gt;C691,1,0)</f>
        <v>1</v>
      </c>
    </row>
    <row r="692" customFormat="false" ht="15" hidden="false" customHeight="false" outlineLevel="0" collapsed="false">
      <c r="A692" s="0" t="s">
        <v>1310</v>
      </c>
      <c r="B692" s="0" t="n">
        <v>1575082.97923076</v>
      </c>
      <c r="C692" s="0" t="n">
        <v>1164044.01961098</v>
      </c>
      <c r="D692" s="0" t="n">
        <f aca="false">IF(B692&gt;C692,1,0)</f>
        <v>1</v>
      </c>
    </row>
    <row r="693" customFormat="false" ht="15" hidden="false" customHeight="false" outlineLevel="0" collapsed="false">
      <c r="A693" s="0" t="s">
        <v>1311</v>
      </c>
      <c r="B693" s="0" t="n">
        <v>-862864.770730184</v>
      </c>
      <c r="C693" s="0" t="n">
        <v>1234722.58717435</v>
      </c>
      <c r="D693" s="0" t="n">
        <f aca="false">IF(B693&gt;C693,1,0)</f>
        <v>0</v>
      </c>
    </row>
    <row r="694" customFormat="false" ht="15" hidden="false" customHeight="false" outlineLevel="0" collapsed="false">
      <c r="A694" s="0" t="s">
        <v>1312</v>
      </c>
      <c r="B694" s="0" t="n">
        <v>138026.109605559</v>
      </c>
      <c r="C694" s="0" t="n">
        <v>1209909.9124402</v>
      </c>
      <c r="D694" s="0" t="n">
        <f aca="false">IF(B694&gt;C694,1,0)</f>
        <v>0</v>
      </c>
    </row>
    <row r="695" customFormat="false" ht="15" hidden="false" customHeight="false" outlineLevel="0" collapsed="false">
      <c r="A695" s="0" t="s">
        <v>692</v>
      </c>
      <c r="B695" s="0" t="n">
        <v>351559.414608937</v>
      </c>
      <c r="C695" s="0" t="n">
        <v>1226210.29182407</v>
      </c>
      <c r="D695" s="0" t="n">
        <f aca="false">IF(B695&gt;C695,1,0)</f>
        <v>0</v>
      </c>
    </row>
    <row r="696" customFormat="false" ht="15" hidden="false" customHeight="false" outlineLevel="0" collapsed="false">
      <c r="A696" s="0" t="s">
        <v>1313</v>
      </c>
      <c r="B696" s="0" t="n">
        <v>-596868.434252515</v>
      </c>
      <c r="C696" s="0" t="n">
        <v>1230338.94067882</v>
      </c>
      <c r="D696" s="0" t="n">
        <f aca="false">IF(B696&gt;C696,1,0)</f>
        <v>0</v>
      </c>
    </row>
    <row r="697" customFormat="false" ht="15" hidden="false" customHeight="false" outlineLevel="0" collapsed="false">
      <c r="A697" s="0" t="s">
        <v>1314</v>
      </c>
      <c r="B697" s="0" t="n">
        <v>224270.264794447</v>
      </c>
      <c r="C697" s="0" t="n">
        <v>1222190.75071127</v>
      </c>
      <c r="D697" s="0" t="n">
        <f aca="false">IF(B697&gt;C697,1,0)</f>
        <v>0</v>
      </c>
    </row>
    <row r="698" customFormat="false" ht="15" hidden="false" customHeight="false" outlineLevel="0" collapsed="false">
      <c r="A698" s="0" t="s">
        <v>1315</v>
      </c>
      <c r="B698" s="0" t="n">
        <v>789451.664575098</v>
      </c>
      <c r="C698" s="0" t="n">
        <v>1217912.60776352</v>
      </c>
      <c r="D698" s="0" t="n">
        <f aca="false">IF(B698&gt;C698,1,0)</f>
        <v>0</v>
      </c>
    </row>
    <row r="699" customFormat="false" ht="15" hidden="false" customHeight="false" outlineLevel="0" collapsed="false">
      <c r="A699" s="0" t="s">
        <v>1316</v>
      </c>
      <c r="B699" s="0" t="n">
        <v>-52794.7565883026</v>
      </c>
      <c r="C699" s="0" t="n">
        <v>1232373.91505488</v>
      </c>
      <c r="D699" s="0" t="n">
        <f aca="false">IF(B699&gt;C699,1,0)</f>
        <v>0</v>
      </c>
    </row>
    <row r="700" customFormat="false" ht="15" hidden="false" customHeight="false" outlineLevel="0" collapsed="false">
      <c r="A700" s="0" t="s">
        <v>1317</v>
      </c>
      <c r="B700" s="0" t="n">
        <v>-212520.95662437</v>
      </c>
      <c r="C700" s="0" t="n">
        <v>1239538.50679383</v>
      </c>
      <c r="D700" s="0" t="n">
        <f aca="false">IF(B700&gt;C700,1,0)</f>
        <v>0</v>
      </c>
    </row>
    <row r="701" customFormat="false" ht="15" hidden="false" customHeight="false" outlineLevel="0" collapsed="false">
      <c r="A701" s="0" t="s">
        <v>1318</v>
      </c>
      <c r="B701" s="0" t="n">
        <v>-463013.59759015</v>
      </c>
      <c r="C701" s="0" t="n">
        <v>1232663.82845401</v>
      </c>
      <c r="D701" s="0" t="n">
        <f aca="false">IF(B701&gt;C701,1,0)</f>
        <v>0</v>
      </c>
    </row>
    <row r="702" customFormat="false" ht="15" hidden="false" customHeight="false" outlineLevel="0" collapsed="false">
      <c r="A702" s="0" t="s">
        <v>1319</v>
      </c>
      <c r="B702" s="0" t="n">
        <v>-901839.630858492</v>
      </c>
      <c r="C702" s="0" t="n">
        <v>1220668.46403367</v>
      </c>
      <c r="D702" s="0" t="n">
        <f aca="false">IF(B702&gt;C702,1,0)</f>
        <v>0</v>
      </c>
    </row>
    <row r="703" customFormat="false" ht="15" hidden="false" customHeight="false" outlineLevel="0" collapsed="false">
      <c r="A703" s="0" t="s">
        <v>1320</v>
      </c>
      <c r="B703" s="0" t="n">
        <v>892721.651373657</v>
      </c>
      <c r="C703" s="0" t="n">
        <v>1222878.6161339</v>
      </c>
      <c r="D703" s="0" t="n">
        <f aca="false">IF(B703&gt;C703,1,0)</f>
        <v>0</v>
      </c>
    </row>
    <row r="704" customFormat="false" ht="15" hidden="false" customHeight="false" outlineLevel="0" collapsed="false">
      <c r="A704" s="0" t="s">
        <v>1321</v>
      </c>
      <c r="B704" s="0" t="n">
        <v>-258853.913291918</v>
      </c>
      <c r="C704" s="0" t="n">
        <v>1215755.54483633</v>
      </c>
      <c r="D704" s="0" t="n">
        <f aca="false">IF(B704&gt;C704,1,0)</f>
        <v>0</v>
      </c>
    </row>
    <row r="705" customFormat="false" ht="15" hidden="false" customHeight="false" outlineLevel="0" collapsed="false">
      <c r="A705" s="0" t="s">
        <v>693</v>
      </c>
      <c r="B705" s="0" t="n">
        <v>-313842.18761796</v>
      </c>
      <c r="C705" s="0" t="n">
        <v>1215344.34482765</v>
      </c>
      <c r="D705" s="0" t="n">
        <f aca="false">IF(B705&gt;C705,1,0)</f>
        <v>0</v>
      </c>
    </row>
    <row r="706" customFormat="false" ht="15" hidden="false" customHeight="false" outlineLevel="0" collapsed="false">
      <c r="A706" s="0" t="s">
        <v>1322</v>
      </c>
      <c r="B706" s="0" t="n">
        <v>23437.9134594891</v>
      </c>
      <c r="C706" s="0" t="n">
        <v>1212619.77394063</v>
      </c>
      <c r="D706" s="0" t="n">
        <f aca="false">IF(B706&gt;C706,1,0)</f>
        <v>0</v>
      </c>
    </row>
    <row r="707" customFormat="false" ht="15" hidden="false" customHeight="false" outlineLevel="0" collapsed="false">
      <c r="A707" s="0" t="s">
        <v>1323</v>
      </c>
      <c r="B707" s="0" t="n">
        <v>1325223.53188649</v>
      </c>
      <c r="C707" s="0" t="n">
        <v>1217042.26271766</v>
      </c>
      <c r="D707" s="0" t="n">
        <f aca="false">IF(B707&gt;C707,1,0)</f>
        <v>1</v>
      </c>
    </row>
    <row r="708" customFormat="false" ht="15" hidden="false" customHeight="false" outlineLevel="0" collapsed="false">
      <c r="A708" s="0" t="s">
        <v>1324</v>
      </c>
      <c r="B708" s="0" t="n">
        <v>-343948.407945348</v>
      </c>
      <c r="C708" s="0" t="n">
        <v>1253963.26633252</v>
      </c>
      <c r="D708" s="0" t="n">
        <f aca="false">IF(B708&gt;C708,1,0)</f>
        <v>0</v>
      </c>
    </row>
    <row r="709" customFormat="false" ht="15" hidden="false" customHeight="false" outlineLevel="0" collapsed="false">
      <c r="A709" s="0" t="s">
        <v>1325</v>
      </c>
      <c r="B709" s="0" t="n">
        <v>572986.282552489</v>
      </c>
      <c r="C709" s="0" t="n">
        <v>1249725.8557704</v>
      </c>
      <c r="D709" s="0" t="n">
        <f aca="false">IF(B709&gt;C709,1,0)</f>
        <v>0</v>
      </c>
    </row>
    <row r="710" customFormat="false" ht="15" hidden="false" customHeight="false" outlineLevel="0" collapsed="false">
      <c r="A710" s="0" t="s">
        <v>1326</v>
      </c>
      <c r="B710" s="0" t="n">
        <v>-394372.084123612</v>
      </c>
      <c r="C710" s="0" t="n">
        <v>1231733.58591044</v>
      </c>
      <c r="D710" s="0" t="n">
        <f aca="false">IF(B710&gt;C710,1,0)</f>
        <v>0</v>
      </c>
    </row>
    <row r="711" customFormat="false" ht="15" hidden="false" customHeight="false" outlineLevel="0" collapsed="false">
      <c r="A711" s="0" t="s">
        <v>1327</v>
      </c>
      <c r="B711" s="0" t="n">
        <v>259838.496881993</v>
      </c>
      <c r="C711" s="0" t="n">
        <v>1216731.27214909</v>
      </c>
      <c r="D711" s="0" t="n">
        <f aca="false">IF(B711&gt;C711,1,0)</f>
        <v>0</v>
      </c>
    </row>
    <row r="712" customFormat="false" ht="15" hidden="false" customHeight="false" outlineLevel="0" collapsed="false">
      <c r="A712" s="0" t="s">
        <v>1328</v>
      </c>
      <c r="B712" s="0" t="n">
        <v>-57740.0293926839</v>
      </c>
      <c r="C712" s="0" t="n">
        <v>1216843.00732743</v>
      </c>
      <c r="D712" s="0" t="n">
        <f aca="false">IF(B712&gt;C712,1,0)</f>
        <v>0</v>
      </c>
    </row>
    <row r="713" customFormat="false" ht="15" hidden="false" customHeight="false" outlineLevel="0" collapsed="false">
      <c r="A713" s="0" t="s">
        <v>1329</v>
      </c>
      <c r="B713" s="0" t="n">
        <v>185547.54633804</v>
      </c>
      <c r="C713" s="0" t="n">
        <v>1246586.62589417</v>
      </c>
      <c r="D713" s="0" t="n">
        <f aca="false">IF(B713&gt;C713,1,0)</f>
        <v>0</v>
      </c>
    </row>
    <row r="714" customFormat="false" ht="15" hidden="false" customHeight="false" outlineLevel="0" collapsed="false">
      <c r="A714" s="0" t="s">
        <v>1330</v>
      </c>
      <c r="B714" s="0" t="n">
        <v>378621.249581343</v>
      </c>
      <c r="C714" s="0" t="n">
        <v>1278625.06924186</v>
      </c>
      <c r="D714" s="0" t="n">
        <f aca="false">IF(B714&gt;C714,1,0)</f>
        <v>0</v>
      </c>
    </row>
    <row r="715" customFormat="false" ht="15" hidden="false" customHeight="false" outlineLevel="0" collapsed="false">
      <c r="A715" s="0" t="s">
        <v>695</v>
      </c>
      <c r="B715" s="0" t="n">
        <v>-521568.339423568</v>
      </c>
      <c r="C715" s="0" t="n">
        <v>1254143.90841819</v>
      </c>
      <c r="D715" s="0" t="n">
        <f aca="false">IF(B715&gt;C715,1,0)</f>
        <v>0</v>
      </c>
    </row>
    <row r="716" customFormat="false" ht="15" hidden="false" customHeight="false" outlineLevel="0" collapsed="false">
      <c r="A716" s="0" t="s">
        <v>1331</v>
      </c>
      <c r="B716" s="0" t="n">
        <v>-809998.830951141</v>
      </c>
      <c r="C716" s="0" t="n">
        <v>1234875.11000838</v>
      </c>
      <c r="D716" s="0" t="n">
        <f aca="false">IF(B716&gt;C716,1,0)</f>
        <v>0</v>
      </c>
    </row>
    <row r="717" customFormat="false" ht="15" hidden="false" customHeight="false" outlineLevel="0" collapsed="false">
      <c r="A717" s="0" t="s">
        <v>1332</v>
      </c>
      <c r="B717" s="0" t="n">
        <v>-492201.761077859</v>
      </c>
      <c r="C717" s="0" t="n">
        <v>1205208.72838941</v>
      </c>
      <c r="D717" s="0" t="n">
        <f aca="false">IF(B717&gt;C717,1,0)</f>
        <v>0</v>
      </c>
    </row>
    <row r="718" customFormat="false" ht="15" hidden="false" customHeight="false" outlineLevel="0" collapsed="false">
      <c r="A718" s="0" t="s">
        <v>1333</v>
      </c>
      <c r="B718" s="0" t="n">
        <v>-327087.913352948</v>
      </c>
      <c r="C718" s="0" t="n">
        <v>1208052.47290552</v>
      </c>
      <c r="D718" s="0" t="n">
        <f aca="false">IF(B718&gt;C718,1,0)</f>
        <v>0</v>
      </c>
    </row>
    <row r="719" customFormat="false" ht="15" hidden="false" customHeight="false" outlineLevel="0" collapsed="false">
      <c r="A719" s="0" t="s">
        <v>1334</v>
      </c>
      <c r="B719" s="0" t="n">
        <v>-405693.855729223</v>
      </c>
      <c r="C719" s="0" t="n">
        <v>1210900.69983324</v>
      </c>
      <c r="D719" s="0" t="n">
        <f aca="false">IF(B719&gt;C719,1,0)</f>
        <v>0</v>
      </c>
    </row>
    <row r="720" customFormat="false" ht="15" hidden="false" customHeight="false" outlineLevel="0" collapsed="false">
      <c r="A720" s="0" t="s">
        <v>1335</v>
      </c>
      <c r="B720" s="0" t="n">
        <v>498208.778903317</v>
      </c>
      <c r="C720" s="0" t="n">
        <v>1214128.58526714</v>
      </c>
      <c r="D720" s="0" t="n">
        <f aca="false">IF(B720&gt;C720,1,0)</f>
        <v>0</v>
      </c>
    </row>
    <row r="721" customFormat="false" ht="15" hidden="false" customHeight="false" outlineLevel="0" collapsed="false">
      <c r="A721" s="0" t="s">
        <v>1336</v>
      </c>
      <c r="B721" s="0" t="n">
        <v>-318159.214668784</v>
      </c>
      <c r="C721" s="0" t="n">
        <v>1219881.11248599</v>
      </c>
      <c r="D721" s="0" t="n">
        <f aca="false">IF(B721&gt;C721,1,0)</f>
        <v>0</v>
      </c>
    </row>
    <row r="722" customFormat="false" ht="15" hidden="false" customHeight="false" outlineLevel="0" collapsed="false">
      <c r="A722" s="0" t="s">
        <v>1337</v>
      </c>
      <c r="B722" s="0" t="n">
        <v>388685.620124061</v>
      </c>
      <c r="C722" s="0" t="n">
        <v>1266004.97337692</v>
      </c>
      <c r="D722" s="0" t="n">
        <f aca="false">IF(B722&gt;C722,1,0)</f>
        <v>0</v>
      </c>
    </row>
    <row r="723" customFormat="false" ht="15" hidden="false" customHeight="false" outlineLevel="0" collapsed="false">
      <c r="A723" s="0" t="s">
        <v>1338</v>
      </c>
      <c r="B723" s="0" t="n">
        <v>-465470.751928312</v>
      </c>
      <c r="C723" s="0" t="n">
        <v>1239581.01581694</v>
      </c>
      <c r="D723" s="0" t="n">
        <f aca="false">IF(B723&gt;C723,1,0)</f>
        <v>0</v>
      </c>
    </row>
    <row r="724" customFormat="false" ht="15" hidden="false" customHeight="false" outlineLevel="0" collapsed="false">
      <c r="A724" s="0" t="s">
        <v>1339</v>
      </c>
      <c r="B724" s="0" t="n">
        <v>133597.151201513</v>
      </c>
      <c r="C724" s="0" t="n">
        <v>1232995.07174621</v>
      </c>
      <c r="D724" s="0" t="n">
        <f aca="false">IF(B724&gt;C724,1,0)</f>
        <v>0</v>
      </c>
    </row>
    <row r="725" customFormat="false" ht="15" hidden="false" customHeight="false" outlineLevel="0" collapsed="false">
      <c r="A725" s="0" t="s">
        <v>697</v>
      </c>
      <c r="B725" s="0" t="n">
        <v>111420.029036754</v>
      </c>
      <c r="C725" s="0" t="n">
        <v>1238291.98819239</v>
      </c>
      <c r="D725" s="0" t="n">
        <f aca="false">IF(B725&gt;C725,1,0)</f>
        <v>0</v>
      </c>
    </row>
    <row r="726" customFormat="false" ht="15" hidden="false" customHeight="false" outlineLevel="0" collapsed="false">
      <c r="A726" s="0" t="s">
        <v>1340</v>
      </c>
      <c r="B726" s="0" t="n">
        <v>397970.685868939</v>
      </c>
      <c r="C726" s="0" t="n">
        <v>1254483.92410751</v>
      </c>
      <c r="D726" s="0" t="n">
        <f aca="false">IF(B726&gt;C726,1,0)</f>
        <v>0</v>
      </c>
    </row>
    <row r="727" customFormat="false" ht="15" hidden="false" customHeight="false" outlineLevel="0" collapsed="false">
      <c r="A727" s="0" t="s">
        <v>1341</v>
      </c>
      <c r="B727" s="0" t="n">
        <v>-602288.840075806</v>
      </c>
      <c r="C727" s="0" t="n">
        <v>1242165.06948864</v>
      </c>
      <c r="D727" s="0" t="n">
        <f aca="false">IF(B727&gt;C727,1,0)</f>
        <v>0</v>
      </c>
    </row>
    <row r="728" customFormat="false" ht="15" hidden="false" customHeight="false" outlineLevel="0" collapsed="false">
      <c r="A728" s="0" t="s">
        <v>1342</v>
      </c>
      <c r="B728" s="0" t="n">
        <v>221517.549752776</v>
      </c>
      <c r="C728" s="0" t="n">
        <v>1269763.02537307</v>
      </c>
      <c r="D728" s="0" t="n">
        <f aca="false">IF(B728&gt;C728,1,0)</f>
        <v>0</v>
      </c>
    </row>
    <row r="729" customFormat="false" ht="15" hidden="false" customHeight="false" outlineLevel="0" collapsed="false">
      <c r="A729" s="0" t="s">
        <v>1343</v>
      </c>
      <c r="B729" s="0" t="n">
        <v>242178.932995642</v>
      </c>
      <c r="C729" s="0" t="n">
        <v>1279824.55735081</v>
      </c>
      <c r="D729" s="0" t="n">
        <f aca="false">IF(B729&gt;C729,1,0)</f>
        <v>0</v>
      </c>
    </row>
    <row r="730" customFormat="false" ht="15" hidden="false" customHeight="false" outlineLevel="0" collapsed="false">
      <c r="A730" s="0" t="s">
        <v>1344</v>
      </c>
      <c r="B730" s="0" t="n">
        <v>416693.642828608</v>
      </c>
      <c r="C730" s="0" t="n">
        <v>1341170.15172604</v>
      </c>
      <c r="D730" s="0" t="n">
        <f aca="false">IF(B730&gt;C730,1,0)</f>
        <v>0</v>
      </c>
    </row>
    <row r="731" customFormat="false" ht="15" hidden="false" customHeight="false" outlineLevel="0" collapsed="false">
      <c r="A731" s="0" t="s">
        <v>1345</v>
      </c>
      <c r="B731" s="0" t="n">
        <v>-1003969.30269058</v>
      </c>
      <c r="C731" s="0" t="n">
        <v>1267051.97931759</v>
      </c>
      <c r="D731" s="0" t="n">
        <f aca="false">IF(B731&gt;C731,1,0)</f>
        <v>0</v>
      </c>
    </row>
    <row r="732" customFormat="false" ht="15" hidden="false" customHeight="false" outlineLevel="0" collapsed="false">
      <c r="A732" s="0" t="s">
        <v>1346</v>
      </c>
      <c r="B732" s="0" t="n">
        <v>-1170114.37536082</v>
      </c>
      <c r="C732" s="0" t="n">
        <v>1241604.88090524</v>
      </c>
      <c r="D732" s="0" t="n">
        <f aca="false">IF(B732&gt;C732,1,0)</f>
        <v>0</v>
      </c>
    </row>
    <row r="733" customFormat="false" ht="15" hidden="false" customHeight="false" outlineLevel="0" collapsed="false">
      <c r="A733" s="0" t="s">
        <v>1347</v>
      </c>
      <c r="B733" s="0" t="n">
        <v>-551720.36944918</v>
      </c>
      <c r="C733" s="0" t="n">
        <v>1241633.91374016</v>
      </c>
      <c r="D733" s="0" t="n">
        <f aca="false">IF(B733&gt;C733,1,0)</f>
        <v>0</v>
      </c>
    </row>
    <row r="734" customFormat="false" ht="15" hidden="false" customHeight="false" outlineLevel="0" collapsed="false">
      <c r="A734" s="0" t="s">
        <v>1348</v>
      </c>
      <c r="B734" s="0" t="n">
        <v>-78787.5357639231</v>
      </c>
      <c r="C734" s="0" t="n">
        <v>1200113.38038238</v>
      </c>
      <c r="D734" s="0" t="n">
        <f aca="false">IF(B734&gt;C734,1,0)</f>
        <v>0</v>
      </c>
    </row>
    <row r="735" customFormat="false" ht="15" hidden="false" customHeight="false" outlineLevel="0" collapsed="false">
      <c r="A735" s="0" t="s">
        <v>699</v>
      </c>
      <c r="B735" s="0" t="n">
        <v>-289322.425870493</v>
      </c>
      <c r="C735" s="0" t="n">
        <v>1188586.52887725</v>
      </c>
      <c r="D735" s="0" t="n">
        <f aca="false">IF(B735&gt;C735,1,0)</f>
        <v>0</v>
      </c>
    </row>
    <row r="736" customFormat="false" ht="15" hidden="false" customHeight="false" outlineLevel="0" collapsed="false">
      <c r="A736" s="0" t="s">
        <v>1349</v>
      </c>
      <c r="B736" s="0" t="n">
        <v>-113985.986897882</v>
      </c>
      <c r="C736" s="0" t="n">
        <v>1189998.7993656</v>
      </c>
      <c r="D736" s="0" t="n">
        <f aca="false">IF(B736&gt;C736,1,0)</f>
        <v>0</v>
      </c>
    </row>
    <row r="737" customFormat="false" ht="15" hidden="false" customHeight="false" outlineLevel="0" collapsed="false">
      <c r="A737" s="0" t="s">
        <v>1350</v>
      </c>
      <c r="B737" s="0" t="n">
        <v>230148.866130877</v>
      </c>
      <c r="C737" s="0" t="n">
        <v>1181074.6088766</v>
      </c>
      <c r="D737" s="0" t="n">
        <f aca="false">IF(B737&gt;C737,1,0)</f>
        <v>0</v>
      </c>
    </row>
    <row r="738" customFormat="false" ht="15" hidden="false" customHeight="false" outlineLevel="0" collapsed="false">
      <c r="A738" s="0" t="s">
        <v>1351</v>
      </c>
      <c r="B738" s="0" t="n">
        <v>773192.551351706</v>
      </c>
      <c r="C738" s="0" t="n">
        <v>1183290.60813989</v>
      </c>
      <c r="D738" s="0" t="n">
        <f aca="false">IF(B738&gt;C738,1,0)</f>
        <v>0</v>
      </c>
    </row>
    <row r="739" customFormat="false" ht="15" hidden="false" customHeight="false" outlineLevel="0" collapsed="false">
      <c r="A739" s="0" t="s">
        <v>1352</v>
      </c>
      <c r="B739" s="0" t="n">
        <v>47098.4013766758</v>
      </c>
      <c r="C739" s="0" t="n">
        <v>1185653.90476912</v>
      </c>
      <c r="D739" s="0" t="n">
        <f aca="false">IF(B739&gt;C739,1,0)</f>
        <v>0</v>
      </c>
    </row>
    <row r="740" customFormat="false" ht="15" hidden="false" customHeight="false" outlineLevel="0" collapsed="false">
      <c r="A740" s="0" t="s">
        <v>1353</v>
      </c>
      <c r="B740" s="0" t="n">
        <v>555075.154545255</v>
      </c>
      <c r="C740" s="0" t="n">
        <v>1197212.00860425</v>
      </c>
      <c r="D740" s="0" t="n">
        <f aca="false">IF(B740&gt;C740,1,0)</f>
        <v>0</v>
      </c>
    </row>
    <row r="741" customFormat="false" ht="15" hidden="false" customHeight="false" outlineLevel="0" collapsed="false">
      <c r="A741" s="0" t="s">
        <v>1354</v>
      </c>
      <c r="B741" s="0" t="n">
        <v>-162727.16910396</v>
      </c>
      <c r="C741" s="0" t="n">
        <v>1222240.877635</v>
      </c>
      <c r="D741" s="0" t="n">
        <f aca="false">IF(B741&gt;C741,1,0)</f>
        <v>0</v>
      </c>
    </row>
    <row r="742" customFormat="false" ht="15" hidden="false" customHeight="false" outlineLevel="0" collapsed="false">
      <c r="A742" s="0" t="s">
        <v>1355</v>
      </c>
      <c r="B742" s="0" t="n">
        <v>-581512.210066252</v>
      </c>
      <c r="C742" s="0" t="n">
        <v>1218977.63892853</v>
      </c>
      <c r="D742" s="0" t="n">
        <f aca="false">IF(B742&gt;C742,1,0)</f>
        <v>0</v>
      </c>
    </row>
    <row r="743" customFormat="false" ht="15" hidden="false" customHeight="false" outlineLevel="0" collapsed="false">
      <c r="A743" s="0" t="s">
        <v>1356</v>
      </c>
      <c r="B743" s="0" t="n">
        <v>173781.694567729</v>
      </c>
      <c r="C743" s="0" t="n">
        <v>1152475.78361058</v>
      </c>
      <c r="D743" s="0" t="n">
        <f aca="false">IF(B743&gt;C743,1,0)</f>
        <v>0</v>
      </c>
    </row>
    <row r="744" customFormat="false" ht="15" hidden="false" customHeight="false" outlineLevel="0" collapsed="false">
      <c r="A744" s="0" t="s">
        <v>1357</v>
      </c>
      <c r="B744" s="0" t="n">
        <v>642922.29576535</v>
      </c>
      <c r="C744" s="0" t="n">
        <v>1126029.42616636</v>
      </c>
      <c r="D744" s="0" t="n">
        <f aca="false">IF(B744&gt;C744,1,0)</f>
        <v>0</v>
      </c>
    </row>
    <row r="745" customFormat="false" ht="15" hidden="false" customHeight="false" outlineLevel="0" collapsed="false">
      <c r="A745" s="0" t="s">
        <v>701</v>
      </c>
      <c r="B745" s="0" t="n">
        <v>-808026.177657558</v>
      </c>
      <c r="C745" s="0" t="n">
        <v>1119009.97131809</v>
      </c>
      <c r="D745" s="0" t="n">
        <f aca="false">IF(B745&gt;C745,1,0)</f>
        <v>0</v>
      </c>
    </row>
    <row r="746" customFormat="false" ht="15" hidden="false" customHeight="false" outlineLevel="0" collapsed="false">
      <c r="A746" s="0" t="s">
        <v>1358</v>
      </c>
      <c r="B746" s="0" t="n">
        <v>439676.755393399</v>
      </c>
      <c r="C746" s="0" t="n">
        <v>1106895.12668291</v>
      </c>
      <c r="D746" s="0" t="n">
        <f aca="false">IF(B746&gt;C746,1,0)</f>
        <v>0</v>
      </c>
    </row>
    <row r="747" customFormat="false" ht="15" hidden="false" customHeight="false" outlineLevel="0" collapsed="false">
      <c r="A747" s="0" t="s">
        <v>1359</v>
      </c>
      <c r="B747" s="0" t="n">
        <v>-440416.814354142</v>
      </c>
      <c r="C747" s="0" t="n">
        <v>1118078.85538931</v>
      </c>
      <c r="D747" s="0" t="n">
        <f aca="false">IF(B747&gt;C747,1,0)</f>
        <v>0</v>
      </c>
    </row>
    <row r="748" customFormat="false" ht="15" hidden="false" customHeight="false" outlineLevel="0" collapsed="false">
      <c r="A748" s="0" t="s">
        <v>1360</v>
      </c>
      <c r="B748" s="0" t="n">
        <v>-1253162.35701175</v>
      </c>
      <c r="C748" s="0" t="n">
        <v>1127874.1958027</v>
      </c>
      <c r="D748" s="0" t="n">
        <f aca="false">IF(B748&gt;C748,1,0)</f>
        <v>0</v>
      </c>
    </row>
    <row r="749" customFormat="false" ht="15" hidden="false" customHeight="false" outlineLevel="0" collapsed="false">
      <c r="A749" s="0" t="s">
        <v>1361</v>
      </c>
      <c r="B749" s="0" t="n">
        <v>-517390.704920562</v>
      </c>
      <c r="C749" s="0" t="n">
        <v>1131692.40771441</v>
      </c>
      <c r="D749" s="0" t="n">
        <f aca="false">IF(B749&gt;C749,1,0)</f>
        <v>0</v>
      </c>
    </row>
    <row r="750" customFormat="false" ht="15" hidden="false" customHeight="false" outlineLevel="0" collapsed="false">
      <c r="A750" s="0" t="s">
        <v>1362</v>
      </c>
      <c r="B750" s="0" t="n">
        <v>-634121.592761761</v>
      </c>
      <c r="C750" s="0" t="n">
        <v>1102796.50058485</v>
      </c>
      <c r="D750" s="0" t="n">
        <f aca="false">IF(B750&gt;C750,1,0)</f>
        <v>0</v>
      </c>
    </row>
    <row r="751" customFormat="false" ht="15" hidden="false" customHeight="false" outlineLevel="0" collapsed="false">
      <c r="A751" s="0" t="s">
        <v>1363</v>
      </c>
      <c r="B751" s="0" t="n">
        <v>555466.753201844</v>
      </c>
      <c r="C751" s="0" t="n">
        <v>1106647.95101498</v>
      </c>
      <c r="D751" s="0" t="n">
        <f aca="false">IF(B751&gt;C751,1,0)</f>
        <v>0</v>
      </c>
    </row>
    <row r="752" customFormat="false" ht="15" hidden="false" customHeight="false" outlineLevel="0" collapsed="false">
      <c r="A752" s="0" t="s">
        <v>1364</v>
      </c>
      <c r="B752" s="0" t="n">
        <v>500834.869276369</v>
      </c>
      <c r="C752" s="0" t="n">
        <v>1097594.60857462</v>
      </c>
      <c r="D752" s="0" t="n">
        <f aca="false">IF(B752&gt;C752,1,0)</f>
        <v>0</v>
      </c>
    </row>
    <row r="753" customFormat="false" ht="15" hidden="false" customHeight="false" outlineLevel="0" collapsed="false">
      <c r="A753" s="0" t="s">
        <v>1365</v>
      </c>
      <c r="B753" s="0" t="n">
        <v>91707.9013638124</v>
      </c>
      <c r="C753" s="0" t="n">
        <v>1089109.63413949</v>
      </c>
      <c r="D753" s="0" t="n">
        <f aca="false">IF(B753&gt;C753,1,0)</f>
        <v>0</v>
      </c>
    </row>
    <row r="754" customFormat="false" ht="15" hidden="false" customHeight="false" outlineLevel="0" collapsed="false">
      <c r="A754" s="0" t="s">
        <v>1366</v>
      </c>
      <c r="B754" s="0" t="n">
        <v>45960.1053575408</v>
      </c>
      <c r="C754" s="0" t="n">
        <v>1097307.2080381</v>
      </c>
      <c r="D754" s="0" t="n">
        <f aca="false">IF(B754&gt;C754,1,0)</f>
        <v>0</v>
      </c>
    </row>
    <row r="755" customFormat="false" ht="15" hidden="false" customHeight="false" outlineLevel="0" collapsed="false">
      <c r="A755" s="0" t="s">
        <v>703</v>
      </c>
      <c r="B755" s="0" t="n">
        <v>335514.564401509</v>
      </c>
      <c r="C755" s="0" t="n">
        <v>1089880.36478171</v>
      </c>
      <c r="D755" s="0" t="n">
        <f aca="false">IF(B755&gt;C755,1,0)</f>
        <v>0</v>
      </c>
    </row>
    <row r="756" customFormat="false" ht="15" hidden="false" customHeight="false" outlineLevel="0" collapsed="false">
      <c r="A756" s="0" t="s">
        <v>1367</v>
      </c>
      <c r="B756" s="0" t="n">
        <v>-161231.139778759</v>
      </c>
      <c r="C756" s="0" t="n">
        <v>1093808.28386515</v>
      </c>
      <c r="D756" s="0" t="n">
        <f aca="false">IF(B756&gt;C756,1,0)</f>
        <v>0</v>
      </c>
    </row>
    <row r="757" customFormat="false" ht="15" hidden="false" customHeight="false" outlineLevel="0" collapsed="false">
      <c r="A757" s="0" t="s">
        <v>1368</v>
      </c>
      <c r="B757" s="0" t="n">
        <v>237548.858855676</v>
      </c>
      <c r="C757" s="0" t="n">
        <v>1093502.0149486</v>
      </c>
      <c r="D757" s="0" t="n">
        <f aca="false">IF(B757&gt;C757,1,0)</f>
        <v>0</v>
      </c>
    </row>
    <row r="758" customFormat="false" ht="15" hidden="false" customHeight="false" outlineLevel="0" collapsed="false">
      <c r="A758" s="0" t="s">
        <v>1369</v>
      </c>
      <c r="B758" s="0" t="n">
        <v>-461786.888235513</v>
      </c>
      <c r="C758" s="0" t="n">
        <v>1104156.18592045</v>
      </c>
      <c r="D758" s="0" t="n">
        <f aca="false">IF(B758&gt;C758,1,0)</f>
        <v>0</v>
      </c>
    </row>
    <row r="759" customFormat="false" ht="15" hidden="false" customHeight="false" outlineLevel="0" collapsed="false">
      <c r="A759" s="0" t="s">
        <v>1370</v>
      </c>
      <c r="B759" s="0" t="n">
        <v>-33214.2589548752</v>
      </c>
      <c r="C759" s="0" t="n">
        <v>1074644.70781455</v>
      </c>
      <c r="D759" s="0" t="n">
        <f aca="false">IF(B759&gt;C759,1,0)</f>
        <v>0</v>
      </c>
    </row>
    <row r="760" customFormat="false" ht="15" hidden="false" customHeight="false" outlineLevel="0" collapsed="false">
      <c r="A760" s="0" t="s">
        <v>1371</v>
      </c>
      <c r="B760" s="0" t="n">
        <v>-158512.753033374</v>
      </c>
      <c r="C760" s="0" t="n">
        <v>1071024.84384162</v>
      </c>
      <c r="D760" s="0" t="n">
        <f aca="false">IF(B760&gt;C760,1,0)</f>
        <v>0</v>
      </c>
    </row>
    <row r="761" customFormat="false" ht="15" hidden="false" customHeight="false" outlineLevel="0" collapsed="false">
      <c r="A761" s="0" t="s">
        <v>1372</v>
      </c>
      <c r="B761" s="0" t="n">
        <v>627597.044769118</v>
      </c>
      <c r="C761" s="0" t="n">
        <v>1055057.88325877</v>
      </c>
      <c r="D761" s="0" t="n">
        <f aca="false">IF(B761&gt;C761,1,0)</f>
        <v>0</v>
      </c>
    </row>
    <row r="762" customFormat="false" ht="15" hidden="false" customHeight="false" outlineLevel="0" collapsed="false">
      <c r="A762" s="0" t="s">
        <v>1373</v>
      </c>
      <c r="B762" s="0" t="n">
        <v>-577144.7321504</v>
      </c>
      <c r="C762" s="0" t="n">
        <v>1051032.78491433</v>
      </c>
      <c r="D762" s="0" t="n">
        <f aca="false">IF(B762&gt;C762,1,0)</f>
        <v>0</v>
      </c>
    </row>
    <row r="763" customFormat="false" ht="15" hidden="false" customHeight="false" outlineLevel="0" collapsed="false">
      <c r="A763" s="0" t="s">
        <v>1374</v>
      </c>
      <c r="B763" s="0" t="n">
        <v>-508893.052475227</v>
      </c>
      <c r="C763" s="0" t="n">
        <v>1039875.47338716</v>
      </c>
      <c r="D763" s="0" t="n">
        <f aca="false">IF(B763&gt;C763,1,0)</f>
        <v>0</v>
      </c>
    </row>
    <row r="764" customFormat="false" ht="15" hidden="false" customHeight="false" outlineLevel="0" collapsed="false">
      <c r="A764" s="0" t="s">
        <v>1375</v>
      </c>
      <c r="B764" s="0" t="n">
        <v>-387032.456380626</v>
      </c>
      <c r="C764" s="0" t="n">
        <v>1056558.99537243</v>
      </c>
      <c r="D764" s="0" t="n">
        <f aca="false">IF(B764&gt;C764,1,0)</f>
        <v>0</v>
      </c>
    </row>
    <row r="765" customFormat="false" ht="15" hidden="false" customHeight="false" outlineLevel="0" collapsed="false">
      <c r="A765" s="0" t="s">
        <v>705</v>
      </c>
      <c r="B765" s="0" t="n">
        <v>128189.26148024</v>
      </c>
      <c r="C765" s="0" t="n">
        <v>1054633.59389447</v>
      </c>
      <c r="D765" s="0" t="n">
        <f aca="false">IF(B765&gt;C765,1,0)</f>
        <v>0</v>
      </c>
    </row>
    <row r="766" customFormat="false" ht="15" hidden="false" customHeight="false" outlineLevel="0" collapsed="false">
      <c r="A766" s="0" t="s">
        <v>1376</v>
      </c>
      <c r="B766" s="0" t="n">
        <v>301351.359534944</v>
      </c>
      <c r="C766" s="0" t="n">
        <v>1067777.290851</v>
      </c>
      <c r="D766" s="0" t="n">
        <f aca="false">IF(B766&gt;C766,1,0)</f>
        <v>0</v>
      </c>
    </row>
    <row r="767" customFormat="false" ht="15" hidden="false" customHeight="false" outlineLevel="0" collapsed="false">
      <c r="A767" s="0" t="s">
        <v>1377</v>
      </c>
      <c r="B767" s="0" t="n">
        <v>330652.510206591</v>
      </c>
      <c r="C767" s="0" t="n">
        <v>1059098.93173519</v>
      </c>
      <c r="D767" s="0" t="n">
        <f aca="false">IF(B767&gt;C767,1,0)</f>
        <v>0</v>
      </c>
    </row>
    <row r="768" customFormat="false" ht="15" hidden="false" customHeight="false" outlineLevel="0" collapsed="false">
      <c r="A768" s="0" t="s">
        <v>1378</v>
      </c>
      <c r="B768" s="0" t="n">
        <v>124391.194385286</v>
      </c>
      <c r="C768" s="0" t="n">
        <v>1083119.44369893</v>
      </c>
      <c r="D768" s="0" t="n">
        <f aca="false">IF(B768&gt;C768,1,0)</f>
        <v>0</v>
      </c>
    </row>
    <row r="769" customFormat="false" ht="15" hidden="false" customHeight="false" outlineLevel="0" collapsed="false">
      <c r="A769" s="0" t="s">
        <v>1379</v>
      </c>
      <c r="B769" s="0" t="n">
        <v>904258.373697199</v>
      </c>
      <c r="C769" s="0" t="n">
        <v>1080475.59917107</v>
      </c>
      <c r="D769" s="0" t="n">
        <f aca="false">IF(B769&gt;C769,1,0)</f>
        <v>0</v>
      </c>
    </row>
    <row r="770" customFormat="false" ht="15" hidden="false" customHeight="false" outlineLevel="0" collapsed="false">
      <c r="A770" s="0" t="s">
        <v>1380</v>
      </c>
      <c r="B770" s="0" t="n">
        <v>686901.901469266</v>
      </c>
      <c r="C770" s="0" t="n">
        <v>1146032.72940922</v>
      </c>
      <c r="D770" s="0" t="n">
        <f aca="false">IF(B770&gt;C770,1,0)</f>
        <v>0</v>
      </c>
    </row>
    <row r="771" customFormat="false" ht="15" hidden="false" customHeight="false" outlineLevel="0" collapsed="false">
      <c r="A771" s="0" t="s">
        <v>1381</v>
      </c>
      <c r="B771" s="0" t="n">
        <v>1602581.55766416</v>
      </c>
      <c r="C771" s="0" t="n">
        <v>1125049.43001777</v>
      </c>
      <c r="D771" s="0" t="n">
        <f aca="false">IF(B771&gt;C771,1,0)</f>
        <v>1</v>
      </c>
    </row>
    <row r="772" customFormat="false" ht="15" hidden="false" customHeight="false" outlineLevel="0" collapsed="false">
      <c r="A772" s="0" t="s">
        <v>1382</v>
      </c>
      <c r="B772" s="0" t="n">
        <v>929994.87805942</v>
      </c>
      <c r="C772" s="0" t="n">
        <v>1148041.91015423</v>
      </c>
      <c r="D772" s="0" t="n">
        <f aca="false">IF(B772&gt;C772,1,0)</f>
        <v>0</v>
      </c>
    </row>
    <row r="773" customFormat="false" ht="15" hidden="false" customHeight="false" outlineLevel="0" collapsed="false">
      <c r="A773" s="0" t="s">
        <v>1383</v>
      </c>
      <c r="B773" s="0" t="n">
        <v>261958.583113889</v>
      </c>
      <c r="C773" s="0" t="n">
        <v>1166775.11128866</v>
      </c>
      <c r="D773" s="0" t="n">
        <f aca="false">IF(B773&gt;C773,1,0)</f>
        <v>0</v>
      </c>
    </row>
    <row r="774" customFormat="false" ht="15" hidden="false" customHeight="false" outlineLevel="0" collapsed="false">
      <c r="A774" s="0" t="s">
        <v>1384</v>
      </c>
      <c r="B774" s="0" t="n">
        <v>-333599.989078777</v>
      </c>
      <c r="C774" s="0" t="n">
        <v>1148078.7953306</v>
      </c>
      <c r="D774" s="0" t="n">
        <f aca="false">IF(B774&gt;C774,1,0)</f>
        <v>0</v>
      </c>
    </row>
    <row r="775" customFormat="false" ht="15" hidden="false" customHeight="false" outlineLevel="0" collapsed="false">
      <c r="A775" s="0" t="s">
        <v>707</v>
      </c>
      <c r="B775" s="0" t="n">
        <v>342957.186435831</v>
      </c>
      <c r="C775" s="0" t="n">
        <v>1151040.54013537</v>
      </c>
      <c r="D775" s="0" t="n">
        <f aca="false">IF(B775&gt;C775,1,0)</f>
        <v>0</v>
      </c>
    </row>
    <row r="776" customFormat="false" ht="15" hidden="false" customHeight="false" outlineLevel="0" collapsed="false">
      <c r="A776" s="0" t="s">
        <v>1385</v>
      </c>
      <c r="B776" s="0" t="n">
        <v>710592.998869348</v>
      </c>
      <c r="C776" s="0" t="n">
        <v>1135671.72853167</v>
      </c>
      <c r="D776" s="0" t="n">
        <f aca="false">IF(B776&gt;C776,1,0)</f>
        <v>0</v>
      </c>
    </row>
    <row r="777" customFormat="false" ht="15" hidden="false" customHeight="false" outlineLevel="0" collapsed="false">
      <c r="A777" s="0" t="s">
        <v>1386</v>
      </c>
      <c r="B777" s="0" t="n">
        <v>362823.249603795</v>
      </c>
      <c r="C777" s="0" t="n">
        <v>1137523.30797201</v>
      </c>
      <c r="D777" s="0" t="n">
        <f aca="false">IF(B777&gt;C777,1,0)</f>
        <v>0</v>
      </c>
    </row>
    <row r="778" customFormat="false" ht="15" hidden="false" customHeight="false" outlineLevel="0" collapsed="false">
      <c r="A778" s="0" t="s">
        <v>1387</v>
      </c>
      <c r="B778" s="0" t="n">
        <v>-418043.373611191</v>
      </c>
      <c r="C778" s="0" t="n">
        <v>1139378.68339036</v>
      </c>
      <c r="D778" s="0" t="n">
        <f aca="false">IF(B778&gt;C778,1,0)</f>
        <v>0</v>
      </c>
    </row>
    <row r="779" customFormat="false" ht="15" hidden="false" customHeight="false" outlineLevel="0" collapsed="false">
      <c r="A779" s="0" t="s">
        <v>1388</v>
      </c>
      <c r="B779" s="0" t="n">
        <v>263785.906074099</v>
      </c>
      <c r="C779" s="0" t="n">
        <v>1133527.34749471</v>
      </c>
      <c r="D779" s="0" t="n">
        <f aca="false">IF(B779&gt;C779,1,0)</f>
        <v>0</v>
      </c>
    </row>
    <row r="780" customFormat="false" ht="15" hidden="false" customHeight="false" outlineLevel="0" collapsed="false">
      <c r="A780" s="0" t="s">
        <v>1389</v>
      </c>
      <c r="B780" s="0" t="n">
        <v>593005.882482353</v>
      </c>
      <c r="C780" s="0" t="n">
        <v>1154621.55176611</v>
      </c>
      <c r="D780" s="0" t="n">
        <f aca="false">IF(B780&gt;C780,1,0)</f>
        <v>0</v>
      </c>
    </row>
    <row r="781" customFormat="false" ht="15" hidden="false" customHeight="false" outlineLevel="0" collapsed="false">
      <c r="A781" s="0" t="s">
        <v>1390</v>
      </c>
      <c r="B781" s="0" t="n">
        <v>335106.37680686</v>
      </c>
      <c r="C781" s="0" t="n">
        <v>1188931.22297203</v>
      </c>
      <c r="D781" s="0" t="n">
        <f aca="false">IF(B781&gt;C781,1,0)</f>
        <v>0</v>
      </c>
    </row>
    <row r="782" customFormat="false" ht="15" hidden="false" customHeight="false" outlineLevel="0" collapsed="false">
      <c r="A782" s="0" t="s">
        <v>1391</v>
      </c>
      <c r="B782" s="0" t="n">
        <v>26004.3799925428</v>
      </c>
      <c r="C782" s="0" t="n">
        <v>1197958.4352796</v>
      </c>
      <c r="D782" s="0" t="n">
        <f aca="false">IF(B782&gt;C782,1,0)</f>
        <v>0</v>
      </c>
    </row>
    <row r="783" customFormat="false" ht="15" hidden="false" customHeight="false" outlineLevel="0" collapsed="false">
      <c r="A783" s="0" t="s">
        <v>1392</v>
      </c>
      <c r="B783" s="0" t="n">
        <v>-467251.021628154</v>
      </c>
      <c r="C783" s="0" t="n">
        <v>1205546.89889946</v>
      </c>
      <c r="D783" s="0" t="n">
        <f aca="false">IF(B783&gt;C783,1,0)</f>
        <v>0</v>
      </c>
    </row>
    <row r="784" customFormat="false" ht="15" hidden="false" customHeight="false" outlineLevel="0" collapsed="false">
      <c r="A784" s="0" t="s">
        <v>1393</v>
      </c>
      <c r="B784" s="0" t="n">
        <v>-1470.68116901256</v>
      </c>
      <c r="C784" s="0" t="n">
        <v>1180885.95583752</v>
      </c>
      <c r="D784" s="0" t="n">
        <f aca="false">IF(B784&gt;C784,1,0)</f>
        <v>0</v>
      </c>
    </row>
    <row r="785" customFormat="false" ht="15" hidden="false" customHeight="false" outlineLevel="0" collapsed="false">
      <c r="A785" s="0" t="s">
        <v>709</v>
      </c>
      <c r="B785" s="0" t="n">
        <v>132134.834873441</v>
      </c>
      <c r="C785" s="0" t="n">
        <v>1182599.62831175</v>
      </c>
      <c r="D785" s="0" t="n">
        <f aca="false">IF(B785&gt;C785,1,0)</f>
        <v>0</v>
      </c>
    </row>
    <row r="786" customFormat="false" ht="15" hidden="false" customHeight="false" outlineLevel="0" collapsed="false">
      <c r="A786" s="0" t="s">
        <v>1394</v>
      </c>
      <c r="B786" s="0" t="n">
        <v>-294739.405867602</v>
      </c>
      <c r="C786" s="0" t="n">
        <v>1190109.71495952</v>
      </c>
      <c r="D786" s="0" t="n">
        <f aca="false">IF(B786&gt;C786,1,0)</f>
        <v>0</v>
      </c>
    </row>
    <row r="787" customFormat="false" ht="15" hidden="false" customHeight="false" outlineLevel="0" collapsed="false">
      <c r="A787" s="0" t="s">
        <v>1395</v>
      </c>
      <c r="B787" s="0" t="n">
        <v>50727.507469628</v>
      </c>
      <c r="C787" s="0" t="n">
        <v>1179974.08425854</v>
      </c>
      <c r="D787" s="0" t="n">
        <f aca="false">IF(B787&gt;C787,1,0)</f>
        <v>0</v>
      </c>
    </row>
    <row r="788" customFormat="false" ht="15" hidden="false" customHeight="false" outlineLevel="0" collapsed="false">
      <c r="A788" s="0" t="s">
        <v>1396</v>
      </c>
      <c r="B788" s="0" t="n">
        <v>234432.089337166</v>
      </c>
      <c r="C788" s="0" t="n">
        <v>1171448.39627821</v>
      </c>
      <c r="D788" s="0" t="n">
        <f aca="false">IF(B788&gt;C788,1,0)</f>
        <v>0</v>
      </c>
    </row>
    <row r="789" customFormat="false" ht="15" hidden="false" customHeight="false" outlineLevel="0" collapsed="false">
      <c r="A789" s="0" t="s">
        <v>1397</v>
      </c>
      <c r="B789" s="0" t="n">
        <v>-190839.303793153</v>
      </c>
      <c r="C789" s="0" t="n">
        <v>1183517.51883148</v>
      </c>
      <c r="D789" s="0" t="n">
        <f aca="false">IF(B789&gt;C789,1,0)</f>
        <v>0</v>
      </c>
    </row>
    <row r="790" customFormat="false" ht="15" hidden="false" customHeight="false" outlineLevel="0" collapsed="false">
      <c r="A790" s="0" t="s">
        <v>1398</v>
      </c>
      <c r="B790" s="0" t="n">
        <v>181401.155065076</v>
      </c>
      <c r="C790" s="0" t="n">
        <v>1180914.81165835</v>
      </c>
      <c r="D790" s="0" t="n">
        <f aca="false">IF(B790&gt;C790,1,0)</f>
        <v>0</v>
      </c>
    </row>
    <row r="791" customFormat="false" ht="15" hidden="false" customHeight="false" outlineLevel="0" collapsed="false">
      <c r="A791" s="0" t="s">
        <v>1399</v>
      </c>
      <c r="B791" s="0" t="n">
        <v>239092.344953708</v>
      </c>
      <c r="C791" s="0" t="n">
        <v>1179670.72353903</v>
      </c>
      <c r="D791" s="0" t="n">
        <f aca="false">IF(B791&gt;C791,1,0)</f>
        <v>0</v>
      </c>
    </row>
    <row r="792" customFormat="false" ht="15" hidden="false" customHeight="false" outlineLevel="0" collapsed="false">
      <c r="A792" s="0" t="s">
        <v>1400</v>
      </c>
      <c r="B792" s="0" t="n">
        <v>635335.292577283</v>
      </c>
      <c r="C792" s="0" t="n">
        <v>1188337.33863576</v>
      </c>
      <c r="D792" s="0" t="n">
        <f aca="false">IF(B792&gt;C792,1,0)</f>
        <v>0</v>
      </c>
    </row>
    <row r="793" customFormat="false" ht="15" hidden="false" customHeight="false" outlineLevel="0" collapsed="false">
      <c r="A793" s="0" t="s">
        <v>1401</v>
      </c>
      <c r="B793" s="0" t="n">
        <v>112050.736004024</v>
      </c>
      <c r="C793" s="0" t="n">
        <v>1210073.82610378</v>
      </c>
      <c r="D793" s="0" t="n">
        <f aca="false">IF(B793&gt;C793,1,0)</f>
        <v>0</v>
      </c>
    </row>
    <row r="794" customFormat="false" ht="15" hidden="false" customHeight="false" outlineLevel="0" collapsed="false">
      <c r="A794" s="0" t="s">
        <v>1402</v>
      </c>
      <c r="B794" s="0" t="n">
        <v>-670408.724370318</v>
      </c>
      <c r="C794" s="0" t="n">
        <v>1216833.97621235</v>
      </c>
      <c r="D794" s="0" t="n">
        <f aca="false">IF(B794&gt;C794,1,0)</f>
        <v>0</v>
      </c>
    </row>
    <row r="795" customFormat="false" ht="15" hidden="false" customHeight="false" outlineLevel="0" collapsed="false">
      <c r="A795" s="0" t="s">
        <v>711</v>
      </c>
      <c r="B795" s="0" t="n">
        <v>-117592.108538916</v>
      </c>
      <c r="C795" s="0" t="n">
        <v>1191219.91781432</v>
      </c>
      <c r="D795" s="0" t="n">
        <f aca="false">IF(B795&gt;C795,1,0)</f>
        <v>0</v>
      </c>
    </row>
    <row r="796" customFormat="false" ht="15" hidden="false" customHeight="false" outlineLevel="0" collapsed="false">
      <c r="A796" s="0" t="s">
        <v>1403</v>
      </c>
      <c r="B796" s="0" t="n">
        <v>-256649.193470348</v>
      </c>
      <c r="C796" s="0" t="n">
        <v>1183908.52843111</v>
      </c>
      <c r="D796" s="0" t="n">
        <f aca="false">IF(B796&gt;C796,1,0)</f>
        <v>0</v>
      </c>
    </row>
    <row r="797" customFormat="false" ht="15" hidden="false" customHeight="false" outlineLevel="0" collapsed="false">
      <c r="A797" s="0" t="s">
        <v>1404</v>
      </c>
      <c r="B797" s="0" t="n">
        <v>55054.0181082059</v>
      </c>
      <c r="C797" s="0" t="n">
        <v>1175393.4227147</v>
      </c>
      <c r="D797" s="0" t="n">
        <f aca="false">IF(B797&gt;C797,1,0)</f>
        <v>0</v>
      </c>
    </row>
    <row r="798" customFormat="false" ht="15" hidden="false" customHeight="false" outlineLevel="0" collapsed="false">
      <c r="A798" s="0" t="s">
        <v>1405</v>
      </c>
      <c r="B798" s="0" t="n">
        <v>438004.894441812</v>
      </c>
      <c r="C798" s="0" t="n">
        <v>1181449.66739492</v>
      </c>
      <c r="D798" s="0" t="n">
        <f aca="false">IF(B798&gt;C798,1,0)</f>
        <v>0</v>
      </c>
    </row>
    <row r="799" customFormat="false" ht="15" hidden="false" customHeight="false" outlineLevel="0" collapsed="false">
      <c r="A799" s="0" t="s">
        <v>1406</v>
      </c>
      <c r="B799" s="0" t="n">
        <v>-208355.022783605</v>
      </c>
      <c r="C799" s="0" t="n">
        <v>1191956.88910827</v>
      </c>
      <c r="D799" s="0" t="n">
        <f aca="false">IF(B799&gt;C799,1,0)</f>
        <v>0</v>
      </c>
    </row>
    <row r="800" customFormat="false" ht="15" hidden="false" customHeight="false" outlineLevel="0" collapsed="false">
      <c r="A800" s="0" t="s">
        <v>1407</v>
      </c>
      <c r="B800" s="0" t="n">
        <v>-195980.587851464</v>
      </c>
      <c r="C800" s="0" t="n">
        <v>1179578.73664446</v>
      </c>
      <c r="D800" s="0" t="n">
        <f aca="false">IF(B800&gt;C800,1,0)</f>
        <v>0</v>
      </c>
    </row>
    <row r="801" customFormat="false" ht="15" hidden="false" customHeight="false" outlineLevel="0" collapsed="false">
      <c r="A801" s="0" t="s">
        <v>1408</v>
      </c>
      <c r="B801" s="0" t="n">
        <v>-32299.7136240406</v>
      </c>
      <c r="C801" s="0" t="n">
        <v>1167547.34073536</v>
      </c>
      <c r="D801" s="0" t="n">
        <f aca="false">IF(B801&gt;C801,1,0)</f>
        <v>0</v>
      </c>
    </row>
    <row r="802" customFormat="false" ht="15" hidden="false" customHeight="false" outlineLevel="0" collapsed="false">
      <c r="A802" s="0" t="s">
        <v>1409</v>
      </c>
      <c r="B802" s="0" t="n">
        <v>34389.5145049663</v>
      </c>
      <c r="C802" s="0" t="n">
        <v>1167553.3423273</v>
      </c>
      <c r="D802" s="0" t="n">
        <f aca="false">IF(B802&gt;C802,1,0)</f>
        <v>0</v>
      </c>
    </row>
    <row r="803" customFormat="false" ht="15" hidden="false" customHeight="false" outlineLevel="0" collapsed="false">
      <c r="A803" s="0" t="s">
        <v>1410</v>
      </c>
      <c r="B803" s="0" t="n">
        <v>-232997.102587211</v>
      </c>
      <c r="C803" s="0" t="n">
        <v>1169353.19101622</v>
      </c>
      <c r="D803" s="0" t="n">
        <f aca="false">IF(B803&gt;C803,1,0)</f>
        <v>0</v>
      </c>
    </row>
    <row r="804" customFormat="false" ht="15" hidden="false" customHeight="false" outlineLevel="0" collapsed="false">
      <c r="A804" s="0" t="s">
        <v>1411</v>
      </c>
      <c r="B804" s="0" t="n">
        <v>-11347.4190310948</v>
      </c>
      <c r="C804" s="0" t="n">
        <v>1154221.1927007</v>
      </c>
      <c r="D804" s="0" t="n">
        <f aca="false">IF(B804&gt;C804,1,0)</f>
        <v>0</v>
      </c>
    </row>
    <row r="805" customFormat="false" ht="15" hidden="false" customHeight="false" outlineLevel="0" collapsed="false">
      <c r="A805" s="0" t="s">
        <v>712</v>
      </c>
      <c r="B805" s="0" t="n">
        <v>-134346.621717599</v>
      </c>
      <c r="C805" s="0" t="n">
        <v>1158756.36645167</v>
      </c>
      <c r="D805" s="0" t="n">
        <f aca="false">IF(B805&gt;C805,1,0)</f>
        <v>0</v>
      </c>
    </row>
    <row r="806" customFormat="false" ht="15" hidden="false" customHeight="false" outlineLevel="0" collapsed="false">
      <c r="A806" s="0" t="s">
        <v>1412</v>
      </c>
      <c r="B806" s="0" t="n">
        <v>-15726.8909096001</v>
      </c>
      <c r="C806" s="0" t="n">
        <v>1157795.16419739</v>
      </c>
      <c r="D806" s="0" t="n">
        <f aca="false">IF(B806&gt;C806,1,0)</f>
        <v>0</v>
      </c>
    </row>
    <row r="807" customFormat="false" ht="15" hidden="false" customHeight="false" outlineLevel="0" collapsed="false">
      <c r="A807" s="0" t="s">
        <v>1413</v>
      </c>
      <c r="B807" s="0" t="n">
        <v>126410.529579064</v>
      </c>
      <c r="C807" s="0" t="n">
        <v>1154711.06642631</v>
      </c>
      <c r="D807" s="0" t="n">
        <f aca="false">IF(B807&gt;C807,1,0)</f>
        <v>0</v>
      </c>
    </row>
    <row r="808" customFormat="false" ht="15" hidden="false" customHeight="false" outlineLevel="0" collapsed="false">
      <c r="A808" s="0" t="s">
        <v>1414</v>
      </c>
      <c r="B808" s="0" t="n">
        <v>79616.54519183</v>
      </c>
      <c r="C808" s="0" t="n">
        <v>1161647.52752372</v>
      </c>
      <c r="D808" s="0" t="n">
        <f aca="false">IF(B808&gt;C808,1,0)</f>
        <v>0</v>
      </c>
    </row>
    <row r="809" customFormat="false" ht="15" hidden="false" customHeight="false" outlineLevel="0" collapsed="false">
      <c r="A809" s="0" t="s">
        <v>1415</v>
      </c>
      <c r="B809" s="0" t="n">
        <v>3017.96262993477</v>
      </c>
      <c r="C809" s="0" t="n">
        <v>1159945.43585252</v>
      </c>
      <c r="D809" s="0" t="n">
        <f aca="false">IF(B809&gt;C809,1,0)</f>
        <v>0</v>
      </c>
    </row>
    <row r="810" customFormat="false" ht="15" hidden="false" customHeight="false" outlineLevel="0" collapsed="false">
      <c r="A810" s="0" t="s">
        <v>1416</v>
      </c>
      <c r="B810" s="0" t="n">
        <v>-299983.453549532</v>
      </c>
      <c r="C810" s="0" t="n">
        <v>1159702.75439601</v>
      </c>
      <c r="D810" s="0" t="n">
        <f aca="false">IF(B810&gt;C810,1,0)</f>
        <v>0</v>
      </c>
    </row>
    <row r="811" customFormat="false" ht="15" hidden="false" customHeight="false" outlineLevel="0" collapsed="false">
      <c r="A811" s="0" t="s">
        <v>1417</v>
      </c>
      <c r="B811" s="0" t="n">
        <v>12924.4916667799</v>
      </c>
      <c r="C811" s="0" t="n">
        <v>1164864.938512</v>
      </c>
      <c r="D811" s="0" t="n">
        <f aca="false">IF(B811&gt;C811,1,0)</f>
        <v>0</v>
      </c>
    </row>
    <row r="812" customFormat="false" ht="15" hidden="false" customHeight="false" outlineLevel="0" collapsed="false">
      <c r="A812" s="0" t="s">
        <v>1418</v>
      </c>
      <c r="B812" s="0" t="n">
        <v>158819.663120347</v>
      </c>
      <c r="C812" s="0" t="n">
        <v>1156480.81988263</v>
      </c>
      <c r="D812" s="0" t="n">
        <f aca="false">IF(B812&gt;C812,1,0)</f>
        <v>0</v>
      </c>
    </row>
    <row r="813" customFormat="false" ht="15" hidden="false" customHeight="false" outlineLevel="0" collapsed="false">
      <c r="A813" s="0" t="s">
        <v>1419</v>
      </c>
      <c r="B813" s="0" t="n">
        <v>234220.228996983</v>
      </c>
      <c r="C813" s="0" t="n">
        <v>1159234.08868684</v>
      </c>
      <c r="D813" s="0" t="n">
        <f aca="false">IF(B813&gt;C813,1,0)</f>
        <v>0</v>
      </c>
    </row>
    <row r="814" customFormat="false" ht="15" hidden="false" customHeight="false" outlineLevel="0" collapsed="false">
      <c r="A814" s="0" t="s">
        <v>1420</v>
      </c>
      <c r="B814" s="0" t="n">
        <v>90064.0579858841</v>
      </c>
      <c r="C814" s="0" t="n">
        <v>1171498.14973358</v>
      </c>
      <c r="D814" s="0" t="n">
        <f aca="false">IF(B814&gt;C814,1,0)</f>
        <v>0</v>
      </c>
    </row>
    <row r="815" customFormat="false" ht="15" hidden="false" customHeight="false" outlineLevel="0" collapsed="false">
      <c r="A815" s="0" t="s">
        <v>714</v>
      </c>
      <c r="B815" s="0" t="n">
        <v>-283558.86908042</v>
      </c>
      <c r="C815" s="0" t="n">
        <v>1174949.09750745</v>
      </c>
      <c r="D815" s="0" t="n">
        <f aca="false">IF(B815&gt;C815,1,0)</f>
        <v>0</v>
      </c>
    </row>
    <row r="816" customFormat="false" ht="15" hidden="false" customHeight="false" outlineLevel="0" collapsed="false">
      <c r="A816" s="0" t="s">
        <v>1421</v>
      </c>
      <c r="B816" s="0" t="n">
        <v>-204565.623515468</v>
      </c>
      <c r="C816" s="0" t="n">
        <v>1168309.58186426</v>
      </c>
      <c r="D816" s="0" t="n">
        <f aca="false">IF(B816&gt;C816,1,0)</f>
        <v>0</v>
      </c>
    </row>
    <row r="817" customFormat="false" ht="15" hidden="false" customHeight="false" outlineLevel="0" collapsed="false">
      <c r="A817" s="0" t="s">
        <v>1422</v>
      </c>
      <c r="B817" s="0" t="n">
        <v>-8584.82086005434</v>
      </c>
      <c r="C817" s="0" t="n">
        <v>1180602.02489752</v>
      </c>
      <c r="D817" s="0" t="n">
        <f aca="false">IF(B817&gt;C817,1,0)</f>
        <v>0</v>
      </c>
    </row>
    <row r="818" customFormat="false" ht="15" hidden="false" customHeight="false" outlineLevel="0" collapsed="false">
      <c r="A818" s="0" t="s">
        <v>1423</v>
      </c>
      <c r="B818" s="0" t="n">
        <v>-59109.3915721057</v>
      </c>
      <c r="C818" s="0" t="n">
        <v>1180419.0236892</v>
      </c>
      <c r="D818" s="0" t="n">
        <f aca="false">IF(B818&gt;C818,1,0)</f>
        <v>0</v>
      </c>
    </row>
    <row r="819" customFormat="false" ht="15" hidden="false" customHeight="false" outlineLevel="0" collapsed="false">
      <c r="A819" s="0" t="s">
        <v>1424</v>
      </c>
      <c r="B819" s="0" t="n">
        <v>1145011.99737242</v>
      </c>
      <c r="C819" s="0" t="n">
        <v>1205887.57188856</v>
      </c>
      <c r="D819" s="0" t="n">
        <f aca="false">IF(B819&gt;C819,1,0)</f>
        <v>0</v>
      </c>
    </row>
    <row r="820" customFormat="false" ht="15" hidden="false" customHeight="false" outlineLevel="0" collapsed="false">
      <c r="A820" s="0" t="s">
        <v>1425</v>
      </c>
      <c r="B820" s="0" t="n">
        <v>-177017.103679639</v>
      </c>
      <c r="C820" s="0" t="n">
        <v>1206390.98278733</v>
      </c>
      <c r="D820" s="0" t="n">
        <f aca="false">IF(B820&gt;C820,1,0)</f>
        <v>0</v>
      </c>
    </row>
    <row r="821" customFormat="false" ht="15" hidden="false" customHeight="false" outlineLevel="0" collapsed="false">
      <c r="A821" s="0" t="s">
        <v>1426</v>
      </c>
      <c r="B821" s="0" t="n">
        <v>33020.6616364666</v>
      </c>
      <c r="C821" s="0" t="n">
        <v>1201175.92538086</v>
      </c>
      <c r="D821" s="0" t="n">
        <f aca="false">IF(B821&gt;C821,1,0)</f>
        <v>0</v>
      </c>
    </row>
    <row r="822" customFormat="false" ht="15" hidden="false" customHeight="false" outlineLevel="0" collapsed="false">
      <c r="A822" s="0" t="s">
        <v>1427</v>
      </c>
      <c r="B822" s="0" t="n">
        <v>11156.3379558791</v>
      </c>
      <c r="C822" s="0" t="n">
        <v>1205769.99551056</v>
      </c>
      <c r="D822" s="0" t="n">
        <f aca="false">IF(B822&gt;C822,1,0)</f>
        <v>0</v>
      </c>
    </row>
    <row r="823" customFormat="false" ht="15" hidden="false" customHeight="false" outlineLevel="0" collapsed="false">
      <c r="A823" s="0" t="s">
        <v>1428</v>
      </c>
      <c r="B823" s="0" t="n">
        <v>110488.06695345</v>
      </c>
      <c r="C823" s="0" t="n">
        <v>1204818.76518472</v>
      </c>
      <c r="D823" s="0" t="n">
        <f aca="false">IF(B823&gt;C823,1,0)</f>
        <v>0</v>
      </c>
    </row>
    <row r="824" customFormat="false" ht="15" hidden="false" customHeight="false" outlineLevel="0" collapsed="false">
      <c r="A824" s="0" t="s">
        <v>1429</v>
      </c>
      <c r="B824" s="0" t="n">
        <v>-34193.6024901536</v>
      </c>
      <c r="C824" s="0" t="n">
        <v>1207113.2061118</v>
      </c>
      <c r="D824" s="0" t="n">
        <f aca="false">IF(B824&gt;C824,1,0)</f>
        <v>0</v>
      </c>
    </row>
    <row r="825" customFormat="false" ht="15" hidden="false" customHeight="false" outlineLevel="0" collapsed="false">
      <c r="A825" s="0" t="s">
        <v>716</v>
      </c>
      <c r="B825" s="0" t="n">
        <v>47997.8282886897</v>
      </c>
      <c r="C825" s="0" t="n">
        <v>1209091.25843545</v>
      </c>
      <c r="D825" s="0" t="n">
        <f aca="false">IF(B825&gt;C825,1,0)</f>
        <v>0</v>
      </c>
    </row>
    <row r="826" customFormat="false" ht="15" hidden="false" customHeight="false" outlineLevel="0" collapsed="false">
      <c r="A826" s="0" t="s">
        <v>1430</v>
      </c>
      <c r="B826" s="0" t="n">
        <v>226339.231068655</v>
      </c>
      <c r="C826" s="0" t="n">
        <v>1211218.97267802</v>
      </c>
      <c r="D826" s="0" t="n">
        <f aca="false">IF(B826&gt;C826,1,0)</f>
        <v>0</v>
      </c>
    </row>
    <row r="827" customFormat="false" ht="15" hidden="false" customHeight="false" outlineLevel="0" collapsed="false">
      <c r="A827" s="0" t="s">
        <v>1431</v>
      </c>
      <c r="B827" s="0" t="n">
        <v>140445.120583565</v>
      </c>
      <c r="C827" s="0" t="n">
        <v>1213221.85463756</v>
      </c>
      <c r="D827" s="0" t="n">
        <f aca="false">IF(B827&gt;C827,1,0)</f>
        <v>0</v>
      </c>
    </row>
    <row r="828" customFormat="false" ht="15" hidden="false" customHeight="false" outlineLevel="0" collapsed="false">
      <c r="A828" s="0" t="s">
        <v>1432</v>
      </c>
      <c r="B828" s="0" t="n">
        <v>346112.180775384</v>
      </c>
      <c r="C828" s="0" t="n">
        <v>1212878.70174193</v>
      </c>
      <c r="D828" s="0" t="n">
        <f aca="false">IF(B828&gt;C828,1,0)</f>
        <v>0</v>
      </c>
    </row>
    <row r="829" customFormat="false" ht="15" hidden="false" customHeight="false" outlineLevel="0" collapsed="false">
      <c r="A829" s="0" t="s">
        <v>1433</v>
      </c>
      <c r="B829" s="0" t="n">
        <v>-102301.021659874</v>
      </c>
      <c r="C829" s="0" t="n">
        <v>1230046.61033089</v>
      </c>
      <c r="D829" s="0" t="n">
        <f aca="false">IF(B829&gt;C829,1,0)</f>
        <v>0</v>
      </c>
    </row>
    <row r="830" customFormat="false" ht="15" hidden="false" customHeight="false" outlineLevel="0" collapsed="false">
      <c r="A830" s="0" t="s">
        <v>1434</v>
      </c>
      <c r="B830" s="0" t="n">
        <v>-186229.474189594</v>
      </c>
      <c r="C830" s="0" t="n">
        <v>1237437.83253672</v>
      </c>
      <c r="D830" s="0" t="n">
        <f aca="false">IF(B830&gt;C830,1,0)</f>
        <v>0</v>
      </c>
    </row>
    <row r="831" customFormat="false" ht="15" hidden="false" customHeight="false" outlineLevel="0" collapsed="false">
      <c r="A831" s="0" t="s">
        <v>1435</v>
      </c>
      <c r="B831" s="0" t="n">
        <v>93711.7299195928</v>
      </c>
      <c r="C831" s="0" t="n">
        <v>1245153.08515635</v>
      </c>
      <c r="D831" s="0" t="n">
        <f aca="false">IF(B831&gt;C831,1,0)</f>
        <v>0</v>
      </c>
    </row>
    <row r="832" customFormat="false" ht="15" hidden="false" customHeight="false" outlineLevel="0" collapsed="false">
      <c r="A832" s="0" t="s">
        <v>1436</v>
      </c>
      <c r="B832" s="0" t="n">
        <v>-347313.26803829</v>
      </c>
      <c r="C832" s="0" t="n">
        <v>1244836.13647033</v>
      </c>
      <c r="D832" s="0" t="n">
        <f aca="false">IF(B832&gt;C832,1,0)</f>
        <v>0</v>
      </c>
    </row>
    <row r="833" customFormat="false" ht="15" hidden="false" customHeight="false" outlineLevel="0" collapsed="false">
      <c r="A833" s="0" t="s">
        <v>1437</v>
      </c>
      <c r="B833" s="0" t="n">
        <v>222353.745433375</v>
      </c>
      <c r="C833" s="0" t="n">
        <v>1240496.35716982</v>
      </c>
      <c r="D833" s="0" t="n">
        <f aca="false">IF(B833&gt;C833,1,0)</f>
        <v>0</v>
      </c>
    </row>
    <row r="834" customFormat="false" ht="15" hidden="false" customHeight="false" outlineLevel="0" collapsed="false">
      <c r="A834" s="0" t="s">
        <v>1438</v>
      </c>
      <c r="B834" s="0" t="n">
        <v>-141485.968625774</v>
      </c>
      <c r="C834" s="0" t="n">
        <v>1246187.01068512</v>
      </c>
      <c r="D834" s="0" t="n">
        <f aca="false">IF(B834&gt;C834,1,0)</f>
        <v>0</v>
      </c>
    </row>
    <row r="835" customFormat="false" ht="15" hidden="false" customHeight="false" outlineLevel="0" collapsed="false">
      <c r="A835" s="0" t="s">
        <v>718</v>
      </c>
      <c r="B835" s="0" t="n">
        <v>334176.525155601</v>
      </c>
      <c r="C835" s="0" t="n">
        <v>1243693.4999444</v>
      </c>
      <c r="D835" s="0" t="n">
        <f aca="false">IF(B835&gt;C835,1,0)</f>
        <v>0</v>
      </c>
    </row>
    <row r="836" customFormat="false" ht="15" hidden="false" customHeight="false" outlineLevel="0" collapsed="false">
      <c r="A836" s="0" t="s">
        <v>1439</v>
      </c>
      <c r="B836" s="0" t="n">
        <v>-190473.712416385</v>
      </c>
      <c r="C836" s="0" t="n">
        <v>1247080.59378892</v>
      </c>
      <c r="D836" s="0" t="n">
        <f aca="false">IF(B836&gt;C836,1,0)</f>
        <v>0</v>
      </c>
    </row>
    <row r="837" customFormat="false" ht="15" hidden="false" customHeight="false" outlineLevel="0" collapsed="false">
      <c r="A837" s="0" t="s">
        <v>1440</v>
      </c>
      <c r="B837" s="0" t="n">
        <v>87831.7481598514</v>
      </c>
      <c r="C837" s="0" t="n">
        <v>1249089.40646946</v>
      </c>
      <c r="D837" s="0" t="n">
        <f aca="false">IF(B837&gt;C837,1,0)</f>
        <v>0</v>
      </c>
    </row>
    <row r="838" customFormat="false" ht="15" hidden="false" customHeight="false" outlineLevel="0" collapsed="false">
      <c r="A838" s="0" t="s">
        <v>1441</v>
      </c>
      <c r="B838" s="0" t="n">
        <v>165731.995936552</v>
      </c>
      <c r="C838" s="0" t="n">
        <v>1267524.42547126</v>
      </c>
      <c r="D838" s="0" t="n">
        <f aca="false">IF(B838&gt;C838,1,0)</f>
        <v>0</v>
      </c>
    </row>
    <row r="839" customFormat="false" ht="15" hidden="false" customHeight="false" outlineLevel="0" collapsed="false">
      <c r="A839" s="0" t="s">
        <v>1442</v>
      </c>
      <c r="B839" s="0" t="n">
        <v>450990.793844158</v>
      </c>
      <c r="C839" s="0" t="n">
        <v>1277917.57819121</v>
      </c>
      <c r="D839" s="0" t="n">
        <f aca="false">IF(B839&gt;C839,1,0)</f>
        <v>0</v>
      </c>
    </row>
    <row r="840" customFormat="false" ht="15" hidden="false" customHeight="false" outlineLevel="0" collapsed="false">
      <c r="A840" s="0" t="s">
        <v>1443</v>
      </c>
      <c r="B840" s="0" t="n">
        <v>-560813.256987823</v>
      </c>
      <c r="C840" s="0" t="n">
        <v>1290992.30941001</v>
      </c>
      <c r="D840" s="0" t="n">
        <f aca="false">IF(B840&gt;C840,1,0)</f>
        <v>0</v>
      </c>
    </row>
    <row r="841" customFormat="false" ht="15" hidden="false" customHeight="false" outlineLevel="0" collapsed="false">
      <c r="A841" s="0" t="s">
        <v>1444</v>
      </c>
      <c r="B841" s="0" t="n">
        <v>-231292.236721504</v>
      </c>
      <c r="C841" s="0" t="n">
        <v>1257959.67850293</v>
      </c>
      <c r="D841" s="0" t="n">
        <f aca="false">IF(B841&gt;C841,1,0)</f>
        <v>0</v>
      </c>
    </row>
    <row r="842" customFormat="false" ht="15" hidden="false" customHeight="false" outlineLevel="0" collapsed="false">
      <c r="A842" s="0" t="s">
        <v>1445</v>
      </c>
      <c r="B842" s="0" t="n">
        <v>-83597.2980033504</v>
      </c>
      <c r="C842" s="0" t="n">
        <v>1249828.55830397</v>
      </c>
      <c r="D842" s="0" t="n">
        <f aca="false">IF(B842&gt;C842,1,0)</f>
        <v>0</v>
      </c>
    </row>
    <row r="843" customFormat="false" ht="15" hidden="false" customHeight="false" outlineLevel="0" collapsed="false">
      <c r="A843" s="0" t="s">
        <v>1446</v>
      </c>
      <c r="B843" s="0" t="n">
        <v>-103214.253702266</v>
      </c>
      <c r="C843" s="0" t="n">
        <v>1250668.80382854</v>
      </c>
      <c r="D843" s="0" t="n">
        <f aca="false">IF(B843&gt;C843,1,0)</f>
        <v>0</v>
      </c>
    </row>
    <row r="844" customFormat="false" ht="15" hidden="false" customHeight="false" outlineLevel="0" collapsed="false">
      <c r="A844" s="0" t="s">
        <v>1447</v>
      </c>
      <c r="B844" s="0" t="n">
        <v>196929.059846988</v>
      </c>
      <c r="C844" s="0" t="n">
        <v>1258591.21625277</v>
      </c>
      <c r="D844" s="0" t="n">
        <f aca="false">IF(B844&gt;C844,1,0)</f>
        <v>0</v>
      </c>
    </row>
    <row r="845" customFormat="false" ht="15" hidden="false" customHeight="false" outlineLevel="0" collapsed="false">
      <c r="A845" s="0" t="s">
        <v>720</v>
      </c>
      <c r="B845" s="0" t="n">
        <v>-166011.176007734</v>
      </c>
      <c r="C845" s="0" t="n">
        <v>1270090.73838827</v>
      </c>
      <c r="D845" s="0" t="n">
        <f aca="false">IF(B845&gt;C845,1,0)</f>
        <v>0</v>
      </c>
    </row>
    <row r="846" customFormat="false" ht="15" hidden="false" customHeight="false" outlineLevel="0" collapsed="false">
      <c r="A846" s="0" t="s">
        <v>1448</v>
      </c>
      <c r="B846" s="0" t="n">
        <v>-82348.5610746509</v>
      </c>
      <c r="C846" s="0" t="n">
        <v>1267615.36399896</v>
      </c>
      <c r="D846" s="0" t="n">
        <f aca="false">IF(B846&gt;C846,1,0)</f>
        <v>0</v>
      </c>
    </row>
    <row r="847" customFormat="false" ht="15" hidden="false" customHeight="false" outlineLevel="0" collapsed="false">
      <c r="A847" s="0" t="s">
        <v>1449</v>
      </c>
      <c r="B847" s="0" t="n">
        <v>-216689.900069482</v>
      </c>
      <c r="C847" s="0" t="n">
        <v>1262854.77924018</v>
      </c>
      <c r="D847" s="0" t="n">
        <f aca="false">IF(B847&gt;C847,1,0)</f>
        <v>0</v>
      </c>
    </row>
    <row r="848" customFormat="false" ht="15" hidden="false" customHeight="false" outlineLevel="0" collapsed="false">
      <c r="A848" s="0" t="s">
        <v>1450</v>
      </c>
      <c r="B848" s="0" t="n">
        <v>122442.520827559</v>
      </c>
      <c r="C848" s="0" t="n">
        <v>1250173.88336142</v>
      </c>
      <c r="D848" s="0" t="n">
        <f aca="false">IF(B848&gt;C848,1,0)</f>
        <v>0</v>
      </c>
    </row>
    <row r="849" customFormat="false" ht="15" hidden="false" customHeight="false" outlineLevel="0" collapsed="false">
      <c r="A849" s="0" t="s">
        <v>1451</v>
      </c>
      <c r="B849" s="0" t="n">
        <v>-724320.464810098</v>
      </c>
      <c r="C849" s="0" t="n">
        <v>1243634.19826103</v>
      </c>
      <c r="D849" s="0" t="n">
        <f aca="false">IF(B849&gt;C849,1,0)</f>
        <v>0</v>
      </c>
    </row>
    <row r="850" customFormat="false" ht="15" hidden="false" customHeight="false" outlineLevel="0" collapsed="false">
      <c r="A850" s="0" t="s">
        <v>1452</v>
      </c>
      <c r="B850" s="0" t="n">
        <v>-5498.04407944158</v>
      </c>
      <c r="C850" s="0" t="n">
        <v>1220183.6395007</v>
      </c>
      <c r="D850" s="0" t="n">
        <f aca="false">IF(B850&gt;C850,1,0)</f>
        <v>0</v>
      </c>
    </row>
    <row r="851" customFormat="false" ht="15" hidden="false" customHeight="false" outlineLevel="0" collapsed="false">
      <c r="A851" s="0" t="s">
        <v>1453</v>
      </c>
      <c r="B851" s="0" t="n">
        <v>382194.127142636</v>
      </c>
      <c r="C851" s="0" t="n">
        <v>1226696.34623605</v>
      </c>
      <c r="D851" s="0" t="n">
        <f aca="false">IF(B851&gt;C851,1,0)</f>
        <v>0</v>
      </c>
    </row>
    <row r="852" customFormat="false" ht="15" hidden="false" customHeight="false" outlineLevel="0" collapsed="false">
      <c r="A852" s="0" t="s">
        <v>1454</v>
      </c>
      <c r="B852" s="0" t="n">
        <v>-418522.681473056</v>
      </c>
      <c r="C852" s="0" t="n">
        <v>1237045.01661038</v>
      </c>
      <c r="D852" s="0" t="n">
        <f aca="false">IF(B852&gt;C852,1,0)</f>
        <v>0</v>
      </c>
    </row>
    <row r="853" customFormat="false" ht="15" hidden="false" customHeight="false" outlineLevel="0" collapsed="false">
      <c r="A853" s="0" t="s">
        <v>1455</v>
      </c>
      <c r="B853" s="0" t="n">
        <v>82963.7901438884</v>
      </c>
      <c r="C853" s="0" t="n">
        <v>1222534.47607034</v>
      </c>
      <c r="D853" s="0" t="n">
        <f aca="false">IF(B853&gt;C853,1,0)</f>
        <v>0</v>
      </c>
    </row>
    <row r="854" customFormat="false" ht="15" hidden="false" customHeight="false" outlineLevel="0" collapsed="false">
      <c r="A854" s="0" t="s">
        <v>1456</v>
      </c>
      <c r="B854" s="0" t="n">
        <v>-158627.718489396</v>
      </c>
      <c r="C854" s="0" t="n">
        <v>1221984.93761836</v>
      </c>
      <c r="D854" s="0" t="n">
        <f aca="false">IF(B854&gt;C854,1,0)</f>
        <v>0</v>
      </c>
    </row>
    <row r="855" customFormat="false" ht="15" hidden="false" customHeight="false" outlineLevel="0" collapsed="false">
      <c r="A855" s="0" t="s">
        <v>722</v>
      </c>
      <c r="B855" s="0" t="n">
        <v>-256150.9617043</v>
      </c>
      <c r="C855" s="0" t="n">
        <v>1219412.45850278</v>
      </c>
      <c r="D855" s="0" t="n">
        <f aca="false">IF(B855&gt;C855,1,0)</f>
        <v>0</v>
      </c>
    </row>
    <row r="856" customFormat="false" ht="15" hidden="false" customHeight="false" outlineLevel="0" collapsed="false">
      <c r="A856" s="0" t="s">
        <v>1457</v>
      </c>
      <c r="B856" s="0" t="n">
        <v>194951.464215959</v>
      </c>
      <c r="C856" s="0" t="n">
        <v>1213657.03923299</v>
      </c>
      <c r="D856" s="0" t="n">
        <f aca="false">IF(B856&gt;C856,1,0)</f>
        <v>0</v>
      </c>
    </row>
    <row r="857" customFormat="false" ht="15" hidden="false" customHeight="false" outlineLevel="0" collapsed="false">
      <c r="A857" s="0" t="s">
        <v>1458</v>
      </c>
      <c r="B857" s="0" t="n">
        <v>102085.610139793</v>
      </c>
      <c r="C857" s="0" t="n">
        <v>1226359.21739029</v>
      </c>
      <c r="D857" s="0" t="n">
        <f aca="false">IF(B857&gt;C857,1,0)</f>
        <v>0</v>
      </c>
    </row>
    <row r="858" customFormat="false" ht="15" hidden="false" customHeight="false" outlineLevel="0" collapsed="false">
      <c r="A858" s="0" t="s">
        <v>1459</v>
      </c>
      <c r="B858" s="0" t="n">
        <v>268144.192052709</v>
      </c>
      <c r="C858" s="0" t="n">
        <v>1229579.67107478</v>
      </c>
      <c r="D858" s="0" t="n">
        <f aca="false">IF(B858&gt;C858,1,0)</f>
        <v>0</v>
      </c>
    </row>
    <row r="859" customFormat="false" ht="15" hidden="false" customHeight="false" outlineLevel="0" collapsed="false">
      <c r="A859" s="0" t="s">
        <v>1460</v>
      </c>
      <c r="B859" s="0" t="n">
        <v>-384035.622521821</v>
      </c>
      <c r="C859" s="0" t="n">
        <v>1241470.38048893</v>
      </c>
      <c r="D859" s="0" t="n">
        <f aca="false">IF(B859&gt;C859,1,0)</f>
        <v>0</v>
      </c>
    </row>
    <row r="860" customFormat="false" ht="15" hidden="false" customHeight="false" outlineLevel="0" collapsed="false">
      <c r="A860" s="0" t="s">
        <v>1461</v>
      </c>
      <c r="B860" s="0" t="n">
        <v>-202933.949263177</v>
      </c>
      <c r="C860" s="0" t="n">
        <v>1234520.32357593</v>
      </c>
      <c r="D860" s="0" t="n">
        <f aca="false">IF(B860&gt;C860,1,0)</f>
        <v>0</v>
      </c>
    </row>
    <row r="861" customFormat="false" ht="15" hidden="false" customHeight="false" outlineLevel="0" collapsed="false">
      <c r="A861" s="0" t="s">
        <v>1462</v>
      </c>
      <c r="B861" s="0" t="n">
        <v>-22901.1635272056</v>
      </c>
      <c r="C861" s="0" t="n">
        <v>1228344.18982791</v>
      </c>
      <c r="D861" s="0" t="n">
        <f aca="false">IF(B861&gt;C861,1,0)</f>
        <v>0</v>
      </c>
    </row>
    <row r="862" customFormat="false" ht="15" hidden="false" customHeight="false" outlineLevel="0" collapsed="false">
      <c r="A862" s="0" t="s">
        <v>1463</v>
      </c>
      <c r="B862" s="0" t="n">
        <v>-69522.2199040707</v>
      </c>
      <c r="C862" s="0" t="n">
        <v>1230690.96679627</v>
      </c>
      <c r="D862" s="0" t="n">
        <f aca="false">IF(B862&gt;C862,1,0)</f>
        <v>0</v>
      </c>
    </row>
    <row r="863" customFormat="false" ht="15" hidden="false" customHeight="false" outlineLevel="0" collapsed="false">
      <c r="A863" s="0" t="s">
        <v>1464</v>
      </c>
      <c r="B863" s="0" t="n">
        <v>-333116.434992518</v>
      </c>
      <c r="C863" s="0" t="n">
        <v>1234593.54375033</v>
      </c>
      <c r="D863" s="0" t="n">
        <f aca="false">IF(B863&gt;C863,1,0)</f>
        <v>0</v>
      </c>
    </row>
    <row r="864" customFormat="false" ht="15" hidden="false" customHeight="false" outlineLevel="0" collapsed="false">
      <c r="A864" s="0" t="s">
        <v>1465</v>
      </c>
      <c r="B864" s="0" t="n">
        <v>205853.019176869</v>
      </c>
      <c r="C864" s="0" t="n">
        <v>1209274.60619727</v>
      </c>
      <c r="D864" s="0" t="n">
        <f aca="false">IF(B864&gt;C864,1,0)</f>
        <v>0</v>
      </c>
    </row>
    <row r="865" customFormat="false" ht="15" hidden="false" customHeight="false" outlineLevel="0" collapsed="false">
      <c r="A865" s="0" t="s">
        <v>724</v>
      </c>
      <c r="B865" s="0" t="n">
        <v>381669.21714586</v>
      </c>
      <c r="C865" s="0" t="n">
        <v>1215556.19980307</v>
      </c>
      <c r="D865" s="0" t="n">
        <f aca="false">IF(B865&gt;C865,1,0)</f>
        <v>0</v>
      </c>
    </row>
    <row r="866" customFormat="false" ht="15" hidden="false" customHeight="false" outlineLevel="0" collapsed="false">
      <c r="A866" s="0" t="s">
        <v>1466</v>
      </c>
      <c r="B866" s="0" t="n">
        <v>213152.758410728</v>
      </c>
      <c r="C866" s="0" t="n">
        <v>1214713.42685792</v>
      </c>
      <c r="D866" s="0" t="n">
        <f aca="false">IF(B866&gt;C866,1,0)</f>
        <v>0</v>
      </c>
    </row>
    <row r="867" customFormat="false" ht="15" hidden="false" customHeight="false" outlineLevel="0" collapsed="false">
      <c r="A867" s="0" t="s">
        <v>1467</v>
      </c>
      <c r="B867" s="0" t="n">
        <v>-207872.032563902</v>
      </c>
      <c r="C867" s="0" t="n">
        <v>1204053.98667947</v>
      </c>
      <c r="D867" s="0" t="n">
        <f aca="false">IF(B867&gt;C867,1,0)</f>
        <v>0</v>
      </c>
    </row>
    <row r="868" customFormat="false" ht="15" hidden="false" customHeight="false" outlineLevel="0" collapsed="false">
      <c r="A868" s="0" t="s">
        <v>1468</v>
      </c>
      <c r="B868" s="0" t="n">
        <v>-115786.532893584</v>
      </c>
      <c r="C868" s="0" t="n">
        <v>1204218.86104301</v>
      </c>
      <c r="D868" s="0" t="n">
        <f aca="false">IF(B868&gt;C868,1,0)</f>
        <v>0</v>
      </c>
    </row>
    <row r="869" customFormat="false" ht="15" hidden="false" customHeight="false" outlineLevel="0" collapsed="false">
      <c r="A869" s="0" t="s">
        <v>1469</v>
      </c>
      <c r="B869" s="0" t="n">
        <v>266039.013314208</v>
      </c>
      <c r="C869" s="0" t="n">
        <v>1202984.26309127</v>
      </c>
      <c r="D869" s="0" t="n">
        <f aca="false">IF(B869&gt;C869,1,0)</f>
        <v>0</v>
      </c>
    </row>
    <row r="870" customFormat="false" ht="15" hidden="false" customHeight="false" outlineLevel="0" collapsed="false">
      <c r="A870" s="0" t="s">
        <v>1470</v>
      </c>
      <c r="B870" s="0" t="n">
        <v>266435.23030883</v>
      </c>
      <c r="C870" s="0" t="n">
        <v>1204719.25734026</v>
      </c>
      <c r="D870" s="0" t="n">
        <f aca="false">IF(B870&gt;C870,1,0)</f>
        <v>0</v>
      </c>
    </row>
    <row r="871" customFormat="false" ht="15" hidden="false" customHeight="false" outlineLevel="0" collapsed="false">
      <c r="A871" s="0" t="s">
        <v>1471</v>
      </c>
      <c r="B871" s="0" t="n">
        <v>743249.460255532</v>
      </c>
      <c r="C871" s="0" t="n">
        <v>1214397.26311342</v>
      </c>
      <c r="D871" s="0" t="n">
        <f aca="false">IF(B871&gt;C871,1,0)</f>
        <v>0</v>
      </c>
    </row>
    <row r="872" customFormat="false" ht="15" hidden="false" customHeight="false" outlineLevel="0" collapsed="false">
      <c r="A872" s="0" t="s">
        <v>1472</v>
      </c>
      <c r="B872" s="0" t="n">
        <v>-960298.183585995</v>
      </c>
      <c r="C872" s="0" t="n">
        <v>1244860.82247614</v>
      </c>
      <c r="D872" s="0" t="n">
        <f aca="false">IF(B872&gt;C872,1,0)</f>
        <v>0</v>
      </c>
    </row>
    <row r="873" customFormat="false" ht="15" hidden="false" customHeight="false" outlineLevel="0" collapsed="false">
      <c r="A873" s="0" t="s">
        <v>1473</v>
      </c>
      <c r="B873" s="0" t="n">
        <v>329167.517882543</v>
      </c>
      <c r="C873" s="0" t="n">
        <v>1195092.86225751</v>
      </c>
      <c r="D873" s="0" t="n">
        <f aca="false">IF(B873&gt;C873,1,0)</f>
        <v>0</v>
      </c>
    </row>
    <row r="874" customFormat="false" ht="15" hidden="false" customHeight="false" outlineLevel="0" collapsed="false">
      <c r="A874" s="0" t="s">
        <v>1474</v>
      </c>
      <c r="B874" s="0" t="n">
        <v>-14648.0036832271</v>
      </c>
      <c r="C874" s="0" t="n">
        <v>1219456.97664197</v>
      </c>
      <c r="D874" s="0" t="n">
        <f aca="false">IF(B874&gt;C874,1,0)</f>
        <v>0</v>
      </c>
    </row>
    <row r="875" customFormat="false" ht="15" hidden="false" customHeight="false" outlineLevel="0" collapsed="false">
      <c r="A875" s="0" t="s">
        <v>726</v>
      </c>
      <c r="B875" s="0" t="n">
        <v>-3442.06493677152</v>
      </c>
      <c r="C875" s="0" t="n">
        <v>1198595.27475697</v>
      </c>
      <c r="D875" s="0" t="n">
        <f aca="false">IF(B875&gt;C875,1,0)</f>
        <v>0</v>
      </c>
    </row>
    <row r="876" customFormat="false" ht="15" hidden="false" customHeight="false" outlineLevel="0" collapsed="false">
      <c r="A876" s="0" t="s">
        <v>1475</v>
      </c>
      <c r="B876" s="0" t="n">
        <v>-1165141.52670021</v>
      </c>
      <c r="C876" s="0" t="n">
        <v>1205926.37040624</v>
      </c>
      <c r="D876" s="0" t="n">
        <f aca="false">IF(B876&gt;C876,1,0)</f>
        <v>0</v>
      </c>
    </row>
    <row r="877" customFormat="false" ht="15" hidden="false" customHeight="false" outlineLevel="0" collapsed="false">
      <c r="A877" s="0" t="s">
        <v>1476</v>
      </c>
      <c r="B877" s="0" t="n">
        <v>223514.03014004</v>
      </c>
      <c r="C877" s="0" t="n">
        <v>1216208.34008966</v>
      </c>
      <c r="D877" s="0" t="n">
        <f aca="false">IF(B877&gt;C877,1,0)</f>
        <v>0</v>
      </c>
    </row>
    <row r="878" customFormat="false" ht="15" hidden="false" customHeight="false" outlineLevel="0" collapsed="false">
      <c r="A878" s="0" t="s">
        <v>1477</v>
      </c>
      <c r="B878" s="0" t="n">
        <v>-146480.706009622</v>
      </c>
      <c r="C878" s="0" t="n">
        <v>1204499.87566318</v>
      </c>
      <c r="D878" s="0" t="n">
        <f aca="false">IF(B878&gt;C878,1,0)</f>
        <v>0</v>
      </c>
    </row>
    <row r="879" customFormat="false" ht="15" hidden="false" customHeight="false" outlineLevel="0" collapsed="false">
      <c r="A879" s="0" t="s">
        <v>1478</v>
      </c>
      <c r="B879" s="0" t="n">
        <v>259038.988362513</v>
      </c>
      <c r="C879" s="0" t="n">
        <v>1216849.68124275</v>
      </c>
      <c r="D879" s="0" t="n">
        <f aca="false">IF(B879&gt;C879,1,0)</f>
        <v>0</v>
      </c>
    </row>
    <row r="880" customFormat="false" ht="15" hidden="false" customHeight="false" outlineLevel="0" collapsed="false">
      <c r="A880" s="0" t="s">
        <v>1479</v>
      </c>
      <c r="B880" s="0" t="n">
        <v>-1351561.4772484</v>
      </c>
      <c r="C880" s="0" t="n">
        <v>1178285.05690929</v>
      </c>
      <c r="D880" s="0" t="n">
        <f aca="false">IF(B880&gt;C880,1,0)</f>
        <v>0</v>
      </c>
    </row>
    <row r="881" customFormat="false" ht="15" hidden="false" customHeight="false" outlineLevel="0" collapsed="false">
      <c r="A881" s="0" t="s">
        <v>1480</v>
      </c>
      <c r="B881" s="0" t="n">
        <v>155938.462617945</v>
      </c>
      <c r="C881" s="0" t="n">
        <v>1155965.57918371</v>
      </c>
      <c r="D881" s="0" t="n">
        <f aca="false">IF(B881&gt;C881,1,0)</f>
        <v>0</v>
      </c>
    </row>
    <row r="882" customFormat="false" ht="15" hidden="false" customHeight="false" outlineLevel="0" collapsed="false">
      <c r="A882" s="0" t="s">
        <v>1481</v>
      </c>
      <c r="B882" s="0" t="n">
        <v>178127.730000993</v>
      </c>
      <c r="C882" s="0" t="n">
        <v>1182510.39342122</v>
      </c>
      <c r="D882" s="0" t="n">
        <f aca="false">IF(B882&gt;C882,1,0)</f>
        <v>0</v>
      </c>
    </row>
    <row r="883" customFormat="false" ht="15" hidden="false" customHeight="false" outlineLevel="0" collapsed="false">
      <c r="A883" s="0" t="s">
        <v>1482</v>
      </c>
      <c r="B883" s="0" t="n">
        <v>-541487.231984462</v>
      </c>
      <c r="C883" s="0" t="n">
        <v>1202818.8623177</v>
      </c>
      <c r="D883" s="0" t="n">
        <f aca="false">IF(B883&gt;C883,1,0)</f>
        <v>0</v>
      </c>
    </row>
    <row r="884" customFormat="false" ht="15" hidden="false" customHeight="false" outlineLevel="0" collapsed="false">
      <c r="A884" s="0" t="s">
        <v>1483</v>
      </c>
      <c r="B884" s="0" t="n">
        <v>-149175.52468016</v>
      </c>
      <c r="C884" s="0" t="n">
        <v>1209514.04974558</v>
      </c>
      <c r="D884" s="0" t="n">
        <f aca="false">IF(B884&gt;C884,1,0)</f>
        <v>0</v>
      </c>
    </row>
    <row r="885" customFormat="false" ht="15" hidden="false" customHeight="false" outlineLevel="0" collapsed="false">
      <c r="A885" s="0" t="s">
        <v>728</v>
      </c>
      <c r="B885" s="0" t="n">
        <v>-850538.355303516</v>
      </c>
      <c r="C885" s="0" t="n">
        <v>1210655.08438816</v>
      </c>
      <c r="D885" s="0" t="n">
        <f aca="false">IF(B885&gt;C885,1,0)</f>
        <v>0</v>
      </c>
    </row>
    <row r="886" customFormat="false" ht="15" hidden="false" customHeight="false" outlineLevel="0" collapsed="false">
      <c r="A886" s="0" t="s">
        <v>1484</v>
      </c>
      <c r="B886" s="0" t="n">
        <v>447492.536123097</v>
      </c>
      <c r="C886" s="0" t="n">
        <v>1191711.92880548</v>
      </c>
      <c r="D886" s="0" t="n">
        <f aca="false">IF(B886&gt;C886,1,0)</f>
        <v>0</v>
      </c>
    </row>
    <row r="887" customFormat="false" ht="15" hidden="false" customHeight="false" outlineLevel="0" collapsed="false">
      <c r="A887" s="0" t="s">
        <v>1485</v>
      </c>
      <c r="B887" s="0" t="n">
        <v>-2483427.79105099</v>
      </c>
      <c r="C887" s="0" t="n">
        <v>1221228.87432524</v>
      </c>
      <c r="D887" s="0" t="n">
        <f aca="false">IF(B887&gt;C887,1,0)</f>
        <v>0</v>
      </c>
    </row>
    <row r="888" customFormat="false" ht="15" hidden="false" customHeight="false" outlineLevel="0" collapsed="false">
      <c r="A888" s="0" t="s">
        <v>1486</v>
      </c>
      <c r="B888" s="0" t="n">
        <v>-492286.449951951</v>
      </c>
      <c r="C888" s="0" t="n">
        <v>1239424.0379615</v>
      </c>
      <c r="D888" s="0" t="n">
        <f aca="false">IF(B888&gt;C888,1,0)</f>
        <v>0</v>
      </c>
    </row>
    <row r="889" customFormat="false" ht="15" hidden="false" customHeight="false" outlineLevel="0" collapsed="false">
      <c r="A889" s="0" t="s">
        <v>1487</v>
      </c>
      <c r="B889" s="0" t="n">
        <v>1990256.80874692</v>
      </c>
      <c r="C889" s="0" t="n">
        <v>1232310.17937414</v>
      </c>
      <c r="D889" s="0" t="n">
        <f aca="false">IF(B889&gt;C889,1,0)</f>
        <v>1</v>
      </c>
    </row>
    <row r="890" customFormat="false" ht="15" hidden="false" customHeight="false" outlineLevel="0" collapsed="false">
      <c r="A890" s="0" t="s">
        <v>1488</v>
      </c>
      <c r="B890" s="0" t="n">
        <v>196764.885742884</v>
      </c>
      <c r="C890" s="0" t="n">
        <v>1351285.72953496</v>
      </c>
      <c r="D890" s="0" t="n">
        <f aca="false">IF(B890&gt;C890,1,0)</f>
        <v>0</v>
      </c>
    </row>
    <row r="891" customFormat="false" ht="15" hidden="false" customHeight="false" outlineLevel="0" collapsed="false">
      <c r="A891" s="0" t="s">
        <v>1489</v>
      </c>
      <c r="B891" s="0" t="n">
        <v>-730852.929084275</v>
      </c>
      <c r="C891" s="0" t="n">
        <v>1328428.34422222</v>
      </c>
      <c r="D891" s="0" t="n">
        <f aca="false">IF(B891&gt;C891,1,0)</f>
        <v>0</v>
      </c>
    </row>
    <row r="892" customFormat="false" ht="15" hidden="false" customHeight="false" outlineLevel="0" collapsed="false">
      <c r="A892" s="0" t="s">
        <v>1490</v>
      </c>
      <c r="B892" s="0" t="n">
        <v>-247191.792066431</v>
      </c>
      <c r="C892" s="0" t="n">
        <v>1302326.80060311</v>
      </c>
      <c r="D892" s="0" t="n">
        <f aca="false">IF(B892&gt;C892,1,0)</f>
        <v>0</v>
      </c>
    </row>
    <row r="893" customFormat="false" ht="15" hidden="false" customHeight="false" outlineLevel="0" collapsed="false">
      <c r="A893" s="0" t="s">
        <v>1491</v>
      </c>
      <c r="B893" s="0" t="n">
        <v>-957390.68347371</v>
      </c>
      <c r="C893" s="0" t="n">
        <v>1310913.48668528</v>
      </c>
      <c r="D893" s="0" t="n">
        <f aca="false">IF(B893&gt;C893,1,0)</f>
        <v>0</v>
      </c>
    </row>
    <row r="894" customFormat="false" ht="15" hidden="false" customHeight="false" outlineLevel="0" collapsed="false">
      <c r="A894" s="0" t="s">
        <v>1492</v>
      </c>
      <c r="B894" s="0" t="n">
        <v>-742082.600531159</v>
      </c>
      <c r="C894" s="0" t="n">
        <v>1285256.5134355</v>
      </c>
      <c r="D894" s="0" t="n">
        <f aca="false">IF(B894&gt;C894,1,0)</f>
        <v>0</v>
      </c>
    </row>
    <row r="895" customFormat="false" ht="15" hidden="false" customHeight="false" outlineLevel="0" collapsed="false">
      <c r="A895" s="0" t="s">
        <v>730</v>
      </c>
      <c r="B895" s="0" t="n">
        <v>999395.081421262</v>
      </c>
      <c r="C895" s="0" t="n">
        <v>1273832.61317345</v>
      </c>
      <c r="D895" s="0" t="n">
        <f aca="false">IF(B895&gt;C895,1,0)</f>
        <v>0</v>
      </c>
    </row>
    <row r="896" customFormat="false" ht="15" hidden="false" customHeight="false" outlineLevel="0" collapsed="false">
      <c r="A896" s="0" t="s">
        <v>1493</v>
      </c>
      <c r="B896" s="0" t="n">
        <v>92431.8395786658</v>
      </c>
      <c r="C896" s="0" t="n">
        <v>1270753.81059526</v>
      </c>
      <c r="D896" s="0" t="n">
        <f aca="false">IF(B896&gt;C896,1,0)</f>
        <v>0</v>
      </c>
    </row>
    <row r="897" customFormat="false" ht="15" hidden="false" customHeight="false" outlineLevel="0" collapsed="false">
      <c r="A897" s="0" t="s">
        <v>1494</v>
      </c>
      <c r="B897" s="0" t="n">
        <v>107678.553812191</v>
      </c>
      <c r="C897" s="0" t="n">
        <v>1286788.86821834</v>
      </c>
      <c r="D897" s="0" t="n">
        <f aca="false">IF(B897&gt;C897,1,0)</f>
        <v>0</v>
      </c>
    </row>
    <row r="898" customFormat="false" ht="15" hidden="false" customHeight="false" outlineLevel="0" collapsed="false">
      <c r="A898" s="0" t="s">
        <v>1495</v>
      </c>
      <c r="B898" s="0" t="n">
        <v>254741.783454195</v>
      </c>
      <c r="C898" s="0" t="n">
        <v>1292232.54881647</v>
      </c>
      <c r="D898" s="0" t="n">
        <f aca="false">IF(B898&gt;C898,1,0)</f>
        <v>0</v>
      </c>
    </row>
    <row r="899" customFormat="false" ht="15" hidden="false" customHeight="false" outlineLevel="0" collapsed="false">
      <c r="A899" s="0" t="s">
        <v>1496</v>
      </c>
      <c r="B899" s="0" t="n">
        <v>744592.572193911</v>
      </c>
      <c r="C899" s="0" t="n">
        <v>1269614.17352837</v>
      </c>
      <c r="D899" s="0" t="n">
        <f aca="false">IF(B899&gt;C899,1,0)</f>
        <v>0</v>
      </c>
    </row>
    <row r="900" customFormat="false" ht="15" hidden="false" customHeight="false" outlineLevel="0" collapsed="false">
      <c r="A900" s="0" t="s">
        <v>1497</v>
      </c>
      <c r="B900" s="0" t="n">
        <v>-592040.88000169</v>
      </c>
      <c r="C900" s="0" t="n">
        <v>1287236.09953814</v>
      </c>
      <c r="D900" s="0" t="n">
        <f aca="false">IF(B900&gt;C900,1,0)</f>
        <v>0</v>
      </c>
    </row>
    <row r="901" customFormat="false" ht="15" hidden="false" customHeight="false" outlineLevel="0" collapsed="false">
      <c r="A901" s="0" t="s">
        <v>1498</v>
      </c>
      <c r="B901" s="0" t="n">
        <v>-542343.172627002</v>
      </c>
      <c r="C901" s="0" t="n">
        <v>1288469.87281807</v>
      </c>
      <c r="D901" s="0" t="n">
        <f aca="false">IF(B901&gt;C901,1,0)</f>
        <v>0</v>
      </c>
    </row>
    <row r="902" customFormat="false" ht="15" hidden="false" customHeight="false" outlineLevel="0" collapsed="false">
      <c r="A902" s="0" t="s">
        <v>1499</v>
      </c>
      <c r="B902" s="0" t="n">
        <v>-188940.485353155</v>
      </c>
      <c r="C902" s="0" t="n">
        <v>1305680.98323083</v>
      </c>
      <c r="D902" s="0" t="n">
        <f aca="false">IF(B902&gt;C902,1,0)</f>
        <v>0</v>
      </c>
    </row>
    <row r="903" customFormat="false" ht="15" hidden="false" customHeight="false" outlineLevel="0" collapsed="false">
      <c r="A903" s="0" t="s">
        <v>1500</v>
      </c>
      <c r="B903" s="0" t="n">
        <v>862283.457810886</v>
      </c>
      <c r="C903" s="0" t="n">
        <v>1338015.87990485</v>
      </c>
      <c r="D903" s="0" t="n">
        <f aca="false">IF(B903&gt;C903,1,0)</f>
        <v>0</v>
      </c>
    </row>
    <row r="904" customFormat="false" ht="15" hidden="false" customHeight="false" outlineLevel="0" collapsed="false">
      <c r="A904" s="0" t="s">
        <v>1501</v>
      </c>
      <c r="B904" s="0" t="n">
        <v>-1023766.03422243</v>
      </c>
      <c r="C904" s="0" t="n">
        <v>1362196.01421401</v>
      </c>
      <c r="D904" s="0" t="n">
        <f aca="false">IF(B904&gt;C904,1,0)</f>
        <v>0</v>
      </c>
    </row>
    <row r="905" customFormat="false" ht="15" hidden="false" customHeight="false" outlineLevel="0" collapsed="false">
      <c r="A905" s="0" t="s">
        <v>731</v>
      </c>
      <c r="B905" s="0" t="n">
        <v>47794.2571076937</v>
      </c>
      <c r="C905" s="0" t="n">
        <v>1354114.62287335</v>
      </c>
      <c r="D905" s="0" t="n">
        <f aca="false">IF(B905&gt;C905,1,0)</f>
        <v>0</v>
      </c>
    </row>
    <row r="906" customFormat="false" ht="15" hidden="false" customHeight="false" outlineLevel="0" collapsed="false">
      <c r="A906" s="0" t="s">
        <v>1502</v>
      </c>
      <c r="B906" s="0" t="n">
        <v>-170845.225590995</v>
      </c>
      <c r="C906" s="0" t="n">
        <v>1356163.63312451</v>
      </c>
      <c r="D906" s="0" t="n">
        <f aca="false">IF(B906&gt;C906,1,0)</f>
        <v>0</v>
      </c>
    </row>
    <row r="907" customFormat="false" ht="15" hidden="false" customHeight="false" outlineLevel="0" collapsed="false">
      <c r="A907" s="0" t="s">
        <v>1503</v>
      </c>
      <c r="B907" s="0" t="n">
        <v>988234.414784188</v>
      </c>
      <c r="C907" s="0" t="n">
        <v>1347076.45108347</v>
      </c>
      <c r="D907" s="0" t="n">
        <f aca="false">IF(B907&gt;C907,1,0)</f>
        <v>0</v>
      </c>
    </row>
    <row r="908" customFormat="false" ht="15" hidden="false" customHeight="false" outlineLevel="0" collapsed="false">
      <c r="A908" s="0" t="s">
        <v>1504</v>
      </c>
      <c r="B908" s="0" t="n">
        <v>-447718.875484837</v>
      </c>
      <c r="C908" s="0" t="n">
        <v>1371870.75524584</v>
      </c>
      <c r="D908" s="0" t="n">
        <f aca="false">IF(B908&gt;C908,1,0)</f>
        <v>0</v>
      </c>
    </row>
    <row r="909" customFormat="false" ht="15" hidden="false" customHeight="false" outlineLevel="0" collapsed="false">
      <c r="A909" s="0" t="s">
        <v>1505</v>
      </c>
      <c r="B909" s="0" t="n">
        <v>294934.327743864</v>
      </c>
      <c r="C909" s="0" t="n">
        <v>1335697.43052409</v>
      </c>
      <c r="D909" s="0" t="n">
        <f aca="false">IF(B909&gt;C909,1,0)</f>
        <v>0</v>
      </c>
    </row>
    <row r="910" customFormat="false" ht="15" hidden="false" customHeight="false" outlineLevel="0" collapsed="false">
      <c r="A910" s="0" t="s">
        <v>1506</v>
      </c>
      <c r="B910" s="0" t="n">
        <v>497625.538175602</v>
      </c>
      <c r="C910" s="0" t="n">
        <v>1321990.14039453</v>
      </c>
      <c r="D910" s="0" t="n">
        <f aca="false">IF(B910&gt;C910,1,0)</f>
        <v>0</v>
      </c>
    </row>
    <row r="911" customFormat="false" ht="15" hidden="false" customHeight="false" outlineLevel="0" collapsed="false">
      <c r="A911" s="0" t="s">
        <v>1507</v>
      </c>
      <c r="B911" s="0" t="n">
        <v>616156.963912574</v>
      </c>
      <c r="C911" s="0" t="n">
        <v>1338313.35432033</v>
      </c>
      <c r="D911" s="0" t="n">
        <f aca="false">IF(B911&gt;C911,1,0)</f>
        <v>0</v>
      </c>
    </row>
    <row r="912" customFormat="false" ht="15" hidden="false" customHeight="false" outlineLevel="0" collapsed="false">
      <c r="A912" s="0" t="s">
        <v>1508</v>
      </c>
      <c r="B912" s="0" t="n">
        <v>184422.881283373</v>
      </c>
      <c r="C912" s="0" t="n">
        <v>1299761.99049791</v>
      </c>
      <c r="D912" s="0" t="n">
        <f aca="false">IF(B912&gt;C912,1,0)</f>
        <v>0</v>
      </c>
    </row>
    <row r="913" customFormat="false" ht="15" hidden="false" customHeight="false" outlineLevel="0" collapsed="false">
      <c r="A913" s="0" t="s">
        <v>1509</v>
      </c>
      <c r="B913" s="0" t="n">
        <v>-898578.304709991</v>
      </c>
      <c r="C913" s="0" t="n">
        <v>1269784.14496184</v>
      </c>
      <c r="D913" s="0" t="n">
        <f aca="false">IF(B913&gt;C913,1,0)</f>
        <v>0</v>
      </c>
    </row>
    <row r="914" customFormat="false" ht="15" hidden="false" customHeight="false" outlineLevel="0" collapsed="false">
      <c r="A914" s="0" t="s">
        <v>1510</v>
      </c>
      <c r="B914" s="0" t="n">
        <v>198946.199636834</v>
      </c>
      <c r="C914" s="0" t="n">
        <v>1250724.24712787</v>
      </c>
      <c r="D914" s="0" t="n">
        <f aca="false">IF(B914&gt;C914,1,0)</f>
        <v>0</v>
      </c>
    </row>
    <row r="915" customFormat="false" ht="15" hidden="false" customHeight="false" outlineLevel="0" collapsed="false">
      <c r="A915" s="0" t="s">
        <v>733</v>
      </c>
      <c r="B915" s="0" t="n">
        <v>256444.953409744</v>
      </c>
      <c r="C915" s="0" t="n">
        <v>1238503.27683922</v>
      </c>
      <c r="D915" s="0" t="n">
        <f aca="false">IF(B915&gt;C915,1,0)</f>
        <v>0</v>
      </c>
    </row>
    <row r="916" customFormat="false" ht="15" hidden="false" customHeight="false" outlineLevel="0" collapsed="false">
      <c r="A916" s="0" t="s">
        <v>1511</v>
      </c>
      <c r="B916" s="0" t="n">
        <v>-14004.099950281</v>
      </c>
      <c r="C916" s="0" t="n">
        <v>1243771.96392604</v>
      </c>
      <c r="D916" s="0" t="n">
        <f aca="false">IF(B916&gt;C916,1,0)</f>
        <v>0</v>
      </c>
    </row>
    <row r="917" customFormat="false" ht="15" hidden="false" customHeight="false" outlineLevel="0" collapsed="false">
      <c r="A917" s="0" t="s">
        <v>1512</v>
      </c>
      <c r="B917" s="0" t="n">
        <v>-215022.02194858</v>
      </c>
      <c r="C917" s="0" t="n">
        <v>1246565.0368822</v>
      </c>
      <c r="D917" s="0" t="n">
        <f aca="false">IF(B917&gt;C917,1,0)</f>
        <v>0</v>
      </c>
    </row>
    <row r="918" customFormat="false" ht="15" hidden="false" customHeight="false" outlineLevel="0" collapsed="false">
      <c r="A918" s="0" t="s">
        <v>1513</v>
      </c>
      <c r="B918" s="0" t="n">
        <v>161280.25069867</v>
      </c>
      <c r="C918" s="0" t="n">
        <v>1250165.75700242</v>
      </c>
      <c r="D918" s="0" t="n">
        <f aca="false">IF(B918&gt;C918,1,0)</f>
        <v>0</v>
      </c>
    </row>
    <row r="919" customFormat="false" ht="15" hidden="false" customHeight="false" outlineLevel="0" collapsed="false">
      <c r="A919" s="0" t="s">
        <v>1514</v>
      </c>
      <c r="B919" s="0" t="n">
        <v>71458.3494710606</v>
      </c>
      <c r="C919" s="0" t="n">
        <v>1256485.93206898</v>
      </c>
      <c r="D919" s="0" t="n">
        <f aca="false">IF(B919&gt;C919,1,0)</f>
        <v>0</v>
      </c>
    </row>
    <row r="920" customFormat="false" ht="15" hidden="false" customHeight="false" outlineLevel="0" collapsed="false">
      <c r="A920" s="0" t="s">
        <v>1515</v>
      </c>
      <c r="B920" s="0" t="n">
        <v>-25280.7104566367</v>
      </c>
      <c r="C920" s="0" t="n">
        <v>1258328.09715132</v>
      </c>
      <c r="D920" s="0" t="n">
        <f aca="false">IF(B920&gt;C920,1,0)</f>
        <v>0</v>
      </c>
    </row>
    <row r="921" customFormat="false" ht="15" hidden="false" customHeight="false" outlineLevel="0" collapsed="false">
      <c r="A921" s="0" t="s">
        <v>1516</v>
      </c>
      <c r="B921" s="0" t="n">
        <v>-339180.59081511</v>
      </c>
      <c r="C921" s="0" t="n">
        <v>1252357.6390243</v>
      </c>
      <c r="D921" s="0" t="n">
        <f aca="false">IF(B921&gt;C921,1,0)</f>
        <v>0</v>
      </c>
    </row>
    <row r="922" customFormat="false" ht="15" hidden="false" customHeight="false" outlineLevel="0" collapsed="false">
      <c r="A922" s="0" t="s">
        <v>1517</v>
      </c>
      <c r="B922" s="0" t="n">
        <v>-384958.577723557</v>
      </c>
      <c r="C922" s="0" t="n">
        <v>1243852.40216927</v>
      </c>
      <c r="D922" s="0" t="n">
        <f aca="false">IF(B922&gt;C922,1,0)</f>
        <v>0</v>
      </c>
    </row>
    <row r="923" customFormat="false" ht="15" hidden="false" customHeight="false" outlineLevel="0" collapsed="false">
      <c r="A923" s="0" t="s">
        <v>1518</v>
      </c>
      <c r="B923" s="0" t="n">
        <v>195756.763352582</v>
      </c>
      <c r="C923" s="0" t="n">
        <v>1239397.88520525</v>
      </c>
      <c r="D923" s="0" t="n">
        <f aca="false">IF(B923&gt;C923,1,0)</f>
        <v>0</v>
      </c>
    </row>
    <row r="924" customFormat="false" ht="15" hidden="false" customHeight="false" outlineLevel="0" collapsed="false">
      <c r="A924" s="0" t="s">
        <v>1519</v>
      </c>
      <c r="B924" s="0" t="n">
        <v>-110995.332006577</v>
      </c>
      <c r="C924" s="0" t="n">
        <v>1238541.86304677</v>
      </c>
      <c r="D924" s="0" t="n">
        <f aca="false">IF(B924&gt;C924,1,0)</f>
        <v>0</v>
      </c>
    </row>
    <row r="925" customFormat="false" ht="15" hidden="false" customHeight="false" outlineLevel="0" collapsed="false">
      <c r="A925" s="0" t="s">
        <v>735</v>
      </c>
      <c r="B925" s="0" t="n">
        <v>-763522.638430592</v>
      </c>
      <c r="C925" s="0" t="n">
        <v>1237977.51440768</v>
      </c>
      <c r="D925" s="0" t="n">
        <f aca="false">IF(B925&gt;C925,1,0)</f>
        <v>0</v>
      </c>
    </row>
    <row r="926" customFormat="false" ht="15" hidden="false" customHeight="false" outlineLevel="0" collapsed="false">
      <c r="A926" s="0" t="s">
        <v>1520</v>
      </c>
      <c r="B926" s="0" t="n">
        <v>831282.392087394</v>
      </c>
      <c r="C926" s="0" t="n">
        <v>1256617.76825041</v>
      </c>
      <c r="D926" s="0" t="n">
        <f aca="false">IF(B926&gt;C926,1,0)</f>
        <v>0</v>
      </c>
    </row>
    <row r="927" customFormat="false" ht="15" hidden="false" customHeight="false" outlineLevel="0" collapsed="false">
      <c r="A927" s="0" t="s">
        <v>1521</v>
      </c>
      <c r="B927" s="0" t="n">
        <v>348748.715764444</v>
      </c>
      <c r="C927" s="0" t="n">
        <v>1248766.08117876</v>
      </c>
      <c r="D927" s="0" t="n">
        <f aca="false">IF(B927&gt;C927,1,0)</f>
        <v>0</v>
      </c>
    </row>
    <row r="928" customFormat="false" ht="15" hidden="false" customHeight="false" outlineLevel="0" collapsed="false">
      <c r="A928" s="0" t="s">
        <v>1522</v>
      </c>
      <c r="B928" s="0" t="n">
        <v>1027635.13033976</v>
      </c>
      <c r="C928" s="0" t="n">
        <v>1252474.54390444</v>
      </c>
      <c r="D928" s="0" t="n">
        <f aca="false">IF(B928&gt;C928,1,0)</f>
        <v>0</v>
      </c>
    </row>
    <row r="929" customFormat="false" ht="15" hidden="false" customHeight="false" outlineLevel="0" collapsed="false">
      <c r="A929" s="0" t="s">
        <v>1523</v>
      </c>
      <c r="B929" s="0" t="n">
        <v>-224601.512348148</v>
      </c>
      <c r="C929" s="0" t="n">
        <v>1272594.58703666</v>
      </c>
      <c r="D929" s="0" t="n">
        <f aca="false">IF(B929&gt;C929,1,0)</f>
        <v>0</v>
      </c>
    </row>
    <row r="930" customFormat="false" ht="15" hidden="false" customHeight="false" outlineLevel="0" collapsed="false">
      <c r="A930" s="0" t="s">
        <v>1524</v>
      </c>
      <c r="B930" s="0" t="n">
        <v>141520.376453403</v>
      </c>
      <c r="C930" s="0" t="n">
        <v>1267665.4746566</v>
      </c>
      <c r="D930" s="0" t="n">
        <f aca="false">IF(B930&gt;C930,1,0)</f>
        <v>0</v>
      </c>
    </row>
    <row r="931" customFormat="false" ht="15" hidden="false" customHeight="false" outlineLevel="0" collapsed="false">
      <c r="A931" s="0" t="s">
        <v>1525</v>
      </c>
      <c r="B931" s="0" t="n">
        <v>-542184.782674224</v>
      </c>
      <c r="C931" s="0" t="n">
        <v>1282414.43585927</v>
      </c>
      <c r="D931" s="0" t="n">
        <f aca="false">IF(B931&gt;C931,1,0)</f>
        <v>0</v>
      </c>
    </row>
    <row r="932" customFormat="false" ht="15" hidden="false" customHeight="false" outlineLevel="0" collapsed="false">
      <c r="A932" s="0" t="s">
        <v>1526</v>
      </c>
      <c r="B932" s="0" t="n">
        <v>-172039.778190218</v>
      </c>
      <c r="C932" s="0" t="n">
        <v>1268124.86078536</v>
      </c>
      <c r="D932" s="0" t="n">
        <f aca="false">IF(B932&gt;C932,1,0)</f>
        <v>0</v>
      </c>
    </row>
    <row r="933" customFormat="false" ht="15" hidden="false" customHeight="false" outlineLevel="0" collapsed="false">
      <c r="A933" s="0" t="s">
        <v>1527</v>
      </c>
      <c r="B933" s="0" t="n">
        <v>94044.8815393895</v>
      </c>
      <c r="C933" s="0" t="n">
        <v>1251612.94420132</v>
      </c>
      <c r="D933" s="0" t="n">
        <f aca="false">IF(B933&gt;C933,1,0)</f>
        <v>0</v>
      </c>
    </row>
    <row r="934" customFormat="false" ht="15" hidden="false" customHeight="false" outlineLevel="0" collapsed="false">
      <c r="A934" s="0" t="s">
        <v>1528</v>
      </c>
      <c r="B934" s="0" t="n">
        <v>-379050.392286735</v>
      </c>
      <c r="C934" s="0" t="n">
        <v>1263806.89770133</v>
      </c>
      <c r="D934" s="0" t="n">
        <f aca="false">IF(B934&gt;C934,1,0)</f>
        <v>0</v>
      </c>
    </row>
    <row r="935" customFormat="false" ht="15" hidden="false" customHeight="false" outlineLevel="0" collapsed="false">
      <c r="A935" s="0" t="s">
        <v>737</v>
      </c>
      <c r="B935" s="0" t="n">
        <v>-225306.611475768</v>
      </c>
      <c r="C935" s="0" t="n">
        <v>1299990.10363454</v>
      </c>
      <c r="D935" s="0" t="n">
        <f aca="false">IF(B935&gt;C935,1,0)</f>
        <v>0</v>
      </c>
    </row>
    <row r="936" customFormat="false" ht="15" hidden="false" customHeight="false" outlineLevel="0" collapsed="false">
      <c r="A936" s="0" t="s">
        <v>1529</v>
      </c>
      <c r="B936" s="0" t="n">
        <v>484047.921687931</v>
      </c>
      <c r="C936" s="0" t="n">
        <v>1270521.75978442</v>
      </c>
      <c r="D936" s="0" t="n">
        <f aca="false">IF(B936&gt;C936,1,0)</f>
        <v>0</v>
      </c>
    </row>
    <row r="937" customFormat="false" ht="15" hidden="false" customHeight="false" outlineLevel="0" collapsed="false">
      <c r="A937" s="0" t="s">
        <v>1530</v>
      </c>
      <c r="B937" s="0" t="n">
        <v>-316647.036672814</v>
      </c>
      <c r="C937" s="0" t="n">
        <v>1277002.25547754</v>
      </c>
      <c r="D937" s="0" t="n">
        <f aca="false">IF(B937&gt;C937,1,0)</f>
        <v>0</v>
      </c>
    </row>
    <row r="938" customFormat="false" ht="15" hidden="false" customHeight="false" outlineLevel="0" collapsed="false">
      <c r="A938" s="0" t="s">
        <v>1531</v>
      </c>
      <c r="B938" s="0" t="n">
        <v>-453630.317615829</v>
      </c>
      <c r="C938" s="0" t="n">
        <v>1259936.09661267</v>
      </c>
      <c r="D938" s="0" t="n">
        <f aca="false">IF(B938&gt;C938,1,0)</f>
        <v>0</v>
      </c>
    </row>
    <row r="939" customFormat="false" ht="15" hidden="false" customHeight="false" outlineLevel="0" collapsed="false">
      <c r="A939" s="0" t="s">
        <v>1532</v>
      </c>
      <c r="B939" s="0" t="n">
        <v>428083.699622627</v>
      </c>
      <c r="C939" s="0" t="n">
        <v>1281667.39960982</v>
      </c>
      <c r="D939" s="0" t="n">
        <f aca="false">IF(B939&gt;C939,1,0)</f>
        <v>0</v>
      </c>
    </row>
    <row r="940" customFormat="false" ht="15" hidden="false" customHeight="false" outlineLevel="0" collapsed="false">
      <c r="A940" s="0" t="s">
        <v>1533</v>
      </c>
      <c r="B940" s="0" t="n">
        <v>-33210.6307112183</v>
      </c>
      <c r="C940" s="0" t="n">
        <v>1298846.4463784</v>
      </c>
      <c r="D940" s="0" t="n">
        <f aca="false">IF(B940&gt;C940,1,0)</f>
        <v>0</v>
      </c>
    </row>
    <row r="941" customFormat="false" ht="15" hidden="false" customHeight="false" outlineLevel="0" collapsed="false">
      <c r="A941" s="0" t="s">
        <v>1534</v>
      </c>
      <c r="B941" s="0" t="n">
        <v>142143.605096646</v>
      </c>
      <c r="C941" s="0" t="n">
        <v>1287726.54485179</v>
      </c>
      <c r="D941" s="0" t="n">
        <f aca="false">IF(B941&gt;C941,1,0)</f>
        <v>0</v>
      </c>
    </row>
    <row r="942" customFormat="false" ht="15" hidden="false" customHeight="false" outlineLevel="0" collapsed="false">
      <c r="A942" s="0" t="s">
        <v>1535</v>
      </c>
      <c r="B942" s="0" t="n">
        <v>341403.128056623</v>
      </c>
      <c r="C942" s="0" t="n">
        <v>1280309.63688747</v>
      </c>
      <c r="D942" s="0" t="n">
        <f aca="false">IF(B942&gt;C942,1,0)</f>
        <v>0</v>
      </c>
    </row>
    <row r="943" customFormat="false" ht="15" hidden="false" customHeight="false" outlineLevel="0" collapsed="false">
      <c r="A943" s="0" t="s">
        <v>1536</v>
      </c>
      <c r="B943" s="0" t="n">
        <v>6849.8977501709</v>
      </c>
      <c r="C943" s="0" t="n">
        <v>1306911.36151479</v>
      </c>
      <c r="D943" s="0" t="n">
        <f aca="false">IF(B943&gt;C943,1,0)</f>
        <v>0</v>
      </c>
    </row>
    <row r="944" customFormat="false" ht="15" hidden="false" customHeight="false" outlineLevel="0" collapsed="false">
      <c r="A944" s="0" t="s">
        <v>1537</v>
      </c>
      <c r="B944" s="0" t="n">
        <v>440291.042733247</v>
      </c>
      <c r="C944" s="0" t="n">
        <v>1304550.17954033</v>
      </c>
      <c r="D944" s="0" t="n">
        <f aca="false">IF(B944&gt;C944,1,0)</f>
        <v>0</v>
      </c>
    </row>
    <row r="945" customFormat="false" ht="15" hidden="false" customHeight="false" outlineLevel="0" collapsed="false">
      <c r="A945" s="0" t="s">
        <v>739</v>
      </c>
      <c r="B945" s="0" t="n">
        <v>228606.816309199</v>
      </c>
      <c r="C945" s="0" t="n">
        <v>1307164.42414622</v>
      </c>
      <c r="D945" s="0" t="n">
        <f aca="false">IF(B945&gt;C945,1,0)</f>
        <v>0</v>
      </c>
    </row>
    <row r="946" customFormat="false" ht="15" hidden="false" customHeight="false" outlineLevel="0" collapsed="false">
      <c r="A946" s="0" t="s">
        <v>1538</v>
      </c>
      <c r="B946" s="0" t="n">
        <v>-71960.3204664365</v>
      </c>
      <c r="C946" s="0" t="n">
        <v>1306994.29602672</v>
      </c>
      <c r="D946" s="0" t="n">
        <f aca="false">IF(B946&gt;C946,1,0)</f>
        <v>0</v>
      </c>
    </row>
    <row r="947" customFormat="false" ht="15" hidden="false" customHeight="false" outlineLevel="0" collapsed="false">
      <c r="A947" s="0" t="s">
        <v>1539</v>
      </c>
      <c r="B947" s="0" t="n">
        <v>383021.891611923</v>
      </c>
      <c r="C947" s="0" t="n">
        <v>1307877.44031327</v>
      </c>
      <c r="D947" s="0" t="n">
        <f aca="false">IF(B947&gt;C947,1,0)</f>
        <v>0</v>
      </c>
    </row>
    <row r="948" customFormat="false" ht="15" hidden="false" customHeight="false" outlineLevel="0" collapsed="false">
      <c r="A948" s="0" t="s">
        <v>1540</v>
      </c>
      <c r="B948" s="0" t="n">
        <v>628495.184377569</v>
      </c>
      <c r="C948" s="0" t="n">
        <v>1305070.31678687</v>
      </c>
      <c r="D948" s="0" t="n">
        <f aca="false">IF(B948&gt;C948,1,0)</f>
        <v>0</v>
      </c>
    </row>
    <row r="949" customFormat="false" ht="15" hidden="false" customHeight="false" outlineLevel="0" collapsed="false">
      <c r="A949" s="0" t="s">
        <v>1541</v>
      </c>
      <c r="B949" s="0" t="n">
        <v>-66422.8785064044</v>
      </c>
      <c r="C949" s="0" t="n">
        <v>1306095.04559036</v>
      </c>
      <c r="D949" s="0" t="n">
        <f aca="false">IF(B949&gt;C949,1,0)</f>
        <v>0</v>
      </c>
    </row>
    <row r="950" customFormat="false" ht="15" hidden="false" customHeight="false" outlineLevel="0" collapsed="false">
      <c r="A950" s="0" t="s">
        <v>1542</v>
      </c>
      <c r="B950" s="0" t="n">
        <v>447882.634454079</v>
      </c>
      <c r="C950" s="0" t="n">
        <v>1306516.21474168</v>
      </c>
      <c r="D950" s="0" t="n">
        <f aca="false">IF(B950&gt;C950,1,0)</f>
        <v>0</v>
      </c>
    </row>
    <row r="951" customFormat="false" ht="15" hidden="false" customHeight="false" outlineLevel="0" collapsed="false">
      <c r="A951" s="0" t="s">
        <v>1543</v>
      </c>
      <c r="B951" s="0" t="n">
        <v>-99355.8759740619</v>
      </c>
      <c r="C951" s="0" t="n">
        <v>1320248.52908981</v>
      </c>
      <c r="D951" s="0" t="n">
        <f aca="false">IF(B951&gt;C951,1,0)</f>
        <v>0</v>
      </c>
    </row>
    <row r="952" customFormat="false" ht="15" hidden="false" customHeight="false" outlineLevel="0" collapsed="false">
      <c r="A952" s="0" t="s">
        <v>1544</v>
      </c>
      <c r="B952" s="0" t="n">
        <v>-204407.386094162</v>
      </c>
      <c r="C952" s="0" t="n">
        <v>1314316.89584641</v>
      </c>
      <c r="D952" s="0" t="n">
        <f aca="false">IF(B952&gt;C952,1,0)</f>
        <v>0</v>
      </c>
    </row>
    <row r="953" customFormat="false" ht="15" hidden="false" customHeight="false" outlineLevel="0" collapsed="false">
      <c r="A953" s="0" t="s">
        <v>1545</v>
      </c>
      <c r="B953" s="0" t="n">
        <v>-483900.420941302</v>
      </c>
      <c r="C953" s="0" t="n">
        <v>1309145.99596542</v>
      </c>
      <c r="D953" s="0" t="n">
        <f aca="false">IF(B953&gt;C953,1,0)</f>
        <v>0</v>
      </c>
    </row>
    <row r="954" customFormat="false" ht="15" hidden="false" customHeight="false" outlineLevel="0" collapsed="false">
      <c r="A954" s="0" t="s">
        <v>1546</v>
      </c>
      <c r="B954" s="0" t="n">
        <v>-292571.88629188</v>
      </c>
      <c r="C954" s="0" t="n">
        <v>1332573.85982488</v>
      </c>
      <c r="D954" s="0" t="n">
        <f aca="false">IF(B954&gt;C954,1,0)</f>
        <v>0</v>
      </c>
    </row>
    <row r="955" customFormat="false" ht="15" hidden="false" customHeight="false" outlineLevel="0" collapsed="false">
      <c r="A955" s="0" t="s">
        <v>741</v>
      </c>
      <c r="B955" s="0" t="n">
        <v>205958.74238736</v>
      </c>
      <c r="C955" s="0" t="n">
        <v>1319433.36195385</v>
      </c>
      <c r="D955" s="0" t="n">
        <f aca="false">IF(B955&gt;C955,1,0)</f>
        <v>0</v>
      </c>
    </row>
    <row r="956" customFormat="false" ht="15" hidden="false" customHeight="false" outlineLevel="0" collapsed="false">
      <c r="A956" s="0" t="s">
        <v>1547</v>
      </c>
      <c r="B956" s="0" t="n">
        <v>-99580.3781016404</v>
      </c>
      <c r="C956" s="0" t="n">
        <v>1317210.11384061</v>
      </c>
      <c r="D956" s="0" t="n">
        <f aca="false">IF(B956&gt;C956,1,0)</f>
        <v>0</v>
      </c>
    </row>
    <row r="957" customFormat="false" ht="15" hidden="false" customHeight="false" outlineLevel="0" collapsed="false">
      <c r="A957" s="0" t="s">
        <v>1548</v>
      </c>
      <c r="B957" s="0" t="n">
        <v>10704.2562354533</v>
      </c>
      <c r="C957" s="0" t="n">
        <v>1313499.12165184</v>
      </c>
      <c r="D957" s="0" t="n">
        <f aca="false">IF(B957&gt;C957,1,0)</f>
        <v>0</v>
      </c>
    </row>
    <row r="958" customFormat="false" ht="15" hidden="false" customHeight="false" outlineLevel="0" collapsed="false">
      <c r="A958" s="0" t="s">
        <v>1549</v>
      </c>
      <c r="B958" s="0" t="n">
        <v>-110641.39275448</v>
      </c>
      <c r="C958" s="0" t="n">
        <v>1304327.62413152</v>
      </c>
      <c r="D958" s="0" t="n">
        <f aca="false">IF(B958&gt;C958,1,0)</f>
        <v>0</v>
      </c>
    </row>
    <row r="959" customFormat="false" ht="15" hidden="false" customHeight="false" outlineLevel="0" collapsed="false">
      <c r="A959" s="0" t="s">
        <v>1550</v>
      </c>
      <c r="B959" s="0" t="n">
        <v>-6062.83754505497</v>
      </c>
      <c r="C959" s="0" t="n">
        <v>1311208.60801177</v>
      </c>
      <c r="D959" s="0" t="n">
        <f aca="false">IF(B959&gt;C959,1,0)</f>
        <v>0</v>
      </c>
    </row>
    <row r="960" customFormat="false" ht="15" hidden="false" customHeight="false" outlineLevel="0" collapsed="false">
      <c r="A960" s="0" t="s">
        <v>1551</v>
      </c>
      <c r="B960" s="0" t="n">
        <v>696593.231909986</v>
      </c>
      <c r="C960" s="0" t="n">
        <v>1309493.69864665</v>
      </c>
      <c r="D960" s="0" t="n">
        <f aca="false">IF(B960&gt;C960,1,0)</f>
        <v>0</v>
      </c>
    </row>
    <row r="961" customFormat="false" ht="15" hidden="false" customHeight="false" outlineLevel="0" collapsed="false">
      <c r="A961" s="0" t="s">
        <v>1552</v>
      </c>
      <c r="B961" s="0" t="n">
        <v>-234316.623217169</v>
      </c>
      <c r="C961" s="0" t="n">
        <v>1297151.02865691</v>
      </c>
      <c r="D961" s="0" t="n">
        <f aca="false">IF(B961&gt;C961,1,0)</f>
        <v>0</v>
      </c>
    </row>
    <row r="962" customFormat="false" ht="15" hidden="false" customHeight="false" outlineLevel="0" collapsed="false">
      <c r="A962" s="0" t="s">
        <v>1553</v>
      </c>
      <c r="B962" s="0" t="n">
        <v>-584914.236214895</v>
      </c>
      <c r="C962" s="0" t="n">
        <v>1296825.08454217</v>
      </c>
      <c r="D962" s="0" t="n">
        <f aca="false">IF(B962&gt;C962,1,0)</f>
        <v>0</v>
      </c>
    </row>
    <row r="963" customFormat="false" ht="15" hidden="false" customHeight="false" outlineLevel="0" collapsed="false">
      <c r="A963" s="0" t="s">
        <v>1554</v>
      </c>
      <c r="B963" s="0" t="n">
        <v>-472594.580074742</v>
      </c>
      <c r="C963" s="0" t="n">
        <v>1293963.34591605</v>
      </c>
      <c r="D963" s="0" t="n">
        <f aca="false">IF(B963&gt;C963,1,0)</f>
        <v>0</v>
      </c>
    </row>
    <row r="964" customFormat="false" ht="15" hidden="false" customHeight="false" outlineLevel="0" collapsed="false">
      <c r="A964" s="0" t="s">
        <v>1555</v>
      </c>
      <c r="B964" s="0" t="n">
        <v>-4802.08042655233</v>
      </c>
      <c r="C964" s="0" t="n">
        <v>1286451.31017916</v>
      </c>
      <c r="D964" s="0" t="n">
        <f aca="false">IF(B964&gt;C964,1,0)</f>
        <v>0</v>
      </c>
    </row>
    <row r="965" customFormat="false" ht="15" hidden="false" customHeight="false" outlineLevel="0" collapsed="false">
      <c r="A965" s="0" t="s">
        <v>743</v>
      </c>
      <c r="B965" s="0" t="n">
        <v>-118181.797359097</v>
      </c>
      <c r="C965" s="0" t="n">
        <v>1289646.1399732</v>
      </c>
      <c r="D965" s="0" t="n">
        <f aca="false">IF(B965&gt;C965,1,0)</f>
        <v>0</v>
      </c>
    </row>
    <row r="966" customFormat="false" ht="15" hidden="false" customHeight="false" outlineLevel="0" collapsed="false">
      <c r="A966" s="0" t="s">
        <v>1556</v>
      </c>
      <c r="B966" s="0" t="n">
        <v>232589.897907806</v>
      </c>
      <c r="C966" s="0" t="n">
        <v>1291178.63123415</v>
      </c>
      <c r="D966" s="0" t="n">
        <f aca="false">IF(B966&gt;C966,1,0)</f>
        <v>0</v>
      </c>
    </row>
    <row r="967" customFormat="false" ht="15" hidden="false" customHeight="false" outlineLevel="0" collapsed="false">
      <c r="A967" s="0" t="s">
        <v>1557</v>
      </c>
      <c r="B967" s="0" t="n">
        <v>-226821.762181347</v>
      </c>
      <c r="C967" s="0" t="n">
        <v>1289597.66451261</v>
      </c>
      <c r="D967" s="0" t="n">
        <f aca="false">IF(B967&gt;C967,1,0)</f>
        <v>0</v>
      </c>
    </row>
    <row r="968" customFormat="false" ht="15" hidden="false" customHeight="false" outlineLevel="0" collapsed="false">
      <c r="A968" s="0" t="s">
        <v>1558</v>
      </c>
      <c r="B968" s="0" t="n">
        <v>-192861.032444599</v>
      </c>
      <c r="C968" s="0" t="n">
        <v>1290917.1559952</v>
      </c>
      <c r="D968" s="0" t="n">
        <f aca="false">IF(B968&gt;C968,1,0)</f>
        <v>0</v>
      </c>
    </row>
    <row r="969" customFormat="false" ht="15" hidden="false" customHeight="false" outlineLevel="0" collapsed="false">
      <c r="A969" s="0" t="s">
        <v>1559</v>
      </c>
      <c r="B969" s="0" t="n">
        <v>95967.9529713159</v>
      </c>
      <c r="C969" s="0" t="n">
        <v>1291921.36422768</v>
      </c>
      <c r="D969" s="0" t="n">
        <f aca="false">IF(B969&gt;C969,1,0)</f>
        <v>0</v>
      </c>
    </row>
    <row r="970" customFormat="false" ht="15" hidden="false" customHeight="false" outlineLevel="0" collapsed="false">
      <c r="A970" s="0" t="s">
        <v>1560</v>
      </c>
      <c r="B970" s="0" t="n">
        <v>-346099.22050407</v>
      </c>
      <c r="C970" s="0" t="n">
        <v>1302432.25707285</v>
      </c>
      <c r="D970" s="0" t="n">
        <f aca="false">IF(B970&gt;C970,1,0)</f>
        <v>0</v>
      </c>
    </row>
    <row r="971" customFormat="false" ht="15" hidden="false" customHeight="false" outlineLevel="0" collapsed="false">
      <c r="A971" s="0" t="s">
        <v>1561</v>
      </c>
      <c r="B971" s="0" t="n">
        <v>17272.2506048493</v>
      </c>
      <c r="C971" s="0" t="n">
        <v>1304392.98403735</v>
      </c>
      <c r="D971" s="0" t="n">
        <f aca="false">IF(B971&gt;C971,1,0)</f>
        <v>0</v>
      </c>
    </row>
    <row r="972" customFormat="false" ht="15" hidden="false" customHeight="false" outlineLevel="0" collapsed="false">
      <c r="A972" s="0" t="s">
        <v>1562</v>
      </c>
      <c r="B972" s="0" t="n">
        <v>165258.027742747</v>
      </c>
      <c r="C972" s="0" t="n">
        <v>1313466.47518719</v>
      </c>
      <c r="D972" s="0" t="n">
        <f aca="false">IF(B972&gt;C972,1,0)</f>
        <v>0</v>
      </c>
    </row>
    <row r="973" customFormat="false" ht="15" hidden="false" customHeight="false" outlineLevel="0" collapsed="false">
      <c r="A973" s="0" t="s">
        <v>1563</v>
      </c>
      <c r="B973" s="0" t="n">
        <v>-110719.217808324</v>
      </c>
      <c r="C973" s="0" t="n">
        <v>1320122.50386859</v>
      </c>
      <c r="D973" s="0" t="n">
        <f aca="false">IF(B973&gt;C973,1,0)</f>
        <v>0</v>
      </c>
    </row>
    <row r="974" customFormat="false" ht="15" hidden="false" customHeight="false" outlineLevel="0" collapsed="false">
      <c r="A974" s="0" t="s">
        <v>1564</v>
      </c>
      <c r="B974" s="0" t="n">
        <v>136115.312035597</v>
      </c>
      <c r="C974" s="0" t="n">
        <v>1325903.81943832</v>
      </c>
      <c r="D974" s="0" t="n">
        <f aca="false">IF(B974&gt;C974,1,0)</f>
        <v>0</v>
      </c>
    </row>
    <row r="975" customFormat="false" ht="15" hidden="false" customHeight="false" outlineLevel="0" collapsed="false">
      <c r="A975" s="0" t="s">
        <v>745</v>
      </c>
      <c r="B975" s="0" t="n">
        <v>32423.0057865838</v>
      </c>
      <c r="C975" s="0" t="n">
        <v>1323035.96463854</v>
      </c>
      <c r="D975" s="0" t="n">
        <f aca="false">IF(B975&gt;C975,1,0)</f>
        <v>0</v>
      </c>
    </row>
    <row r="976" customFormat="false" ht="15" hidden="false" customHeight="false" outlineLevel="0" collapsed="false">
      <c r="A976" s="0" t="s">
        <v>1565</v>
      </c>
      <c r="B976" s="0" t="n">
        <v>-18295.7691386016</v>
      </c>
      <c r="C976" s="0" t="n">
        <v>1319178.85295729</v>
      </c>
      <c r="D976" s="0" t="n">
        <f aca="false">IF(B976&gt;C976,1,0)</f>
        <v>0</v>
      </c>
    </row>
    <row r="977" customFormat="false" ht="15" hidden="false" customHeight="false" outlineLevel="0" collapsed="false">
      <c r="A977" s="0" t="s">
        <v>1566</v>
      </c>
      <c r="B977" s="0" t="n">
        <v>-45254.6804115996</v>
      </c>
      <c r="C977" s="0" t="n">
        <v>1303295.48772903</v>
      </c>
      <c r="D977" s="0" t="n">
        <f aca="false">IF(B977&gt;C977,1,0)</f>
        <v>0</v>
      </c>
    </row>
    <row r="978" customFormat="false" ht="15" hidden="false" customHeight="false" outlineLevel="0" collapsed="false">
      <c r="A978" s="0" t="s">
        <v>1567</v>
      </c>
      <c r="B978" s="0" t="n">
        <v>-87646.7462053783</v>
      </c>
      <c r="C978" s="0" t="n">
        <v>1300913.33142893</v>
      </c>
      <c r="D978" s="0" t="n">
        <f aca="false">IF(B978&gt;C978,1,0)</f>
        <v>0</v>
      </c>
    </row>
    <row r="979" customFormat="false" ht="15" hidden="false" customHeight="false" outlineLevel="0" collapsed="false">
      <c r="A979" s="0" t="s">
        <v>1568</v>
      </c>
      <c r="B979" s="0" t="n">
        <v>183717.320909642</v>
      </c>
      <c r="C979" s="0" t="n">
        <v>1282917.95184135</v>
      </c>
      <c r="D979" s="0" t="n">
        <f aca="false">IF(B979&gt;C979,1,0)</f>
        <v>0</v>
      </c>
    </row>
    <row r="980" customFormat="false" ht="15" hidden="false" customHeight="false" outlineLevel="0" collapsed="false">
      <c r="A980" s="0" t="s">
        <v>1569</v>
      </c>
      <c r="B980" s="0" t="n">
        <v>133140.334657122</v>
      </c>
      <c r="C980" s="0" t="n">
        <v>1294975.38490282</v>
      </c>
      <c r="D980" s="0" t="n">
        <f aca="false">IF(B980&gt;C980,1,0)</f>
        <v>0</v>
      </c>
    </row>
    <row r="981" customFormat="false" ht="15" hidden="false" customHeight="false" outlineLevel="0" collapsed="false">
      <c r="A981" s="0" t="s">
        <v>1570</v>
      </c>
      <c r="B981" s="0" t="n">
        <v>769.774773320183</v>
      </c>
      <c r="C981" s="0" t="n">
        <v>1290710.61271829</v>
      </c>
      <c r="D981" s="0" t="n">
        <f aca="false">IF(B981&gt;C981,1,0)</f>
        <v>0</v>
      </c>
    </row>
    <row r="982" customFormat="false" ht="15" hidden="false" customHeight="false" outlineLevel="0" collapsed="false">
      <c r="A982" s="0" t="s">
        <v>1571</v>
      </c>
      <c r="B982" s="0" t="n">
        <v>66872.7973942505</v>
      </c>
      <c r="C982" s="0" t="n">
        <v>1288867.08521494</v>
      </c>
      <c r="D982" s="0" t="n">
        <f aca="false">IF(B982&gt;C982,1,0)</f>
        <v>0</v>
      </c>
    </row>
    <row r="983" customFormat="false" ht="15" hidden="false" customHeight="false" outlineLevel="0" collapsed="false">
      <c r="A983" s="0" t="s">
        <v>1572</v>
      </c>
      <c r="B983" s="0" t="n">
        <v>118620.851761637</v>
      </c>
      <c r="C983" s="0" t="n">
        <v>1294379.21542528</v>
      </c>
      <c r="D983" s="0" t="n">
        <f aca="false">IF(B983&gt;C983,1,0)</f>
        <v>0</v>
      </c>
    </row>
    <row r="984" customFormat="false" ht="15" hidden="false" customHeight="false" outlineLevel="0" collapsed="false">
      <c r="A984" s="0" t="s">
        <v>1573</v>
      </c>
      <c r="B984" s="0" t="n">
        <v>-326589.718652202</v>
      </c>
      <c r="C984" s="0" t="n">
        <v>1284574.57370747</v>
      </c>
      <c r="D984" s="0" t="n">
        <f aca="false">IF(B984&gt;C984,1,0)</f>
        <v>0</v>
      </c>
    </row>
    <row r="985" customFormat="false" ht="15" hidden="false" customHeight="false" outlineLevel="0" collapsed="false">
      <c r="A985" s="0" t="s">
        <v>747</v>
      </c>
      <c r="B985" s="0" t="n">
        <v>82902.9349434236</v>
      </c>
      <c r="C985" s="0" t="n">
        <v>1269270.19628015</v>
      </c>
      <c r="D985" s="0" t="n">
        <f aca="false">IF(B985&gt;C985,1,0)</f>
        <v>0</v>
      </c>
    </row>
    <row r="986" customFormat="false" ht="15" hidden="false" customHeight="false" outlineLevel="0" collapsed="false">
      <c r="A986" s="0" t="s">
        <v>1574</v>
      </c>
      <c r="B986" s="0" t="n">
        <v>601.611215482466</v>
      </c>
      <c r="C986" s="0" t="n">
        <v>1270165.15505047</v>
      </c>
      <c r="D986" s="0" t="n">
        <f aca="false">IF(B986&gt;C986,1,0)</f>
        <v>0</v>
      </c>
    </row>
    <row r="987" customFormat="false" ht="15" hidden="false" customHeight="false" outlineLevel="0" collapsed="false">
      <c r="A987" s="0" t="s">
        <v>1575</v>
      </c>
      <c r="B987" s="0" t="n">
        <v>-565371.577954501</v>
      </c>
      <c r="C987" s="0" t="n">
        <v>1288379.72302886</v>
      </c>
      <c r="D987" s="0" t="n">
        <f aca="false">IF(B987&gt;C987,1,0)</f>
        <v>0</v>
      </c>
    </row>
    <row r="988" customFormat="false" ht="15" hidden="false" customHeight="false" outlineLevel="0" collapsed="false">
      <c r="A988" s="0" t="s">
        <v>1576</v>
      </c>
      <c r="B988" s="0" t="n">
        <v>243201.957107468</v>
      </c>
      <c r="C988" s="0" t="n">
        <v>1291636.11725245</v>
      </c>
      <c r="D988" s="0" t="n">
        <f aca="false">IF(B988&gt;C988,1,0)</f>
        <v>0</v>
      </c>
    </row>
    <row r="989" customFormat="false" ht="15" hidden="false" customHeight="false" outlineLevel="0" collapsed="false">
      <c r="A989" s="0" t="s">
        <v>1577</v>
      </c>
      <c r="B989" s="0" t="n">
        <v>126779.633633837</v>
      </c>
      <c r="C989" s="0" t="n">
        <v>1296830.00575091</v>
      </c>
      <c r="D989" s="0" t="n">
        <f aca="false">IF(B989&gt;C989,1,0)</f>
        <v>0</v>
      </c>
    </row>
    <row r="990" customFormat="false" ht="15" hidden="false" customHeight="false" outlineLevel="0" collapsed="false">
      <c r="A990" s="0" t="s">
        <v>1578</v>
      </c>
      <c r="B990" s="0" t="n">
        <v>207963.199748741</v>
      </c>
      <c r="C990" s="0" t="n">
        <v>1284615.19571097</v>
      </c>
      <c r="D990" s="0" t="n">
        <f aca="false">IF(B990&gt;C990,1,0)</f>
        <v>0</v>
      </c>
    </row>
    <row r="991" customFormat="false" ht="15" hidden="false" customHeight="false" outlineLevel="0" collapsed="false">
      <c r="A991" s="0" t="s">
        <v>1579</v>
      </c>
      <c r="B991" s="0" t="n">
        <v>37348.0655045249</v>
      </c>
      <c r="C991" s="0" t="n">
        <v>1280981.24124102</v>
      </c>
      <c r="D991" s="0" t="n">
        <f aca="false">IF(B991&gt;C991,1,0)</f>
        <v>0</v>
      </c>
    </row>
    <row r="992" customFormat="false" ht="15" hidden="false" customHeight="false" outlineLevel="0" collapsed="false">
      <c r="A992" s="0" t="s">
        <v>1580</v>
      </c>
      <c r="B992" s="0" t="n">
        <v>82324.2247980805</v>
      </c>
      <c r="C992" s="0" t="n">
        <v>1267506.9136586</v>
      </c>
      <c r="D992" s="0" t="n">
        <f aca="false">IF(B992&gt;C992,1,0)</f>
        <v>0</v>
      </c>
    </row>
    <row r="993" customFormat="false" ht="15" hidden="false" customHeight="false" outlineLevel="0" collapsed="false">
      <c r="A993" s="0" t="s">
        <v>1581</v>
      </c>
      <c r="B993" s="0" t="n">
        <v>-70939.2592429183</v>
      </c>
      <c r="C993" s="0" t="n">
        <v>1259064.99155499</v>
      </c>
      <c r="D993" s="0" t="n">
        <f aca="false">IF(B993&gt;C993,1,0)</f>
        <v>0</v>
      </c>
    </row>
    <row r="994" customFormat="false" ht="15" hidden="false" customHeight="false" outlineLevel="0" collapsed="false">
      <c r="A994" s="0" t="s">
        <v>1582</v>
      </c>
      <c r="B994" s="0" t="n">
        <v>-80623.3947881702</v>
      </c>
      <c r="C994" s="0" t="n">
        <v>1260118.74366238</v>
      </c>
      <c r="D994" s="0" t="n">
        <f aca="false">IF(B994&gt;C994,1,0)</f>
        <v>0</v>
      </c>
    </row>
    <row r="995" customFormat="false" ht="15" hidden="false" customHeight="false" outlineLevel="0" collapsed="false">
      <c r="A995" s="0" t="s">
        <v>749</v>
      </c>
      <c r="B995" s="0" t="n">
        <v>-728697.827727704</v>
      </c>
      <c r="C995" s="0" t="n">
        <v>1250192.07945771</v>
      </c>
      <c r="D995" s="0" t="n">
        <f aca="false">IF(B995&gt;C995,1,0)</f>
        <v>0</v>
      </c>
    </row>
    <row r="996" customFormat="false" ht="15" hidden="false" customHeight="false" outlineLevel="0" collapsed="false">
      <c r="A996" s="0" t="s">
        <v>1583</v>
      </c>
      <c r="B996" s="0" t="n">
        <v>-396538.603518065</v>
      </c>
      <c r="C996" s="0" t="n">
        <v>1220792.2421229</v>
      </c>
      <c r="D996" s="0" t="n">
        <f aca="false">IF(B996&gt;C996,1,0)</f>
        <v>0</v>
      </c>
    </row>
    <row r="997" customFormat="false" ht="15" hidden="false" customHeight="false" outlineLevel="0" collapsed="false">
      <c r="A997" s="0" t="s">
        <v>1584</v>
      </c>
      <c r="B997" s="0" t="n">
        <v>-4675.27169443108</v>
      </c>
      <c r="C997" s="0" t="n">
        <v>1210282.3617047</v>
      </c>
      <c r="D997" s="0" t="n">
        <f aca="false">IF(B997&gt;C997,1,0)</f>
        <v>0</v>
      </c>
    </row>
    <row r="998" customFormat="false" ht="15" hidden="false" customHeight="false" outlineLevel="0" collapsed="false">
      <c r="A998" s="0" t="s">
        <v>1585</v>
      </c>
      <c r="B998" s="0" t="n">
        <v>284497.954570375</v>
      </c>
      <c r="C998" s="0" t="n">
        <v>1209710.28730161</v>
      </c>
      <c r="D998" s="0" t="n">
        <f aca="false">IF(B998&gt;C998,1,0)</f>
        <v>0</v>
      </c>
    </row>
    <row r="999" customFormat="false" ht="15" hidden="false" customHeight="false" outlineLevel="0" collapsed="false">
      <c r="A999" s="0" t="s">
        <v>1586</v>
      </c>
      <c r="B999" s="0" t="n">
        <v>-328203.395210708</v>
      </c>
      <c r="C999" s="0" t="n">
        <v>1216289.08322265</v>
      </c>
      <c r="D999" s="0" t="n">
        <f aca="false">IF(B999&gt;C999,1,0)</f>
        <v>0</v>
      </c>
    </row>
    <row r="1000" customFormat="false" ht="15" hidden="false" customHeight="false" outlineLevel="0" collapsed="false">
      <c r="A1000" s="0" t="s">
        <v>1587</v>
      </c>
      <c r="B1000" s="0" t="n">
        <v>-22878.3974093143</v>
      </c>
      <c r="C1000" s="0" t="n">
        <v>1213269.6973878</v>
      </c>
      <c r="D1000" s="0" t="n">
        <f aca="false">IF(B1000&gt;C1000,1,0)</f>
        <v>0</v>
      </c>
    </row>
    <row r="1001" customFormat="false" ht="15" hidden="false" customHeight="false" outlineLevel="0" collapsed="false">
      <c r="A1001" s="0" t="s">
        <v>1588</v>
      </c>
      <c r="B1001" s="0" t="n">
        <v>-268747.401514733</v>
      </c>
      <c r="C1001" s="0" t="n">
        <v>1215726.7636058</v>
      </c>
      <c r="D1001" s="0" t="n">
        <f aca="false">IF(B1001&gt;C1001,1,0)</f>
        <v>0</v>
      </c>
    </row>
    <row r="1002" customFormat="false" ht="15" hidden="false" customHeight="false" outlineLevel="0" collapsed="false">
      <c r="A1002" s="0" t="s">
        <v>1589</v>
      </c>
      <c r="B1002" s="0" t="n">
        <v>-89750.07790979</v>
      </c>
      <c r="C1002" s="0" t="n">
        <v>1219937.09817315</v>
      </c>
      <c r="D1002" s="0" t="n">
        <f aca="false">IF(B1002&gt;C1002,1,0)</f>
        <v>0</v>
      </c>
    </row>
    <row r="1003" customFormat="false" ht="15" hidden="false" customHeight="false" outlineLevel="0" collapsed="false">
      <c r="A1003" s="0" t="s">
        <v>1590</v>
      </c>
      <c r="B1003" s="0" t="n">
        <v>-316557.550891396</v>
      </c>
      <c r="C1003" s="0" t="n">
        <v>1215963.9017601</v>
      </c>
      <c r="D1003" s="0" t="n">
        <f aca="false">IF(B1003&gt;C1003,1,0)</f>
        <v>0</v>
      </c>
    </row>
    <row r="1004" customFormat="false" ht="15" hidden="false" customHeight="false" outlineLevel="0" collapsed="false">
      <c r="A1004" s="0" t="s">
        <v>1591</v>
      </c>
      <c r="B1004" s="0" t="n">
        <v>-43634.8003391028</v>
      </c>
      <c r="C1004" s="0" t="n">
        <v>1204054.25465155</v>
      </c>
      <c r="D1004" s="0" t="n">
        <f aca="false">IF(B1004&gt;C1004,1,0)</f>
        <v>0</v>
      </c>
    </row>
    <row r="1005" customFormat="false" ht="15" hidden="false" customHeight="false" outlineLevel="0" collapsed="false">
      <c r="A1005" s="0" t="s">
        <v>750</v>
      </c>
      <c r="B1005" s="0" t="n">
        <v>32997.619658418</v>
      </c>
      <c r="C1005" s="0" t="n">
        <v>1210626.6015242</v>
      </c>
      <c r="D1005" s="0" t="n">
        <f aca="false">IF(B1005&gt;C1005,1,0)</f>
        <v>0</v>
      </c>
    </row>
    <row r="1006" customFormat="false" ht="15" hidden="false" customHeight="false" outlineLevel="0" collapsed="false">
      <c r="A1006" s="0" t="s">
        <v>1592</v>
      </c>
      <c r="B1006" s="0" t="n">
        <v>96056.9316222034</v>
      </c>
      <c r="C1006" s="0" t="n">
        <v>1201406.13731361</v>
      </c>
      <c r="D1006" s="0" t="n">
        <f aca="false">IF(B1006&gt;C1006,1,0)</f>
        <v>0</v>
      </c>
    </row>
    <row r="1007" customFormat="false" ht="15" hidden="false" customHeight="false" outlineLevel="0" collapsed="false">
      <c r="A1007" s="0" t="s">
        <v>1593</v>
      </c>
      <c r="B1007" s="0" t="n">
        <v>-48831.5181222223</v>
      </c>
      <c r="C1007" s="0" t="n">
        <v>1206514.98902256</v>
      </c>
      <c r="D1007" s="0" t="n">
        <f aca="false">IF(B1007&gt;C1007,1,0)</f>
        <v>0</v>
      </c>
    </row>
    <row r="1008" customFormat="false" ht="15" hidden="false" customHeight="false" outlineLevel="0" collapsed="false">
      <c r="A1008" s="0" t="s">
        <v>1594</v>
      </c>
      <c r="B1008" s="0" t="n">
        <v>-15821.1238832474</v>
      </c>
      <c r="C1008" s="0" t="n">
        <v>1201942.1627001</v>
      </c>
      <c r="D1008" s="0" t="n">
        <f aca="false">IF(B1008&gt;C1008,1,0)</f>
        <v>0</v>
      </c>
    </row>
    <row r="1009" customFormat="false" ht="15" hidden="false" customHeight="false" outlineLevel="0" collapsed="false">
      <c r="A1009" s="0" t="s">
        <v>1595</v>
      </c>
      <c r="B1009" s="0" t="n">
        <v>66175.3739279732</v>
      </c>
      <c r="C1009" s="0" t="n">
        <v>1214991.33288633</v>
      </c>
      <c r="D1009" s="0" t="n">
        <f aca="false">IF(B1009&gt;C1009,1,0)</f>
        <v>0</v>
      </c>
    </row>
    <row r="1010" customFormat="false" ht="15" hidden="false" customHeight="false" outlineLevel="0" collapsed="false">
      <c r="A1010" s="0" t="s">
        <v>1596</v>
      </c>
      <c r="B1010" s="0" t="n">
        <v>368117.32967902</v>
      </c>
      <c r="C1010" s="0" t="n">
        <v>1216050.37402508</v>
      </c>
      <c r="D1010" s="0" t="n">
        <f aca="false">IF(B1010&gt;C1010,1,0)</f>
        <v>0</v>
      </c>
    </row>
    <row r="1011" customFormat="false" ht="15" hidden="false" customHeight="false" outlineLevel="0" collapsed="false">
      <c r="A1011" s="0" t="s">
        <v>1597</v>
      </c>
      <c r="B1011" s="0" t="n">
        <v>4234.219934389</v>
      </c>
      <c r="C1011" s="0" t="n">
        <v>1219961.08560359</v>
      </c>
      <c r="D1011" s="0" t="n">
        <f aca="false">IF(B1011&gt;C1011,1,0)</f>
        <v>0</v>
      </c>
    </row>
    <row r="1012" customFormat="false" ht="15" hidden="false" customHeight="false" outlineLevel="0" collapsed="false">
      <c r="A1012" s="0" t="s">
        <v>1598</v>
      </c>
      <c r="B1012" s="0" t="n">
        <v>-135165.797203761</v>
      </c>
      <c r="C1012" s="0" t="n">
        <v>1219644.03506477</v>
      </c>
      <c r="D1012" s="0" t="n">
        <f aca="false">IF(B1012&gt;C1012,1,0)</f>
        <v>0</v>
      </c>
    </row>
    <row r="1013" customFormat="false" ht="15" hidden="false" customHeight="false" outlineLevel="0" collapsed="false">
      <c r="A1013" s="0" t="s">
        <v>1599</v>
      </c>
      <c r="B1013" s="0" t="n">
        <v>245270.201458802</v>
      </c>
      <c r="C1013" s="0" t="n">
        <v>1215111.23507171</v>
      </c>
      <c r="D1013" s="0" t="n">
        <f aca="false">IF(B1013&gt;C1013,1,0)</f>
        <v>0</v>
      </c>
    </row>
    <row r="1014" customFormat="false" ht="15" hidden="false" customHeight="false" outlineLevel="0" collapsed="false">
      <c r="A1014" s="0" t="s">
        <v>1600</v>
      </c>
      <c r="B1014" s="0" t="n">
        <v>-157696.125179654</v>
      </c>
      <c r="C1014" s="0" t="n">
        <v>1228857.0732861</v>
      </c>
      <c r="D1014" s="0" t="n">
        <f aca="false">IF(B1014&gt;C1014,1,0)</f>
        <v>0</v>
      </c>
    </row>
    <row r="1015" customFormat="false" ht="15" hidden="false" customHeight="false" outlineLevel="0" collapsed="false">
      <c r="A1015" s="0" t="s">
        <v>752</v>
      </c>
      <c r="B1015" s="0" t="n">
        <v>218886.84371846</v>
      </c>
      <c r="C1015" s="0" t="n">
        <v>1227953.2506889</v>
      </c>
      <c r="D1015" s="0" t="n">
        <f aca="false">IF(B1015&gt;C1015,1,0)</f>
        <v>0</v>
      </c>
    </row>
    <row r="1016" customFormat="false" ht="15" hidden="false" customHeight="false" outlineLevel="0" collapsed="false">
      <c r="A1016" s="0" t="s">
        <v>1601</v>
      </c>
      <c r="B1016" s="0" t="n">
        <v>190749.467891704</v>
      </c>
      <c r="C1016" s="0" t="n">
        <v>1243206.66061219</v>
      </c>
      <c r="D1016" s="0" t="n">
        <f aca="false">IF(B1016&gt;C1016,1,0)</f>
        <v>0</v>
      </c>
    </row>
    <row r="1017" customFormat="false" ht="15" hidden="false" customHeight="false" outlineLevel="0" collapsed="false">
      <c r="A1017" s="0" t="s">
        <v>1602</v>
      </c>
      <c r="B1017" s="0" t="n">
        <v>89382.5250988174</v>
      </c>
      <c r="C1017" s="0" t="n">
        <v>1251727.09613658</v>
      </c>
      <c r="D1017" s="0" t="n">
        <f aca="false">IF(B1017&gt;C1017,1,0)</f>
        <v>0</v>
      </c>
    </row>
    <row r="1018" customFormat="false" ht="15" hidden="false" customHeight="false" outlineLevel="0" collapsed="false">
      <c r="A1018" s="0" t="s">
        <v>1603</v>
      </c>
      <c r="B1018" s="0" t="n">
        <v>-216896.943000371</v>
      </c>
      <c r="C1018" s="0" t="n">
        <v>1241036.82280479</v>
      </c>
      <c r="D1018" s="0" t="n">
        <f aca="false">IF(B1018&gt;C1018,1,0)</f>
        <v>0</v>
      </c>
    </row>
    <row r="1019" customFormat="false" ht="15" hidden="false" customHeight="false" outlineLevel="0" collapsed="false">
      <c r="A1019" s="0" t="s">
        <v>1604</v>
      </c>
      <c r="B1019" s="0" t="n">
        <v>-194031.870964756</v>
      </c>
      <c r="C1019" s="0" t="n">
        <v>1226476.1804006</v>
      </c>
      <c r="D1019" s="0" t="n">
        <f aca="false">IF(B1019&gt;C1019,1,0)</f>
        <v>0</v>
      </c>
    </row>
    <row r="1020" customFormat="false" ht="15" hidden="false" customHeight="false" outlineLevel="0" collapsed="false">
      <c r="A1020" s="0" t="s">
        <v>1605</v>
      </c>
      <c r="B1020" s="0" t="n">
        <v>-222860.261011712</v>
      </c>
      <c r="C1020" s="0" t="n">
        <v>1218285.97462224</v>
      </c>
      <c r="D1020" s="0" t="n">
        <f aca="false">IF(B1020&gt;C1020,1,0)</f>
        <v>0</v>
      </c>
    </row>
    <row r="1021" customFormat="false" ht="15" hidden="false" customHeight="false" outlineLevel="0" collapsed="false">
      <c r="A1021" s="0" t="s">
        <v>1606</v>
      </c>
      <c r="B1021" s="0" t="n">
        <v>-45314.373583924</v>
      </c>
      <c r="C1021" s="0" t="n">
        <v>1219841.87642513</v>
      </c>
      <c r="D1021" s="0" t="n">
        <f aca="false">IF(B1021&gt;C1021,1,0)</f>
        <v>0</v>
      </c>
    </row>
    <row r="1022" customFormat="false" ht="15" hidden="false" customHeight="false" outlineLevel="0" collapsed="false">
      <c r="A1022" s="0" t="s">
        <v>1607</v>
      </c>
      <c r="B1022" s="0" t="n">
        <v>-120892.226461709</v>
      </c>
      <c r="C1022" s="0" t="n">
        <v>1213562.00567725</v>
      </c>
      <c r="D1022" s="0" t="n">
        <f aca="false">IF(B1022&gt;C1022,1,0)</f>
        <v>0</v>
      </c>
    </row>
    <row r="1023" customFormat="false" ht="15" hidden="false" customHeight="false" outlineLevel="0" collapsed="false">
      <c r="A1023" s="0" t="s">
        <v>1608</v>
      </c>
      <c r="B1023" s="0" t="n">
        <v>269829.291564317</v>
      </c>
      <c r="C1023" s="0" t="n">
        <v>1210206.35637078</v>
      </c>
      <c r="D1023" s="0" t="n">
        <f aca="false">IF(B1023&gt;C1023,1,0)</f>
        <v>0</v>
      </c>
    </row>
    <row r="1024" customFormat="false" ht="15" hidden="false" customHeight="false" outlineLevel="0" collapsed="false">
      <c r="A1024" s="0" t="s">
        <v>1609</v>
      </c>
      <c r="B1024" s="0" t="n">
        <v>174452.701476129</v>
      </c>
      <c r="C1024" s="0" t="n">
        <v>1219644.47892468</v>
      </c>
      <c r="D1024" s="0" t="n">
        <f aca="false">IF(B1024&gt;C1024,1,0)</f>
        <v>0</v>
      </c>
    </row>
    <row r="1025" customFormat="false" ht="15" hidden="false" customHeight="false" outlineLevel="0" collapsed="false">
      <c r="A1025" s="0" t="s">
        <v>754</v>
      </c>
      <c r="B1025" s="0" t="n">
        <v>479495.053987172</v>
      </c>
      <c r="C1025" s="0" t="n">
        <v>1228826.48611295</v>
      </c>
      <c r="D1025" s="0" t="n">
        <f aca="false">IF(B1025&gt;C1025,1,0)</f>
        <v>0</v>
      </c>
    </row>
    <row r="1026" customFormat="false" ht="15" hidden="false" customHeight="false" outlineLevel="0" collapsed="false">
      <c r="A1026" s="0" t="s">
        <v>1610</v>
      </c>
      <c r="B1026" s="0" t="n">
        <v>-256552.496747699</v>
      </c>
      <c r="C1026" s="0" t="n">
        <v>1240320.04695746</v>
      </c>
      <c r="D1026" s="0" t="n">
        <f aca="false">IF(B1026&gt;C1026,1,0)</f>
        <v>0</v>
      </c>
    </row>
    <row r="1027" customFormat="false" ht="15" hidden="false" customHeight="false" outlineLevel="0" collapsed="false">
      <c r="A1027" s="0" t="s">
        <v>1611</v>
      </c>
      <c r="B1027" s="0" t="n">
        <v>121240.962030601</v>
      </c>
      <c r="C1027" s="0" t="n">
        <v>1244969.90995771</v>
      </c>
      <c r="D1027" s="0" t="n">
        <f aca="false">IF(B1027&gt;C1027,1,0)</f>
        <v>0</v>
      </c>
    </row>
    <row r="1028" customFormat="false" ht="15" hidden="false" customHeight="false" outlineLevel="0" collapsed="false">
      <c r="A1028" s="0" t="s">
        <v>1612</v>
      </c>
      <c r="B1028" s="0" t="n">
        <v>282320.944086777</v>
      </c>
      <c r="C1028" s="0" t="n">
        <v>1246031.39605022</v>
      </c>
      <c r="D1028" s="0" t="n">
        <f aca="false">IF(B1028&gt;C1028,1,0)</f>
        <v>0</v>
      </c>
    </row>
    <row r="1029" customFormat="false" ht="15" hidden="false" customHeight="false" outlineLevel="0" collapsed="false">
      <c r="A1029" s="0" t="s">
        <v>1613</v>
      </c>
      <c r="B1029" s="0" t="n">
        <v>182376.995492285</v>
      </c>
      <c r="C1029" s="0" t="n">
        <v>1252082.69290615</v>
      </c>
      <c r="D1029" s="0" t="n">
        <f aca="false">IF(B1029&gt;C1029,1,0)</f>
        <v>0</v>
      </c>
    </row>
    <row r="1030" customFormat="false" ht="15" hidden="false" customHeight="false" outlineLevel="0" collapsed="false">
      <c r="A1030" s="0" t="s">
        <v>1614</v>
      </c>
      <c r="B1030" s="0" t="n">
        <v>265980.803192685</v>
      </c>
      <c r="C1030" s="0" t="n">
        <v>1261764.44155401</v>
      </c>
      <c r="D1030" s="0" t="n">
        <f aca="false">IF(B1030&gt;C1030,1,0)</f>
        <v>0</v>
      </c>
    </row>
    <row r="1031" customFormat="false" ht="15" hidden="false" customHeight="false" outlineLevel="0" collapsed="false">
      <c r="A1031" s="0" t="s">
        <v>1615</v>
      </c>
      <c r="B1031" s="0" t="n">
        <v>120578.083437642</v>
      </c>
      <c r="C1031" s="0" t="n">
        <v>1258354.03961091</v>
      </c>
      <c r="D1031" s="0" t="n">
        <f aca="false">IF(B1031&gt;C1031,1,0)</f>
        <v>0</v>
      </c>
    </row>
    <row r="1032" customFormat="false" ht="15" hidden="false" customHeight="false" outlineLevel="0" collapsed="false">
      <c r="A1032" s="0" t="s">
        <v>1616</v>
      </c>
      <c r="B1032" s="0" t="n">
        <v>95313.6722495901</v>
      </c>
      <c r="C1032" s="0" t="n">
        <v>1252430.52752539</v>
      </c>
      <c r="D1032" s="0" t="n">
        <f aca="false">IF(B1032&gt;C1032,1,0)</f>
        <v>0</v>
      </c>
    </row>
    <row r="1033" customFormat="false" ht="15" hidden="false" customHeight="false" outlineLevel="0" collapsed="false">
      <c r="A1033" s="0" t="s">
        <v>1617</v>
      </c>
      <c r="B1033" s="0" t="n">
        <v>-431320.516358351</v>
      </c>
      <c r="C1033" s="0" t="n">
        <v>1255054.1484142</v>
      </c>
      <c r="D1033" s="0" t="n">
        <f aca="false">IF(B1033&gt;C1033,1,0)</f>
        <v>0</v>
      </c>
    </row>
    <row r="1034" customFormat="false" ht="15" hidden="false" customHeight="false" outlineLevel="0" collapsed="false">
      <c r="A1034" s="0" t="s">
        <v>1618</v>
      </c>
      <c r="B1034" s="0" t="n">
        <v>182391.070254237</v>
      </c>
      <c r="C1034" s="0" t="n">
        <v>1251441.47602532</v>
      </c>
      <c r="D1034" s="0" t="n">
        <f aca="false">IF(B1034&gt;C1034,1,0)</f>
        <v>0</v>
      </c>
    </row>
    <row r="1035" customFormat="false" ht="15" hidden="false" customHeight="false" outlineLevel="0" collapsed="false">
      <c r="A1035" s="0" t="s">
        <v>756</v>
      </c>
      <c r="B1035" s="0" t="n">
        <v>-38997.5035804156</v>
      </c>
      <c r="C1035" s="0" t="n">
        <v>1264681.39690317</v>
      </c>
      <c r="D1035" s="0" t="n">
        <f aca="false">IF(B1035&gt;C1035,1,0)</f>
        <v>0</v>
      </c>
    </row>
    <row r="1036" customFormat="false" ht="15" hidden="false" customHeight="false" outlineLevel="0" collapsed="false">
      <c r="A1036" s="0" t="s">
        <v>1619</v>
      </c>
      <c r="B1036" s="0" t="n">
        <v>98346.1129379701</v>
      </c>
      <c r="C1036" s="0" t="n">
        <v>1260565.38905022</v>
      </c>
      <c r="D1036" s="0" t="n">
        <f aca="false">IF(B1036&gt;C1036,1,0)</f>
        <v>0</v>
      </c>
    </row>
    <row r="1037" customFormat="false" ht="15" hidden="false" customHeight="false" outlineLevel="0" collapsed="false">
      <c r="A1037" s="0" t="s">
        <v>1620</v>
      </c>
      <c r="B1037" s="0" t="n">
        <v>49318.0680528358</v>
      </c>
      <c r="C1037" s="0" t="n">
        <v>1262792.30752767</v>
      </c>
      <c r="D1037" s="0" t="n">
        <f aca="false">IF(B1037&gt;C1037,1,0)</f>
        <v>0</v>
      </c>
    </row>
    <row r="1038" customFormat="false" ht="15" hidden="false" customHeight="false" outlineLevel="0" collapsed="false">
      <c r="A1038" s="0" t="s">
        <v>1621</v>
      </c>
      <c r="B1038" s="0" t="n">
        <v>27595.332117267</v>
      </c>
      <c r="C1038" s="0" t="n">
        <v>1256183.29699122</v>
      </c>
      <c r="D1038" s="0" t="n">
        <f aca="false">IF(B1038&gt;C1038,1,0)</f>
        <v>0</v>
      </c>
    </row>
    <row r="1039" customFormat="false" ht="15" hidden="false" customHeight="false" outlineLevel="0" collapsed="false">
      <c r="A1039" s="0" t="s">
        <v>1622</v>
      </c>
      <c r="B1039" s="0" t="n">
        <v>62430.8985181991</v>
      </c>
      <c r="C1039" s="0" t="n">
        <v>1259208.70753952</v>
      </c>
      <c r="D1039" s="0" t="n">
        <f aca="false">IF(B1039&gt;C1039,1,0)</f>
        <v>0</v>
      </c>
    </row>
    <row r="1040" customFormat="false" ht="15" hidden="false" customHeight="false" outlineLevel="0" collapsed="false">
      <c r="A1040" s="0" t="s">
        <v>1623</v>
      </c>
      <c r="B1040" s="0" t="n">
        <v>417918.92198444</v>
      </c>
      <c r="C1040" s="0" t="n">
        <v>1260333.08628075</v>
      </c>
      <c r="D1040" s="0" t="n">
        <f aca="false">IF(B1040&gt;C1040,1,0)</f>
        <v>0</v>
      </c>
    </row>
    <row r="1041" customFormat="false" ht="15" hidden="false" customHeight="false" outlineLevel="0" collapsed="false">
      <c r="A1041" s="0" t="s">
        <v>1624</v>
      </c>
      <c r="B1041" s="0" t="n">
        <v>-138930.673828516</v>
      </c>
      <c r="C1041" s="0" t="n">
        <v>1271550.37367467</v>
      </c>
      <c r="D1041" s="0" t="n">
        <f aca="false">IF(B1041&gt;C1041,1,0)</f>
        <v>0</v>
      </c>
    </row>
    <row r="1042" customFormat="false" ht="15" hidden="false" customHeight="false" outlineLevel="0" collapsed="false">
      <c r="A1042" s="0" t="s">
        <v>1625</v>
      </c>
      <c r="B1042" s="0" t="n">
        <v>301924.224492373</v>
      </c>
      <c r="C1042" s="0" t="n">
        <v>1268559.43556307</v>
      </c>
      <c r="D1042" s="0" t="n">
        <f aca="false">IF(B1042&gt;C1042,1,0)</f>
        <v>0</v>
      </c>
    </row>
    <row r="1043" customFormat="false" ht="15" hidden="false" customHeight="false" outlineLevel="0" collapsed="false">
      <c r="A1043" s="0" t="s">
        <v>1626</v>
      </c>
      <c r="B1043" s="0" t="n">
        <v>-307519.858545951</v>
      </c>
      <c r="C1043" s="0" t="n">
        <v>1275575.47209445</v>
      </c>
      <c r="D1043" s="0" t="n">
        <f aca="false">IF(B1043&gt;C1043,1,0)</f>
        <v>0</v>
      </c>
    </row>
    <row r="1044" customFormat="false" ht="15" hidden="false" customHeight="false" outlineLevel="0" collapsed="false">
      <c r="A1044" s="0" t="s">
        <v>1627</v>
      </c>
      <c r="B1044" s="0" t="n">
        <v>-374716.676454415</v>
      </c>
      <c r="C1044" s="0" t="n">
        <v>1267201.47539459</v>
      </c>
      <c r="D1044" s="0" t="n">
        <f aca="false">IF(B1044&gt;C1044,1,0)</f>
        <v>0</v>
      </c>
    </row>
    <row r="1045" customFormat="false" ht="15" hidden="false" customHeight="false" outlineLevel="0" collapsed="false">
      <c r="A1045" s="0" t="s">
        <v>758</v>
      </c>
      <c r="B1045" s="0" t="n">
        <v>53585.1438068263</v>
      </c>
      <c r="C1045" s="0" t="n">
        <v>1242256.69204708</v>
      </c>
      <c r="D1045" s="0" t="n">
        <f aca="false">IF(B1045&gt;C1045,1,0)</f>
        <v>0</v>
      </c>
    </row>
    <row r="1046" customFormat="false" ht="15" hidden="false" customHeight="false" outlineLevel="0" collapsed="false">
      <c r="A1046" s="0" t="s">
        <v>1628</v>
      </c>
      <c r="B1046" s="0" t="n">
        <v>500207.637775052</v>
      </c>
      <c r="C1046" s="0" t="n">
        <v>1250857.48253149</v>
      </c>
      <c r="D1046" s="0" t="n">
        <f aca="false">IF(B1046&gt;C1046,1,0)</f>
        <v>0</v>
      </c>
    </row>
    <row r="1047" customFormat="false" ht="15" hidden="false" customHeight="false" outlineLevel="0" collapsed="false">
      <c r="A1047" s="0" t="s">
        <v>1629</v>
      </c>
      <c r="B1047" s="0" t="n">
        <v>-138265.381491963</v>
      </c>
      <c r="C1047" s="0" t="n">
        <v>1256687.48885865</v>
      </c>
      <c r="D1047" s="0" t="n">
        <f aca="false">IF(B1047&gt;C1047,1,0)</f>
        <v>0</v>
      </c>
    </row>
    <row r="1048" customFormat="false" ht="15" hidden="false" customHeight="false" outlineLevel="0" collapsed="false">
      <c r="A1048" s="0" t="s">
        <v>1630</v>
      </c>
      <c r="B1048" s="0" t="n">
        <v>438887.719495322</v>
      </c>
      <c r="C1048" s="0" t="n">
        <v>1253550.26080617</v>
      </c>
      <c r="D1048" s="0" t="n">
        <f aca="false">IF(B1048&gt;C1048,1,0)</f>
        <v>0</v>
      </c>
    </row>
    <row r="1049" customFormat="false" ht="15" hidden="false" customHeight="false" outlineLevel="0" collapsed="false">
      <c r="A1049" s="0" t="s">
        <v>1631</v>
      </c>
      <c r="B1049" s="0" t="n">
        <v>-149752.936106975</v>
      </c>
      <c r="C1049" s="0" t="n">
        <v>1267124.51131094</v>
      </c>
      <c r="D1049" s="0" t="n">
        <f aca="false">IF(B1049&gt;C1049,1,0)</f>
        <v>0</v>
      </c>
    </row>
    <row r="1050" customFormat="false" ht="15" hidden="false" customHeight="false" outlineLevel="0" collapsed="false">
      <c r="A1050" s="0" t="s">
        <v>1632</v>
      </c>
      <c r="B1050" s="0" t="n">
        <v>15904.5381408492</v>
      </c>
      <c r="C1050" s="0" t="n">
        <v>1263330.8853997</v>
      </c>
      <c r="D1050" s="0" t="n">
        <f aca="false">IF(B1050&gt;C1050,1,0)</f>
        <v>0</v>
      </c>
    </row>
    <row r="1051" customFormat="false" ht="15" hidden="false" customHeight="false" outlineLevel="0" collapsed="false">
      <c r="A1051" s="0" t="s">
        <v>1633</v>
      </c>
      <c r="B1051" s="0" t="n">
        <v>67557.1368017495</v>
      </c>
      <c r="C1051" s="0" t="n">
        <v>1289132.09678354</v>
      </c>
      <c r="D1051" s="0" t="n">
        <f aca="false">IF(B1051&gt;C1051,1,0)</f>
        <v>0</v>
      </c>
    </row>
    <row r="1052" customFormat="false" ht="15" hidden="false" customHeight="false" outlineLevel="0" collapsed="false">
      <c r="A1052" s="0" t="s">
        <v>1634</v>
      </c>
      <c r="B1052" s="0" t="n">
        <v>76474.8247368345</v>
      </c>
      <c r="C1052" s="0" t="n">
        <v>1289148.60854054</v>
      </c>
      <c r="D1052" s="0" t="n">
        <f aca="false">IF(B1052&gt;C1052,1,0)</f>
        <v>0</v>
      </c>
    </row>
    <row r="1053" customFormat="false" ht="15" hidden="false" customHeight="false" outlineLevel="0" collapsed="false">
      <c r="A1053" s="0" t="s">
        <v>1635</v>
      </c>
      <c r="B1053" s="0" t="n">
        <v>10533.0317249354</v>
      </c>
      <c r="C1053" s="0" t="n">
        <v>1264709.7901756</v>
      </c>
      <c r="D1053" s="0" t="n">
        <f aca="false">IF(B1053&gt;C1053,1,0)</f>
        <v>0</v>
      </c>
    </row>
    <row r="1054" customFormat="false" ht="15" hidden="false" customHeight="false" outlineLevel="0" collapsed="false">
      <c r="A1054" s="0" t="s">
        <v>1636</v>
      </c>
      <c r="B1054" s="0" t="n">
        <v>112332.457330626</v>
      </c>
      <c r="C1054" s="0" t="n">
        <v>1266633.851047</v>
      </c>
      <c r="D1054" s="0" t="n">
        <f aca="false">IF(B1054&gt;C1054,1,0)</f>
        <v>0</v>
      </c>
    </row>
    <row r="1055" customFormat="false" ht="15" hidden="false" customHeight="false" outlineLevel="0" collapsed="false">
      <c r="A1055" s="0" t="s">
        <v>760</v>
      </c>
      <c r="B1055" s="0" t="n">
        <v>-202557.1502648</v>
      </c>
      <c r="C1055" s="0" t="n">
        <v>1274147.38501916</v>
      </c>
      <c r="D1055" s="0" t="n">
        <f aca="false">IF(B1055&gt;C1055,1,0)</f>
        <v>0</v>
      </c>
    </row>
    <row r="1056" customFormat="false" ht="15" hidden="false" customHeight="false" outlineLevel="0" collapsed="false">
      <c r="A1056" s="0" t="s">
        <v>1637</v>
      </c>
      <c r="B1056" s="0" t="n">
        <v>401745.605335615</v>
      </c>
      <c r="C1056" s="0" t="n">
        <v>1272512.64948601</v>
      </c>
      <c r="D1056" s="0" t="n">
        <f aca="false">IF(B1056&gt;C1056,1,0)</f>
        <v>0</v>
      </c>
    </row>
    <row r="1057" customFormat="false" ht="15" hidden="false" customHeight="false" outlineLevel="0" collapsed="false">
      <c r="A1057" s="0" t="s">
        <v>1638</v>
      </c>
      <c r="B1057" s="0" t="n">
        <v>44284.554656365</v>
      </c>
      <c r="C1057" s="0" t="n">
        <v>1282983.4388249</v>
      </c>
      <c r="D1057" s="0" t="n">
        <f aca="false">IF(B1057&gt;C1057,1,0)</f>
        <v>0</v>
      </c>
    </row>
    <row r="1058" customFormat="false" ht="15" hidden="false" customHeight="false" outlineLevel="0" collapsed="false">
      <c r="A1058" s="0" t="s">
        <v>1639</v>
      </c>
      <c r="B1058" s="0" t="n">
        <v>-229577.130725727</v>
      </c>
      <c r="C1058" s="0" t="n">
        <v>1286121.17779124</v>
      </c>
      <c r="D1058" s="0" t="n">
        <f aca="false">IF(B1058&gt;C1058,1,0)</f>
        <v>0</v>
      </c>
    </row>
    <row r="1059" customFormat="false" ht="15" hidden="false" customHeight="false" outlineLevel="0" collapsed="false">
      <c r="A1059" s="0" t="s">
        <v>1640</v>
      </c>
      <c r="B1059" s="0" t="n">
        <v>64526.9304026784</v>
      </c>
      <c r="C1059" s="0" t="n">
        <v>1287015.08283086</v>
      </c>
      <c r="D1059" s="0" t="n">
        <f aca="false">IF(B1059&gt;C1059,1,0)</f>
        <v>0</v>
      </c>
    </row>
    <row r="1060" customFormat="false" ht="15" hidden="false" customHeight="false" outlineLevel="0" collapsed="false">
      <c r="A1060" s="0" t="s">
        <v>1641</v>
      </c>
      <c r="B1060" s="0" t="n">
        <v>-165781.099173212</v>
      </c>
      <c r="C1060" s="0" t="n">
        <v>1295937.23690863</v>
      </c>
      <c r="D1060" s="0" t="n">
        <f aca="false">IF(B1060&gt;C1060,1,0)</f>
        <v>0</v>
      </c>
    </row>
    <row r="1061" customFormat="false" ht="15" hidden="false" customHeight="false" outlineLevel="0" collapsed="false">
      <c r="A1061" s="0" t="s">
        <v>1642</v>
      </c>
      <c r="B1061" s="0" t="n">
        <v>5440.57195669226</v>
      </c>
      <c r="C1061" s="0" t="n">
        <v>1293371.42143331</v>
      </c>
      <c r="D1061" s="0" t="n">
        <f aca="false">IF(B1061&gt;C1061,1,0)</f>
        <v>0</v>
      </c>
    </row>
    <row r="1062" customFormat="false" ht="15" hidden="false" customHeight="false" outlineLevel="0" collapsed="false">
      <c r="A1062" s="0" t="s">
        <v>1643</v>
      </c>
      <c r="B1062" s="0" t="n">
        <v>23406.1978457235</v>
      </c>
      <c r="C1062" s="0" t="n">
        <v>1311270.46267201</v>
      </c>
      <c r="D1062" s="0" t="n">
        <f aca="false">IF(B1062&gt;C1062,1,0)</f>
        <v>0</v>
      </c>
    </row>
    <row r="1063" customFormat="false" ht="15" hidden="false" customHeight="false" outlineLevel="0" collapsed="false">
      <c r="A1063" s="0" t="s">
        <v>1644</v>
      </c>
      <c r="B1063" s="0" t="n">
        <v>216412.606855169</v>
      </c>
      <c r="C1063" s="0" t="n">
        <v>1327256.86241653</v>
      </c>
      <c r="D1063" s="0" t="n">
        <f aca="false">IF(B1063&gt;C1063,1,0)</f>
        <v>0</v>
      </c>
    </row>
    <row r="1064" customFormat="false" ht="15" hidden="false" customHeight="false" outlineLevel="0" collapsed="false">
      <c r="A1064" s="0" t="s">
        <v>1645</v>
      </c>
      <c r="B1064" s="0" t="n">
        <v>-360302.12942021</v>
      </c>
      <c r="C1064" s="0" t="n">
        <v>1327015.12054167</v>
      </c>
      <c r="D1064" s="0" t="n">
        <f aca="false">IF(B1064&gt;C1064,1,0)</f>
        <v>0</v>
      </c>
    </row>
    <row r="1065" customFormat="false" ht="15" hidden="false" customHeight="false" outlineLevel="0" collapsed="false">
      <c r="A1065" s="0" t="s">
        <v>762</v>
      </c>
      <c r="B1065" s="0" t="n">
        <v>33102.9038911816</v>
      </c>
      <c r="C1065" s="0" t="n">
        <v>1313022.92474526</v>
      </c>
      <c r="D1065" s="0" t="n">
        <f aca="false">IF(B1065&gt;C1065,1,0)</f>
        <v>0</v>
      </c>
    </row>
    <row r="1066" customFormat="false" ht="15" hidden="false" customHeight="false" outlineLevel="0" collapsed="false">
      <c r="A1066" s="0" t="s">
        <v>1646</v>
      </c>
      <c r="B1066" s="0" t="n">
        <v>270947.068733132</v>
      </c>
      <c r="C1066" s="0" t="n">
        <v>1317049.81248807</v>
      </c>
      <c r="D1066" s="0" t="n">
        <f aca="false">IF(B1066&gt;C1066,1,0)</f>
        <v>0</v>
      </c>
    </row>
    <row r="1067" customFormat="false" ht="15" hidden="false" customHeight="false" outlineLevel="0" collapsed="false">
      <c r="A1067" s="0" t="s">
        <v>1647</v>
      </c>
      <c r="B1067" s="0" t="n">
        <v>346327.700066326</v>
      </c>
      <c r="C1067" s="0" t="n">
        <v>1331853.72016249</v>
      </c>
      <c r="D1067" s="0" t="n">
        <f aca="false">IF(B1067&gt;C1067,1,0)</f>
        <v>0</v>
      </c>
    </row>
    <row r="1068" customFormat="false" ht="15" hidden="false" customHeight="false" outlineLevel="0" collapsed="false">
      <c r="A1068" s="0" t="s">
        <v>1648</v>
      </c>
      <c r="B1068" s="0" t="n">
        <v>80343.3341969363</v>
      </c>
      <c r="C1068" s="0" t="n">
        <v>1344159.23423945</v>
      </c>
      <c r="D1068" s="0" t="n">
        <f aca="false">IF(B1068&gt;C1068,1,0)</f>
        <v>0</v>
      </c>
    </row>
    <row r="1069" customFormat="false" ht="15" hidden="false" customHeight="false" outlineLevel="0" collapsed="false">
      <c r="A1069" s="0" t="s">
        <v>1649</v>
      </c>
      <c r="B1069" s="0" t="n">
        <v>-158838.000101188</v>
      </c>
      <c r="C1069" s="0" t="n">
        <v>1349798.08969334</v>
      </c>
      <c r="D1069" s="0" t="n">
        <f aca="false">IF(B1069&gt;C1069,1,0)</f>
        <v>0</v>
      </c>
    </row>
    <row r="1070" customFormat="false" ht="15" hidden="false" customHeight="false" outlineLevel="0" collapsed="false">
      <c r="A1070" s="0" t="s">
        <v>1650</v>
      </c>
      <c r="B1070" s="0" t="n">
        <v>36756.4115566686</v>
      </c>
      <c r="C1070" s="0" t="n">
        <v>1372334.79125388</v>
      </c>
      <c r="D1070" s="0" t="n">
        <f aca="false">IF(B1070&gt;C1070,1,0)</f>
        <v>0</v>
      </c>
    </row>
    <row r="1071" customFormat="false" ht="15" hidden="false" customHeight="false" outlineLevel="0" collapsed="false">
      <c r="A1071" s="0" t="s">
        <v>1651</v>
      </c>
      <c r="B1071" s="0" t="n">
        <v>285742.857282811</v>
      </c>
      <c r="C1071" s="0" t="n">
        <v>1367997.6951982</v>
      </c>
      <c r="D1071" s="0" t="n">
        <f aca="false">IF(B1071&gt;C1071,1,0)</f>
        <v>0</v>
      </c>
    </row>
    <row r="1072" customFormat="false" ht="15" hidden="false" customHeight="false" outlineLevel="0" collapsed="false">
      <c r="A1072" s="0" t="s">
        <v>1652</v>
      </c>
      <c r="B1072" s="0" t="n">
        <v>-224879.326028136</v>
      </c>
      <c r="C1072" s="0" t="n">
        <v>1359882.16174244</v>
      </c>
      <c r="D1072" s="0" t="n">
        <f aca="false">IF(B1072&gt;C1072,1,0)</f>
        <v>0</v>
      </c>
    </row>
    <row r="1073" customFormat="false" ht="15" hidden="false" customHeight="false" outlineLevel="0" collapsed="false">
      <c r="A1073" s="0" t="s">
        <v>1653</v>
      </c>
      <c r="B1073" s="0" t="n">
        <v>-577087.06041765</v>
      </c>
      <c r="C1073" s="0" t="n">
        <v>1375744.64214395</v>
      </c>
      <c r="D1073" s="0" t="n">
        <f aca="false">IF(B1073&gt;C1073,1,0)</f>
        <v>0</v>
      </c>
    </row>
    <row r="1074" customFormat="false" ht="15" hidden="false" customHeight="false" outlineLevel="0" collapsed="false">
      <c r="A1074" s="0" t="s">
        <v>1654</v>
      </c>
      <c r="B1074" s="0" t="n">
        <v>-86676.624123265</v>
      </c>
      <c r="C1074" s="0" t="n">
        <v>1365921.95075936</v>
      </c>
      <c r="D1074" s="0" t="n">
        <f aca="false">IF(B1074&gt;C1074,1,0)</f>
        <v>0</v>
      </c>
    </row>
    <row r="1075" customFormat="false" ht="15" hidden="false" customHeight="false" outlineLevel="0" collapsed="false">
      <c r="A1075" s="0" t="s">
        <v>764</v>
      </c>
      <c r="B1075" s="0" t="n">
        <v>286179.886076453</v>
      </c>
      <c r="C1075" s="0" t="n">
        <v>1392821.9488136</v>
      </c>
      <c r="D1075" s="0" t="n">
        <f aca="false">IF(B1075&gt;C1075,1,0)</f>
        <v>0</v>
      </c>
    </row>
    <row r="1076" customFormat="false" ht="15" hidden="false" customHeight="false" outlineLevel="0" collapsed="false">
      <c r="A1076" s="0" t="s">
        <v>1655</v>
      </c>
      <c r="B1076" s="0" t="n">
        <v>-244899.088885393</v>
      </c>
      <c r="C1076" s="0" t="n">
        <v>1394356.2017242</v>
      </c>
      <c r="D1076" s="0" t="n">
        <f aca="false">IF(B1076&gt;C1076,1,0)</f>
        <v>0</v>
      </c>
    </row>
    <row r="1077" customFormat="false" ht="15" hidden="false" customHeight="false" outlineLevel="0" collapsed="false">
      <c r="A1077" s="0" t="s">
        <v>1656</v>
      </c>
      <c r="B1077" s="0" t="n">
        <v>-322096.338339657</v>
      </c>
      <c r="C1077" s="0" t="n">
        <v>1412227.60540183</v>
      </c>
      <c r="D1077" s="0" t="n">
        <f aca="false">IF(B1077&gt;C1077,1,0)</f>
        <v>0</v>
      </c>
    </row>
    <row r="1078" customFormat="false" ht="15" hidden="false" customHeight="false" outlineLevel="0" collapsed="false">
      <c r="A1078" s="0" t="s">
        <v>1657</v>
      </c>
      <c r="B1078" s="0" t="n">
        <v>-46341.2122117449</v>
      </c>
      <c r="C1078" s="0" t="n">
        <v>1418341.60442902</v>
      </c>
      <c r="D1078" s="0" t="n">
        <f aca="false">IF(B1078&gt;C1078,1,0)</f>
        <v>0</v>
      </c>
    </row>
    <row r="1079" customFormat="false" ht="15" hidden="false" customHeight="false" outlineLevel="0" collapsed="false">
      <c r="A1079" s="0" t="s">
        <v>1658</v>
      </c>
      <c r="B1079" s="0" t="n">
        <v>153902.571969703</v>
      </c>
      <c r="C1079" s="0" t="n">
        <v>1409022.16034764</v>
      </c>
      <c r="D1079" s="0" t="n">
        <f aca="false">IF(B1079&gt;C1079,1,0)</f>
        <v>0</v>
      </c>
    </row>
    <row r="1080" customFormat="false" ht="15" hidden="false" customHeight="false" outlineLevel="0" collapsed="false">
      <c r="A1080" s="0" t="s">
        <v>1659</v>
      </c>
      <c r="B1080" s="0" t="n">
        <v>418007.481125775</v>
      </c>
      <c r="C1080" s="0" t="n">
        <v>1406278.29876303</v>
      </c>
      <c r="D1080" s="0" t="n">
        <f aca="false">IF(B1080&gt;C1080,1,0)</f>
        <v>0</v>
      </c>
    </row>
    <row r="1081" customFormat="false" ht="15" hidden="false" customHeight="false" outlineLevel="0" collapsed="false">
      <c r="A1081" s="0" t="s">
        <v>1660</v>
      </c>
      <c r="B1081" s="0" t="n">
        <v>-56053.1452354435</v>
      </c>
      <c r="C1081" s="0" t="n">
        <v>1424190.5615672</v>
      </c>
      <c r="D1081" s="0" t="n">
        <f aca="false">IF(B1081&gt;C1081,1,0)</f>
        <v>0</v>
      </c>
    </row>
    <row r="1082" customFormat="false" ht="15" hidden="false" customHeight="false" outlineLevel="0" collapsed="false">
      <c r="A1082" s="0" t="s">
        <v>1661</v>
      </c>
      <c r="B1082" s="0" t="n">
        <v>679772.935895686</v>
      </c>
      <c r="C1082" s="0" t="n">
        <v>1429720.57366847</v>
      </c>
      <c r="D1082" s="0" t="n">
        <f aca="false">IF(B1082&gt;C1082,1,0)</f>
        <v>0</v>
      </c>
    </row>
    <row r="1083" customFormat="false" ht="15" hidden="false" customHeight="false" outlineLevel="0" collapsed="false">
      <c r="A1083" s="0" t="s">
        <v>1662</v>
      </c>
      <c r="B1083" s="0" t="n">
        <v>241829.102757452</v>
      </c>
      <c r="C1083" s="0" t="n">
        <v>1419824.44966242</v>
      </c>
      <c r="D1083" s="0" t="n">
        <f aca="false">IF(B1083&gt;C1083,1,0)</f>
        <v>0</v>
      </c>
    </row>
    <row r="1084" customFormat="false" ht="15" hidden="false" customHeight="false" outlineLevel="0" collapsed="false">
      <c r="A1084" s="0" t="s">
        <v>1663</v>
      </c>
      <c r="B1084" s="0" t="n">
        <v>16752.710044276</v>
      </c>
      <c r="C1084" s="0" t="n">
        <v>1448410.46903431</v>
      </c>
      <c r="D1084" s="0" t="n">
        <f aca="false">IF(B1084&gt;C1084,1,0)</f>
        <v>0</v>
      </c>
    </row>
    <row r="1085" customFormat="false" ht="15" hidden="false" customHeight="false" outlineLevel="0" collapsed="false">
      <c r="A1085" s="0" t="s">
        <v>766</v>
      </c>
      <c r="B1085" s="0" t="n">
        <v>9968.35470053554</v>
      </c>
      <c r="C1085" s="0" t="n">
        <v>1436880.75340441</v>
      </c>
      <c r="D1085" s="0" t="n">
        <f aca="false">IF(B1085&gt;C1085,1,0)</f>
        <v>0</v>
      </c>
    </row>
    <row r="1086" customFormat="false" ht="15" hidden="false" customHeight="false" outlineLevel="0" collapsed="false">
      <c r="A1086" s="0" t="s">
        <v>1664</v>
      </c>
      <c r="B1086" s="0" t="n">
        <v>98971.8095356394</v>
      </c>
      <c r="C1086" s="0" t="n">
        <v>1439309.79232905</v>
      </c>
      <c r="D1086" s="0" t="n">
        <f aca="false">IF(B1086&gt;C1086,1,0)</f>
        <v>0</v>
      </c>
    </row>
    <row r="1087" customFormat="false" ht="15" hidden="false" customHeight="false" outlineLevel="0" collapsed="false">
      <c r="A1087" s="0" t="s">
        <v>1665</v>
      </c>
      <c r="B1087" s="0" t="n">
        <v>-211941.470140936</v>
      </c>
      <c r="C1087" s="0" t="n">
        <v>1417794.98177264</v>
      </c>
      <c r="D1087" s="0" t="n">
        <f aca="false">IF(B1087&gt;C1087,1,0)</f>
        <v>0</v>
      </c>
    </row>
    <row r="1088" customFormat="false" ht="15" hidden="false" customHeight="false" outlineLevel="0" collapsed="false">
      <c r="A1088" s="0" t="s">
        <v>1666</v>
      </c>
      <c r="B1088" s="0" t="n">
        <v>193350.949302693</v>
      </c>
      <c r="C1088" s="0" t="n">
        <v>1406799.16905898</v>
      </c>
      <c r="D1088" s="0" t="n">
        <f aca="false">IF(B1088&gt;C1088,1,0)</f>
        <v>0</v>
      </c>
    </row>
    <row r="1089" customFormat="false" ht="15" hidden="false" customHeight="false" outlineLevel="0" collapsed="false">
      <c r="A1089" s="0" t="s">
        <v>1667</v>
      </c>
      <c r="B1089" s="0" t="n">
        <v>77237.7328961687</v>
      </c>
      <c r="C1089" s="0" t="n">
        <v>1389610.10521671</v>
      </c>
      <c r="D1089" s="0" t="n">
        <f aca="false">IF(B1089&gt;C1089,1,0)</f>
        <v>0</v>
      </c>
    </row>
    <row r="1090" customFormat="false" ht="15" hidden="false" customHeight="false" outlineLevel="0" collapsed="false">
      <c r="A1090" s="0" t="s">
        <v>1668</v>
      </c>
      <c r="B1090" s="0" t="n">
        <v>297234.112248158</v>
      </c>
      <c r="C1090" s="0" t="n">
        <v>1359644.90862421</v>
      </c>
      <c r="D1090" s="0" t="n">
        <f aca="false">IF(B1090&gt;C1090,1,0)</f>
        <v>0</v>
      </c>
    </row>
    <row r="1091" customFormat="false" ht="15" hidden="false" customHeight="false" outlineLevel="0" collapsed="false">
      <c r="A1091" s="0" t="s">
        <v>1669</v>
      </c>
      <c r="B1091" s="0" t="n">
        <v>143753.228150098</v>
      </c>
      <c r="C1091" s="0" t="n">
        <v>1370530.81979486</v>
      </c>
      <c r="D1091" s="0" t="n">
        <f aca="false">IF(B1091&gt;C1091,1,0)</f>
        <v>0</v>
      </c>
    </row>
    <row r="1092" customFormat="false" ht="15" hidden="false" customHeight="false" outlineLevel="0" collapsed="false">
      <c r="A1092" s="0" t="s">
        <v>1670</v>
      </c>
      <c r="B1092" s="0" t="n">
        <v>-112455.432336916</v>
      </c>
      <c r="C1092" s="0" t="n">
        <v>1400244.36813839</v>
      </c>
      <c r="D1092" s="0" t="n">
        <f aca="false">IF(B1092&gt;C1092,1,0)</f>
        <v>0</v>
      </c>
    </row>
    <row r="1093" customFormat="false" ht="15" hidden="false" customHeight="false" outlineLevel="0" collapsed="false">
      <c r="A1093" s="0" t="s">
        <v>1671</v>
      </c>
      <c r="B1093" s="0" t="n">
        <v>-32665.2320529064</v>
      </c>
      <c r="C1093" s="0" t="n">
        <v>1402475.86752777</v>
      </c>
      <c r="D1093" s="0" t="n">
        <f aca="false">IF(B1093&gt;C1093,1,0)</f>
        <v>0</v>
      </c>
    </row>
    <row r="1094" customFormat="false" ht="15" hidden="false" customHeight="false" outlineLevel="0" collapsed="false">
      <c r="A1094" s="0" t="s">
        <v>1672</v>
      </c>
      <c r="B1094" s="0" t="n">
        <v>128558.655905059</v>
      </c>
      <c r="C1094" s="0" t="n">
        <v>1409320.67135961</v>
      </c>
      <c r="D1094" s="0" t="n">
        <f aca="false">IF(B1094&gt;C1094,1,0)</f>
        <v>0</v>
      </c>
    </row>
    <row r="1095" customFormat="false" ht="15" hidden="false" customHeight="false" outlineLevel="0" collapsed="false">
      <c r="A1095" s="0" t="s">
        <v>768</v>
      </c>
      <c r="B1095" s="0" t="n">
        <v>-90548.567160435</v>
      </c>
      <c r="C1095" s="0" t="n">
        <v>1416834.97492583</v>
      </c>
      <c r="D1095" s="0" t="n">
        <f aca="false">IF(B1095&gt;C1095,1,0)</f>
        <v>0</v>
      </c>
    </row>
    <row r="1096" customFormat="false" ht="15" hidden="false" customHeight="false" outlineLevel="0" collapsed="false">
      <c r="A1096" s="0" t="s">
        <v>1673</v>
      </c>
      <c r="B1096" s="0" t="n">
        <v>305317.45177413</v>
      </c>
      <c r="C1096" s="0" t="n">
        <v>1391793.94135591</v>
      </c>
      <c r="D1096" s="0" t="n">
        <f aca="false">IF(B1096&gt;C1096,1,0)</f>
        <v>0</v>
      </c>
    </row>
    <row r="1097" customFormat="false" ht="15" hidden="false" customHeight="false" outlineLevel="0" collapsed="false">
      <c r="A1097" s="0" t="s">
        <v>1674</v>
      </c>
      <c r="B1097" s="0" t="n">
        <v>69824.7567866314</v>
      </c>
      <c r="C1097" s="0" t="n">
        <v>1405210.71805357</v>
      </c>
      <c r="D1097" s="0" t="n">
        <f aca="false">IF(B1097&gt;C1097,1,0)</f>
        <v>0</v>
      </c>
    </row>
    <row r="1098" customFormat="false" ht="15" hidden="false" customHeight="false" outlineLevel="0" collapsed="false">
      <c r="A1098" s="0" t="s">
        <v>1675</v>
      </c>
      <c r="B1098" s="0" t="n">
        <v>114645.55464433</v>
      </c>
      <c r="C1098" s="0" t="n">
        <v>1400545.5353047</v>
      </c>
      <c r="D1098" s="0" t="n">
        <f aca="false">IF(B1098&gt;C1098,1,0)</f>
        <v>0</v>
      </c>
    </row>
    <row r="1099" customFormat="false" ht="15" hidden="false" customHeight="false" outlineLevel="0" collapsed="false">
      <c r="A1099" s="0" t="s">
        <v>1676</v>
      </c>
      <c r="B1099" s="0" t="n">
        <v>-193902.922879817</v>
      </c>
      <c r="C1099" s="0" t="n">
        <v>1381772.67624926</v>
      </c>
      <c r="D1099" s="0" t="n">
        <f aca="false">IF(B1099&gt;C1099,1,0)</f>
        <v>0</v>
      </c>
    </row>
    <row r="1100" customFormat="false" ht="15" hidden="false" customHeight="false" outlineLevel="0" collapsed="false">
      <c r="A1100" s="0" t="s">
        <v>1677</v>
      </c>
      <c r="B1100" s="0" t="n">
        <v>424736.466826187</v>
      </c>
      <c r="C1100" s="0" t="n">
        <v>1398745.18230656</v>
      </c>
      <c r="D1100" s="0" t="n">
        <f aca="false">IF(B1100&gt;C1100,1,0)</f>
        <v>0</v>
      </c>
    </row>
    <row r="1101" customFormat="false" ht="15" hidden="false" customHeight="false" outlineLevel="0" collapsed="false">
      <c r="A1101" s="0" t="s">
        <v>1678</v>
      </c>
      <c r="B1101" s="0" t="n">
        <v>-207491.10730338</v>
      </c>
      <c r="C1101" s="0" t="n">
        <v>1391838.32896759</v>
      </c>
      <c r="D1101" s="0" t="n">
        <f aca="false">IF(B1101&gt;C1101,1,0)</f>
        <v>0</v>
      </c>
    </row>
    <row r="1102" customFormat="false" ht="15" hidden="false" customHeight="false" outlineLevel="0" collapsed="false">
      <c r="A1102" s="0" t="s">
        <v>1679</v>
      </c>
      <c r="B1102" s="0" t="n">
        <v>-304955.358237579</v>
      </c>
      <c r="C1102" s="0" t="n">
        <v>1392951.86924565</v>
      </c>
      <c r="D1102" s="0" t="n">
        <f aca="false">IF(B1102&gt;C1102,1,0)</f>
        <v>0</v>
      </c>
    </row>
    <row r="1103" customFormat="false" ht="15" hidden="false" customHeight="false" outlineLevel="0" collapsed="false">
      <c r="A1103" s="0" t="s">
        <v>1680</v>
      </c>
      <c r="B1103" s="0" t="n">
        <v>-177530.671737233</v>
      </c>
      <c r="C1103" s="0" t="n">
        <v>1390668.85894773</v>
      </c>
      <c r="D1103" s="0" t="n">
        <f aca="false">IF(B1103&gt;C1103,1,0)</f>
        <v>0</v>
      </c>
    </row>
    <row r="1104" customFormat="false" ht="15" hidden="false" customHeight="false" outlineLevel="0" collapsed="false">
      <c r="A1104" s="0" t="s">
        <v>1681</v>
      </c>
      <c r="B1104" s="0" t="n">
        <v>348287.124400022</v>
      </c>
      <c r="C1104" s="0" t="n">
        <v>1403465.84283778</v>
      </c>
      <c r="D1104" s="0" t="n">
        <f aca="false">IF(B1104&gt;C1104,1,0)</f>
        <v>0</v>
      </c>
    </row>
    <row r="1105" customFormat="false" ht="15" hidden="false" customHeight="false" outlineLevel="0" collapsed="false">
      <c r="A1105" s="0" t="s">
        <v>769</v>
      </c>
      <c r="B1105" s="0" t="n">
        <v>-203849.854983781</v>
      </c>
      <c r="C1105" s="0" t="n">
        <v>1375409.67575633</v>
      </c>
      <c r="D1105" s="0" t="n">
        <f aca="false">IF(B1105&gt;C1105,1,0)</f>
        <v>0</v>
      </c>
    </row>
    <row r="1106" customFormat="false" ht="15" hidden="false" customHeight="false" outlineLevel="0" collapsed="false">
      <c r="A1106" s="0" t="s">
        <v>1682</v>
      </c>
      <c r="B1106" s="0" t="n">
        <v>99558.4597996157</v>
      </c>
      <c r="C1106" s="0" t="n">
        <v>1445170.96476463</v>
      </c>
      <c r="D1106" s="0" t="n">
        <f aca="false">IF(B1106&gt;C1106,1,0)</f>
        <v>0</v>
      </c>
    </row>
    <row r="1107" customFormat="false" ht="15" hidden="false" customHeight="false" outlineLevel="0" collapsed="false">
      <c r="A1107" s="0" t="s">
        <v>1683</v>
      </c>
      <c r="B1107" s="0" t="n">
        <v>-6871.70272899699</v>
      </c>
      <c r="C1107" s="0" t="n">
        <v>1422058.86184594</v>
      </c>
      <c r="D1107" s="0" t="n">
        <f aca="false">IF(B1107&gt;C1107,1,0)</f>
        <v>0</v>
      </c>
    </row>
    <row r="1108" customFormat="false" ht="15" hidden="false" customHeight="false" outlineLevel="0" collapsed="false">
      <c r="A1108" s="0" t="s">
        <v>1684</v>
      </c>
      <c r="B1108" s="0" t="n">
        <v>44521.7629293231</v>
      </c>
      <c r="C1108" s="0" t="n">
        <v>1433012.62108221</v>
      </c>
      <c r="D1108" s="0" t="n">
        <f aca="false">IF(B1108&gt;C1108,1,0)</f>
        <v>0</v>
      </c>
    </row>
    <row r="1109" customFormat="false" ht="15" hidden="false" customHeight="false" outlineLevel="0" collapsed="false">
      <c r="A1109" s="0" t="s">
        <v>1685</v>
      </c>
      <c r="B1109" s="0" t="n">
        <v>-314213.934419425</v>
      </c>
      <c r="C1109" s="0" t="n">
        <v>1463666.71641041</v>
      </c>
      <c r="D1109" s="0" t="n">
        <f aca="false">IF(B1109&gt;C1109,1,0)</f>
        <v>0</v>
      </c>
    </row>
    <row r="1110" customFormat="false" ht="15" hidden="false" customHeight="false" outlineLevel="0" collapsed="false">
      <c r="A1110" s="0" t="s">
        <v>1686</v>
      </c>
      <c r="B1110" s="0" t="n">
        <v>-164117.028764099</v>
      </c>
      <c r="C1110" s="0" t="n">
        <v>1497424.28407814</v>
      </c>
      <c r="D1110" s="0" t="n">
        <f aca="false">IF(B1110&gt;C1110,1,0)</f>
        <v>0</v>
      </c>
    </row>
    <row r="1111" customFormat="false" ht="15" hidden="false" customHeight="false" outlineLevel="0" collapsed="false">
      <c r="A1111" s="0" t="s">
        <v>1687</v>
      </c>
      <c r="B1111" s="0" t="n">
        <v>-103612.918521795</v>
      </c>
      <c r="C1111" s="0" t="n">
        <v>1511964.76482128</v>
      </c>
      <c r="D1111" s="0" t="n">
        <f aca="false">IF(B1111&gt;C1111,1,0)</f>
        <v>0</v>
      </c>
    </row>
    <row r="1112" customFormat="false" ht="15" hidden="false" customHeight="false" outlineLevel="0" collapsed="false">
      <c r="A1112" s="0" t="s">
        <v>1688</v>
      </c>
      <c r="B1112" s="0" t="n">
        <v>324550.576024069</v>
      </c>
      <c r="C1112" s="0" t="n">
        <v>1520890.66772473</v>
      </c>
      <c r="D1112" s="0" t="n">
        <f aca="false">IF(B1112&gt;C1112,1,0)</f>
        <v>0</v>
      </c>
    </row>
    <row r="1113" customFormat="false" ht="15" hidden="false" customHeight="false" outlineLevel="0" collapsed="false">
      <c r="A1113" s="0" t="s">
        <v>1689</v>
      </c>
      <c r="B1113" s="0" t="n">
        <v>-10450.0663414719</v>
      </c>
      <c r="C1113" s="0" t="n">
        <v>1493063.40447464</v>
      </c>
      <c r="D1113" s="0" t="n">
        <f aca="false">IF(B1113&gt;C1113,1,0)</f>
        <v>0</v>
      </c>
    </row>
    <row r="1114" customFormat="false" ht="15" hidden="false" customHeight="false" outlineLevel="0" collapsed="false">
      <c r="A1114" s="0" t="s">
        <v>1690</v>
      </c>
      <c r="B1114" s="0" t="n">
        <v>-159252.952766284</v>
      </c>
      <c r="C1114" s="0" t="n">
        <v>1456379.23036943</v>
      </c>
      <c r="D1114" s="0" t="n">
        <f aca="false">IF(B1114&gt;C1114,1,0)</f>
        <v>0</v>
      </c>
    </row>
    <row r="1115" customFormat="false" ht="15" hidden="false" customHeight="false" outlineLevel="0" collapsed="false">
      <c r="A1115" s="0" t="s">
        <v>771</v>
      </c>
      <c r="B1115" s="0" t="n">
        <v>126237.940874709</v>
      </c>
      <c r="C1115" s="0" t="n">
        <v>1445217.95950397</v>
      </c>
      <c r="D1115" s="0" t="n">
        <f aca="false">IF(B1115&gt;C1115,1,0)</f>
        <v>0</v>
      </c>
    </row>
    <row r="1116" customFormat="false" ht="15" hidden="false" customHeight="false" outlineLevel="0" collapsed="false">
      <c r="A1116" s="0" t="s">
        <v>1691</v>
      </c>
      <c r="B1116" s="0" t="n">
        <v>-251639.777607503</v>
      </c>
      <c r="C1116" s="0" t="n">
        <v>1459674.06841494</v>
      </c>
      <c r="D1116" s="0" t="n">
        <f aca="false">IF(B1116&gt;C1116,1,0)</f>
        <v>0</v>
      </c>
    </row>
    <row r="1117" customFormat="false" ht="15" hidden="false" customHeight="false" outlineLevel="0" collapsed="false">
      <c r="A1117" s="0" t="s">
        <v>1692</v>
      </c>
      <c r="B1117" s="0" t="n">
        <v>86293.3426368665</v>
      </c>
      <c r="C1117" s="0" t="n">
        <v>1466895.62060698</v>
      </c>
      <c r="D1117" s="0" t="n">
        <f aca="false">IF(B1117&gt;C1117,1,0)</f>
        <v>0</v>
      </c>
    </row>
    <row r="1118" customFormat="false" ht="15" hidden="false" customHeight="false" outlineLevel="0" collapsed="false">
      <c r="A1118" s="0" t="s">
        <v>1693</v>
      </c>
      <c r="B1118" s="0" t="n">
        <v>-78862.6189955976</v>
      </c>
      <c r="C1118" s="0" t="n">
        <v>1467002.9834207</v>
      </c>
      <c r="D1118" s="0" t="n">
        <f aca="false">IF(B1118&gt;C1118,1,0)</f>
        <v>0</v>
      </c>
    </row>
    <row r="1119" customFormat="false" ht="15" hidden="false" customHeight="false" outlineLevel="0" collapsed="false">
      <c r="A1119" s="0" t="s">
        <v>1694</v>
      </c>
      <c r="B1119" s="0" t="n">
        <v>546373.650176494</v>
      </c>
      <c r="C1119" s="0" t="n">
        <v>1463250.87663724</v>
      </c>
      <c r="D1119" s="0" t="n">
        <f aca="false">IF(B1119&gt;C1119,1,0)</f>
        <v>0</v>
      </c>
    </row>
    <row r="1120" customFormat="false" ht="15" hidden="false" customHeight="false" outlineLevel="0" collapsed="false">
      <c r="A1120" s="0" t="s">
        <v>1695</v>
      </c>
      <c r="B1120" s="0" t="n">
        <v>126251.323308999</v>
      </c>
      <c r="C1120" s="0" t="n">
        <v>1439632.83380992</v>
      </c>
      <c r="D1120" s="0" t="n">
        <f aca="false">IF(B1120&gt;C1120,1,0)</f>
        <v>0</v>
      </c>
    </row>
    <row r="1121" customFormat="false" ht="15" hidden="false" customHeight="false" outlineLevel="0" collapsed="false">
      <c r="A1121" s="0" t="s">
        <v>1696</v>
      </c>
      <c r="B1121" s="0" t="n">
        <v>21224.9024889395</v>
      </c>
      <c r="C1121" s="0" t="n">
        <v>1432705.46880368</v>
      </c>
      <c r="D1121" s="0" t="n">
        <f aca="false">IF(B1121&gt;C1121,1,0)</f>
        <v>0</v>
      </c>
    </row>
    <row r="1122" customFormat="false" ht="15" hidden="false" customHeight="false" outlineLevel="0" collapsed="false">
      <c r="A1122" s="0" t="s">
        <v>1697</v>
      </c>
      <c r="B1122" s="0" t="n">
        <v>160326.462446494</v>
      </c>
      <c r="C1122" s="0" t="n">
        <v>1419635.50211326</v>
      </c>
      <c r="D1122" s="0" t="n">
        <f aca="false">IF(B1122&gt;C1122,1,0)</f>
        <v>0</v>
      </c>
    </row>
    <row r="1123" customFormat="false" ht="15" hidden="false" customHeight="false" outlineLevel="0" collapsed="false">
      <c r="A1123" s="0" t="s">
        <v>1698</v>
      </c>
      <c r="B1123" s="0" t="n">
        <v>-306843.697319243</v>
      </c>
      <c r="C1123" s="0" t="n">
        <v>1421302.27497656</v>
      </c>
      <c r="D1123" s="0" t="n">
        <f aca="false">IF(B1123&gt;C1123,1,0)</f>
        <v>0</v>
      </c>
    </row>
    <row r="1124" customFormat="false" ht="15" hidden="false" customHeight="false" outlineLevel="0" collapsed="false">
      <c r="A1124" s="0" t="s">
        <v>1699</v>
      </c>
      <c r="B1124" s="0" t="n">
        <v>164490.194300195</v>
      </c>
      <c r="C1124" s="0" t="n">
        <v>1469096.00428901</v>
      </c>
      <c r="D1124" s="0" t="n">
        <f aca="false">IF(B1124&gt;C1124,1,0)</f>
        <v>0</v>
      </c>
    </row>
    <row r="1125" customFormat="false" ht="15" hidden="false" customHeight="false" outlineLevel="0" collapsed="false">
      <c r="A1125" s="0" t="s">
        <v>773</v>
      </c>
      <c r="B1125" s="0" t="n">
        <v>522033.953474928</v>
      </c>
      <c r="C1125" s="0" t="n">
        <v>1448666.03720563</v>
      </c>
      <c r="D1125" s="0" t="n">
        <f aca="false">IF(B1125&gt;C1125,1,0)</f>
        <v>0</v>
      </c>
    </row>
    <row r="1126" customFormat="false" ht="15" hidden="false" customHeight="false" outlineLevel="0" collapsed="false">
      <c r="A1126" s="0" t="s">
        <v>1700</v>
      </c>
      <c r="B1126" s="0" t="n">
        <v>-124007.868509008</v>
      </c>
      <c r="C1126" s="0" t="n">
        <v>1443235.3900726</v>
      </c>
      <c r="D1126" s="0" t="n">
        <f aca="false">IF(B1126&gt;C1126,1,0)</f>
        <v>0</v>
      </c>
    </row>
    <row r="1127" customFormat="false" ht="15" hidden="false" customHeight="false" outlineLevel="0" collapsed="false">
      <c r="A1127" s="0" t="s">
        <v>1701</v>
      </c>
      <c r="B1127" s="0" t="n">
        <v>-517427.215142995</v>
      </c>
      <c r="C1127" s="0" t="n">
        <v>1443406.01857255</v>
      </c>
      <c r="D1127" s="0" t="n">
        <f aca="false">IF(B1127&gt;C1127,1,0)</f>
        <v>0</v>
      </c>
    </row>
    <row r="1128" customFormat="false" ht="15" hidden="false" customHeight="false" outlineLevel="0" collapsed="false">
      <c r="A1128" s="0" t="s">
        <v>1702</v>
      </c>
      <c r="B1128" s="0" t="n">
        <v>-10225.5234464724</v>
      </c>
      <c r="C1128" s="0" t="n">
        <v>1475107.58857638</v>
      </c>
      <c r="D1128" s="0" t="n">
        <f aca="false">IF(B1128&gt;C1128,1,0)</f>
        <v>0</v>
      </c>
    </row>
    <row r="1129" customFormat="false" ht="15" hidden="false" customHeight="false" outlineLevel="0" collapsed="false">
      <c r="A1129" s="0" t="s">
        <v>1703</v>
      </c>
      <c r="B1129" s="0" t="n">
        <v>-460216.328480188</v>
      </c>
      <c r="C1129" s="0" t="n">
        <v>1466635.50444402</v>
      </c>
      <c r="D1129" s="0" t="n">
        <f aca="false">IF(B1129&gt;C1129,1,0)</f>
        <v>0</v>
      </c>
    </row>
    <row r="1130" customFormat="false" ht="15" hidden="false" customHeight="false" outlineLevel="0" collapsed="false">
      <c r="A1130" s="0" t="s">
        <v>1704</v>
      </c>
      <c r="B1130" s="0" t="n">
        <v>294338.627363434</v>
      </c>
      <c r="C1130" s="0" t="n">
        <v>1435055.22810723</v>
      </c>
      <c r="D1130" s="0" t="n">
        <f aca="false">IF(B1130&gt;C1130,1,0)</f>
        <v>0</v>
      </c>
    </row>
    <row r="1131" customFormat="false" ht="15" hidden="false" customHeight="false" outlineLevel="0" collapsed="false">
      <c r="A1131" s="0" t="s">
        <v>1705</v>
      </c>
      <c r="B1131" s="0" t="n">
        <v>-11331.2917109281</v>
      </c>
      <c r="C1131" s="0" t="n">
        <v>1409014.62494742</v>
      </c>
      <c r="D1131" s="0" t="n">
        <f aca="false">IF(B1131&gt;C1131,1,0)</f>
        <v>0</v>
      </c>
    </row>
    <row r="1132" customFormat="false" ht="15" hidden="false" customHeight="false" outlineLevel="0" collapsed="false">
      <c r="A1132" s="0" t="s">
        <v>1706</v>
      </c>
      <c r="B1132" s="0" t="n">
        <v>359062.527922373</v>
      </c>
      <c r="C1132" s="0" t="n">
        <v>1416251.60610036</v>
      </c>
      <c r="D1132" s="0" t="n">
        <f aca="false">IF(B1132&gt;C1132,1,0)</f>
        <v>0</v>
      </c>
    </row>
    <row r="1133" customFormat="false" ht="15" hidden="false" customHeight="false" outlineLevel="0" collapsed="false">
      <c r="A1133" s="0" t="s">
        <v>1707</v>
      </c>
      <c r="B1133" s="0" t="n">
        <v>132926.617168657</v>
      </c>
      <c r="C1133" s="0" t="n">
        <v>1382593.93002579</v>
      </c>
      <c r="D1133" s="0" t="n">
        <f aca="false">IF(B1133&gt;C1133,1,0)</f>
        <v>0</v>
      </c>
    </row>
    <row r="1134" customFormat="false" ht="15" hidden="false" customHeight="false" outlineLevel="0" collapsed="false">
      <c r="A1134" s="0" t="s">
        <v>1708</v>
      </c>
      <c r="B1134" s="0" t="n">
        <v>-165844.401499187</v>
      </c>
      <c r="C1134" s="0" t="n">
        <v>1372592.76152868</v>
      </c>
      <c r="D1134" s="0" t="n">
        <f aca="false">IF(B1134&gt;C1134,1,0)</f>
        <v>0</v>
      </c>
    </row>
    <row r="1135" customFormat="false" ht="15" hidden="false" customHeight="false" outlineLevel="0" collapsed="false">
      <c r="A1135" s="0" t="s">
        <v>775</v>
      </c>
      <c r="B1135" s="0" t="n">
        <v>-166901.659190951</v>
      </c>
      <c r="C1135" s="0" t="n">
        <v>1372658.31603039</v>
      </c>
      <c r="D1135" s="0" t="n">
        <f aca="false">IF(B1135&gt;C1135,1,0)</f>
        <v>0</v>
      </c>
    </row>
    <row r="1136" customFormat="false" ht="15" hidden="false" customHeight="false" outlineLevel="0" collapsed="false">
      <c r="A1136" s="0" t="s">
        <v>1709</v>
      </c>
      <c r="B1136" s="0" t="n">
        <v>370927.545159387</v>
      </c>
      <c r="C1136" s="0" t="n">
        <v>1383405.43629171</v>
      </c>
      <c r="D1136" s="0" t="n">
        <f aca="false">IF(B1136&gt;C1136,1,0)</f>
        <v>0</v>
      </c>
    </row>
    <row r="1137" customFormat="false" ht="15" hidden="false" customHeight="false" outlineLevel="0" collapsed="false">
      <c r="A1137" s="0" t="s">
        <v>1710</v>
      </c>
      <c r="B1137" s="0" t="n">
        <v>-8268.38839108776</v>
      </c>
      <c r="C1137" s="0" t="n">
        <v>1409155.67620168</v>
      </c>
      <c r="D1137" s="0" t="n">
        <f aca="false">IF(B1137&gt;C1137,1,0)</f>
        <v>0</v>
      </c>
    </row>
    <row r="1138" customFormat="false" ht="15" hidden="false" customHeight="false" outlineLevel="0" collapsed="false">
      <c r="A1138" s="0" t="s">
        <v>1711</v>
      </c>
      <c r="B1138" s="0" t="n">
        <v>205099.007442989</v>
      </c>
      <c r="C1138" s="0" t="n">
        <v>1390330.2179475</v>
      </c>
      <c r="D1138" s="0" t="n">
        <f aca="false">IF(B1138&gt;C1138,1,0)</f>
        <v>0</v>
      </c>
    </row>
    <row r="1139" customFormat="false" ht="15" hidden="false" customHeight="false" outlineLevel="0" collapsed="false">
      <c r="A1139" s="0" t="s">
        <v>1712</v>
      </c>
      <c r="B1139" s="0" t="n">
        <v>-283571.29386173</v>
      </c>
      <c r="C1139" s="0" t="n">
        <v>1397143.73181081</v>
      </c>
      <c r="D1139" s="0" t="n">
        <f aca="false">IF(B1139&gt;C1139,1,0)</f>
        <v>0</v>
      </c>
    </row>
    <row r="1140" customFormat="false" ht="15" hidden="false" customHeight="false" outlineLevel="0" collapsed="false">
      <c r="A1140" s="0" t="s">
        <v>1713</v>
      </c>
      <c r="B1140" s="0" t="n">
        <v>-181392.129556254</v>
      </c>
      <c r="C1140" s="0" t="n">
        <v>1391249.53743302</v>
      </c>
      <c r="D1140" s="0" t="n">
        <f aca="false">IF(B1140&gt;C1140,1,0)</f>
        <v>0</v>
      </c>
    </row>
    <row r="1141" customFormat="false" ht="15" hidden="false" customHeight="false" outlineLevel="0" collapsed="false">
      <c r="A1141" s="0" t="s">
        <v>1714</v>
      </c>
      <c r="B1141" s="0" t="n">
        <v>-45204.9566676589</v>
      </c>
      <c r="C1141" s="0" t="n">
        <v>1429258.47499778</v>
      </c>
      <c r="D1141" s="0" t="n">
        <f aca="false">IF(B1141&gt;C1141,1,0)</f>
        <v>0</v>
      </c>
    </row>
    <row r="1142" customFormat="false" ht="15" hidden="false" customHeight="false" outlineLevel="0" collapsed="false">
      <c r="A1142" s="0" t="s">
        <v>1715</v>
      </c>
      <c r="B1142" s="0" t="n">
        <v>64456.9962567911</v>
      </c>
      <c r="C1142" s="0" t="n">
        <v>1429400.22632555</v>
      </c>
      <c r="D1142" s="0" t="n">
        <f aca="false">IF(B1142&gt;C1142,1,0)</f>
        <v>0</v>
      </c>
    </row>
    <row r="1143" customFormat="false" ht="15" hidden="false" customHeight="false" outlineLevel="0" collapsed="false">
      <c r="A1143" s="0" t="s">
        <v>1716</v>
      </c>
      <c r="B1143" s="0" t="n">
        <v>-253660.431701158</v>
      </c>
      <c r="C1143" s="0" t="n">
        <v>1432726.21442272</v>
      </c>
      <c r="D1143" s="0" t="n">
        <f aca="false">IF(B1143&gt;C1143,1,0)</f>
        <v>0</v>
      </c>
    </row>
    <row r="1144" customFormat="false" ht="15" hidden="false" customHeight="false" outlineLevel="0" collapsed="false">
      <c r="A1144" s="0" t="s">
        <v>1717</v>
      </c>
      <c r="B1144" s="0" t="n">
        <v>931415.704255245</v>
      </c>
      <c r="C1144" s="0" t="n">
        <v>1439898.5857918</v>
      </c>
      <c r="D1144" s="0" t="n">
        <f aca="false">IF(B1144&gt;C1144,1,0)</f>
        <v>0</v>
      </c>
    </row>
    <row r="1145" customFormat="false" ht="15" hidden="false" customHeight="false" outlineLevel="0" collapsed="false">
      <c r="A1145" s="0" t="s">
        <v>777</v>
      </c>
      <c r="B1145" s="0" t="n">
        <v>134088.864577887</v>
      </c>
      <c r="C1145" s="0" t="n">
        <v>1376048.63248962</v>
      </c>
      <c r="D1145" s="0" t="n">
        <f aca="false">IF(B1145&gt;C1145,1,0)</f>
        <v>0</v>
      </c>
    </row>
    <row r="1146" customFormat="false" ht="15" hidden="false" customHeight="false" outlineLevel="0" collapsed="false">
      <c r="A1146" s="0" t="s">
        <v>1718</v>
      </c>
      <c r="B1146" s="0" t="n">
        <v>-355076.433741367</v>
      </c>
      <c r="C1146" s="0" t="n">
        <v>1394557.40727115</v>
      </c>
      <c r="D1146" s="0" t="n">
        <f aca="false">IF(B1146&gt;C1146,1,0)</f>
        <v>0</v>
      </c>
    </row>
    <row r="1147" customFormat="false" ht="15" hidden="false" customHeight="false" outlineLevel="0" collapsed="false">
      <c r="A1147" s="0" t="s">
        <v>1719</v>
      </c>
      <c r="B1147" s="0" t="n">
        <v>-47341.2053840887</v>
      </c>
      <c r="C1147" s="0" t="n">
        <v>1393374.6274852</v>
      </c>
      <c r="D1147" s="0" t="n">
        <f aca="false">IF(B1147&gt;C1147,1,0)</f>
        <v>0</v>
      </c>
    </row>
    <row r="1148" customFormat="false" ht="15" hidden="false" customHeight="false" outlineLevel="0" collapsed="false">
      <c r="A1148" s="0" t="s">
        <v>1720</v>
      </c>
      <c r="B1148" s="0" t="n">
        <v>168427.16085526</v>
      </c>
      <c r="C1148" s="0" t="n">
        <v>1394651.81654698</v>
      </c>
      <c r="D1148" s="0" t="n">
        <f aca="false">IF(B1148&gt;C1148,1,0)</f>
        <v>0</v>
      </c>
    </row>
    <row r="1149" customFormat="false" ht="15" hidden="false" customHeight="false" outlineLevel="0" collapsed="false">
      <c r="A1149" s="0" t="s">
        <v>1721</v>
      </c>
      <c r="B1149" s="0" t="n">
        <v>-118677.847905397</v>
      </c>
      <c r="C1149" s="0" t="n">
        <v>1379341.25913191</v>
      </c>
      <c r="D1149" s="0" t="n">
        <f aca="false">IF(B1149&gt;C1149,1,0)</f>
        <v>0</v>
      </c>
    </row>
    <row r="1150" customFormat="false" ht="15" hidden="false" customHeight="false" outlineLevel="0" collapsed="false">
      <c r="A1150" s="0" t="s">
        <v>1722</v>
      </c>
      <c r="B1150" s="0" t="n">
        <v>157811.162232569</v>
      </c>
      <c r="C1150" s="0" t="n">
        <v>1396889.86889569</v>
      </c>
      <c r="D1150" s="0" t="n">
        <f aca="false">IF(B1150&gt;C1150,1,0)</f>
        <v>0</v>
      </c>
    </row>
    <row r="1151" customFormat="false" ht="15" hidden="false" customHeight="false" outlineLevel="0" collapsed="false">
      <c r="A1151" s="0" t="s">
        <v>1723</v>
      </c>
      <c r="B1151" s="0" t="n">
        <v>61811.1997362794</v>
      </c>
      <c r="C1151" s="0" t="n">
        <v>1414436.0798451</v>
      </c>
      <c r="D1151" s="0" t="n">
        <f aca="false">IF(B1151&gt;C1151,1,0)</f>
        <v>0</v>
      </c>
    </row>
    <row r="1152" customFormat="false" ht="15" hidden="false" customHeight="false" outlineLevel="0" collapsed="false">
      <c r="A1152" s="0" t="s">
        <v>1724</v>
      </c>
      <c r="B1152" s="0" t="n">
        <v>74307.7628313806</v>
      </c>
      <c r="C1152" s="0" t="n">
        <v>1440150.45814842</v>
      </c>
      <c r="D1152" s="0" t="n">
        <f aca="false">IF(B1152&gt;C1152,1,0)</f>
        <v>0</v>
      </c>
    </row>
    <row r="1153" customFormat="false" ht="15" hidden="false" customHeight="false" outlineLevel="0" collapsed="false">
      <c r="A1153" s="0" t="s">
        <v>1725</v>
      </c>
      <c r="B1153" s="0" t="n">
        <v>132746.883978627</v>
      </c>
      <c r="C1153" s="0" t="n">
        <v>1455090.05480797</v>
      </c>
      <c r="D1153" s="0" t="n">
        <f aca="false">IF(B1153&gt;C1153,1,0)</f>
        <v>0</v>
      </c>
    </row>
    <row r="1154" customFormat="false" ht="15" hidden="false" customHeight="false" outlineLevel="0" collapsed="false">
      <c r="A1154" s="0" t="s">
        <v>1726</v>
      </c>
      <c r="B1154" s="0" t="n">
        <v>41334.7725525247</v>
      </c>
      <c r="C1154" s="0" t="n">
        <v>1419247.75245564</v>
      </c>
      <c r="D1154" s="0" t="n">
        <f aca="false">IF(B1154&gt;C1154,1,0)</f>
        <v>0</v>
      </c>
    </row>
    <row r="1155" customFormat="false" ht="15" hidden="false" customHeight="false" outlineLevel="0" collapsed="false">
      <c r="A1155" s="0" t="s">
        <v>779</v>
      </c>
      <c r="B1155" s="0" t="n">
        <v>266760.920029859</v>
      </c>
      <c r="C1155" s="0" t="n">
        <v>1439215.68485156</v>
      </c>
      <c r="D1155" s="0" t="n">
        <f aca="false">IF(B1155&gt;C1155,1,0)</f>
        <v>0</v>
      </c>
    </row>
    <row r="1156" customFormat="false" ht="15" hidden="false" customHeight="false" outlineLevel="0" collapsed="false">
      <c r="A1156" s="0" t="s">
        <v>1727</v>
      </c>
      <c r="B1156" s="0" t="n">
        <v>296294.248585291</v>
      </c>
      <c r="C1156" s="0" t="n">
        <v>1458390.12255775</v>
      </c>
      <c r="D1156" s="0" t="n">
        <f aca="false">IF(B1156&gt;C1156,1,0)</f>
        <v>0</v>
      </c>
    </row>
    <row r="1157" customFormat="false" ht="15" hidden="false" customHeight="false" outlineLevel="0" collapsed="false">
      <c r="A1157" s="0" t="s">
        <v>1728</v>
      </c>
      <c r="B1157" s="0" t="n">
        <v>246624.395118202</v>
      </c>
      <c r="C1157" s="0" t="n">
        <v>1450647.97223573</v>
      </c>
      <c r="D1157" s="0" t="n">
        <f aca="false">IF(B1157&gt;C1157,1,0)</f>
        <v>0</v>
      </c>
    </row>
    <row r="1158" customFormat="false" ht="15" hidden="false" customHeight="false" outlineLevel="0" collapsed="false">
      <c r="A1158" s="0" t="s">
        <v>1729</v>
      </c>
      <c r="B1158" s="0" t="n">
        <v>419294.095047235</v>
      </c>
      <c r="C1158" s="0" t="n">
        <v>1405465.32980019</v>
      </c>
      <c r="D1158" s="0" t="n">
        <f aca="false">IF(B1158&gt;C1158,1,0)</f>
        <v>0</v>
      </c>
    </row>
    <row r="1159" customFormat="false" ht="15" hidden="false" customHeight="false" outlineLevel="0" collapsed="false">
      <c r="A1159" s="0" t="s">
        <v>1730</v>
      </c>
      <c r="B1159" s="0" t="n">
        <v>73202.9164442988</v>
      </c>
      <c r="C1159" s="0" t="n">
        <v>1383523.40197195</v>
      </c>
      <c r="D1159" s="0" t="n">
        <f aca="false">IF(B1159&gt;C1159,1,0)</f>
        <v>0</v>
      </c>
    </row>
    <row r="1160" customFormat="false" ht="15" hidden="false" customHeight="false" outlineLevel="0" collapsed="false">
      <c r="A1160" s="0" t="s">
        <v>1731</v>
      </c>
      <c r="B1160" s="0" t="n">
        <v>-135514.151878241</v>
      </c>
      <c r="C1160" s="0" t="n">
        <v>1352761.68308577</v>
      </c>
      <c r="D1160" s="0" t="n">
        <f aca="false">IF(B1160&gt;C1160,1,0)</f>
        <v>0</v>
      </c>
    </row>
    <row r="1161" customFormat="false" ht="15" hidden="false" customHeight="false" outlineLevel="0" collapsed="false">
      <c r="A1161" s="0" t="s">
        <v>1732</v>
      </c>
      <c r="B1161" s="0" t="n">
        <v>-270509.054734855</v>
      </c>
      <c r="C1161" s="0" t="n">
        <v>1411762.76005726</v>
      </c>
      <c r="D1161" s="0" t="n">
        <f aca="false">IF(B1161&gt;C1161,1,0)</f>
        <v>0</v>
      </c>
    </row>
    <row r="1162" customFormat="false" ht="15" hidden="false" customHeight="false" outlineLevel="0" collapsed="false">
      <c r="A1162" s="0" t="s">
        <v>1733</v>
      </c>
      <c r="B1162" s="0" t="n">
        <v>-119870.497871473</v>
      </c>
      <c r="C1162" s="0" t="n">
        <v>1408414.6127307</v>
      </c>
      <c r="D1162" s="0" t="n">
        <f aca="false">IF(B1162&gt;C1162,1,0)</f>
        <v>0</v>
      </c>
    </row>
    <row r="1163" customFormat="false" ht="15" hidden="false" customHeight="false" outlineLevel="0" collapsed="false">
      <c r="A1163" s="0" t="s">
        <v>1734</v>
      </c>
      <c r="B1163" s="0" t="n">
        <v>15259.8759454708</v>
      </c>
      <c r="C1163" s="0" t="n">
        <v>1405872.30255906</v>
      </c>
      <c r="D1163" s="0" t="n">
        <f aca="false">IF(B1163&gt;C1163,1,0)</f>
        <v>0</v>
      </c>
    </row>
    <row r="1164" customFormat="false" ht="15" hidden="false" customHeight="false" outlineLevel="0" collapsed="false">
      <c r="A1164" s="0" t="s">
        <v>1735</v>
      </c>
      <c r="B1164" s="0" t="n">
        <v>294130.69395454</v>
      </c>
      <c r="C1164" s="0" t="n">
        <v>1389346.33499281</v>
      </c>
      <c r="D1164" s="0" t="n">
        <f aca="false">IF(B1164&gt;C1164,1,0)</f>
        <v>0</v>
      </c>
    </row>
    <row r="1165" customFormat="false" ht="15" hidden="false" customHeight="false" outlineLevel="0" collapsed="false">
      <c r="A1165" s="0" t="s">
        <v>781</v>
      </c>
      <c r="B1165" s="0" t="n">
        <v>-368060.642097869</v>
      </c>
      <c r="C1165" s="0" t="n">
        <v>1358329.46938744</v>
      </c>
      <c r="D1165" s="0" t="n">
        <f aca="false">IF(B1165&gt;C1165,1,0)</f>
        <v>0</v>
      </c>
    </row>
    <row r="1166" customFormat="false" ht="15" hidden="false" customHeight="false" outlineLevel="0" collapsed="false">
      <c r="A1166" s="0" t="s">
        <v>1736</v>
      </c>
      <c r="B1166" s="0" t="n">
        <v>-253198.450422023</v>
      </c>
      <c r="C1166" s="0" t="n">
        <v>1372316.47401393</v>
      </c>
      <c r="D1166" s="0" t="n">
        <f aca="false">IF(B1166&gt;C1166,1,0)</f>
        <v>0</v>
      </c>
    </row>
    <row r="1167" customFormat="false" ht="15" hidden="false" customHeight="false" outlineLevel="0" collapsed="false">
      <c r="A1167" s="0" t="s">
        <v>1737</v>
      </c>
      <c r="B1167" s="0" t="n">
        <v>194155.159647507</v>
      </c>
      <c r="C1167" s="0" t="n">
        <v>1385416.63700106</v>
      </c>
      <c r="D1167" s="0" t="n">
        <f aca="false">IF(B1167&gt;C1167,1,0)</f>
        <v>0</v>
      </c>
    </row>
    <row r="1168" customFormat="false" ht="15" hidden="false" customHeight="false" outlineLevel="0" collapsed="false">
      <c r="A1168" s="0" t="s">
        <v>1738</v>
      </c>
      <c r="B1168" s="0" t="n">
        <v>93152.2709283913</v>
      </c>
      <c r="C1168" s="0" t="n">
        <v>1358412.16569273</v>
      </c>
      <c r="D1168" s="0" t="n">
        <f aca="false">IF(B1168&gt;C1168,1,0)</f>
        <v>0</v>
      </c>
    </row>
    <row r="1169" customFormat="false" ht="15" hidden="false" customHeight="false" outlineLevel="0" collapsed="false">
      <c r="A1169" s="0" t="s">
        <v>1739</v>
      </c>
      <c r="B1169" s="0" t="n">
        <v>455620.642737092</v>
      </c>
      <c r="C1169" s="0" t="n">
        <v>1358911.60483047</v>
      </c>
      <c r="D1169" s="0" t="n">
        <f aca="false">IF(B1169&gt;C1169,1,0)</f>
        <v>0</v>
      </c>
    </row>
    <row r="1170" customFormat="false" ht="15" hidden="false" customHeight="false" outlineLevel="0" collapsed="false">
      <c r="A1170" s="0" t="s">
        <v>1740</v>
      </c>
      <c r="B1170" s="0" t="n">
        <v>-162768.421803927</v>
      </c>
      <c r="C1170" s="0" t="n">
        <v>1318092.57800522</v>
      </c>
      <c r="D1170" s="0" t="n">
        <f aca="false">IF(B1170&gt;C1170,1,0)</f>
        <v>0</v>
      </c>
    </row>
    <row r="1171" customFormat="false" ht="15" hidden="false" customHeight="false" outlineLevel="0" collapsed="false">
      <c r="A1171" s="0" t="s">
        <v>1741</v>
      </c>
      <c r="B1171" s="0" t="n">
        <v>193390.101599366</v>
      </c>
      <c r="C1171" s="0" t="n">
        <v>1295004.03855292</v>
      </c>
      <c r="D1171" s="0" t="n">
        <f aca="false">IF(B1171&gt;C1171,1,0)</f>
        <v>0</v>
      </c>
    </row>
    <row r="1172" customFormat="false" ht="15" hidden="false" customHeight="false" outlineLevel="0" collapsed="false">
      <c r="A1172" s="0" t="s">
        <v>1742</v>
      </c>
      <c r="B1172" s="0" t="n">
        <v>29062.5330143422</v>
      </c>
      <c r="C1172" s="0" t="n">
        <v>1296071.69665249</v>
      </c>
      <c r="D1172" s="0" t="n">
        <f aca="false">IF(B1172&gt;C1172,1,0)</f>
        <v>0</v>
      </c>
    </row>
    <row r="1173" customFormat="false" ht="15" hidden="false" customHeight="false" outlineLevel="0" collapsed="false">
      <c r="A1173" s="0" t="s">
        <v>1743</v>
      </c>
      <c r="B1173" s="0" t="n">
        <v>-153127.176582925</v>
      </c>
      <c r="C1173" s="0" t="n">
        <v>1298584.40359313</v>
      </c>
      <c r="D1173" s="0" t="n">
        <f aca="false">IF(B1173&gt;C1173,1,0)</f>
        <v>0</v>
      </c>
    </row>
    <row r="1174" customFormat="false" ht="15" hidden="false" customHeight="false" outlineLevel="0" collapsed="false">
      <c r="A1174" s="0" t="s">
        <v>1744</v>
      </c>
      <c r="B1174" s="0" t="n">
        <v>-132638.114581436</v>
      </c>
      <c r="C1174" s="0" t="n">
        <v>1293513.41398235</v>
      </c>
      <c r="D1174" s="0" t="n">
        <f aca="false">IF(B1174&gt;C1174,1,0)</f>
        <v>0</v>
      </c>
    </row>
    <row r="1175" customFormat="false" ht="15" hidden="false" customHeight="false" outlineLevel="0" collapsed="false">
      <c r="A1175" s="0" t="s">
        <v>783</v>
      </c>
      <c r="B1175" s="0" t="n">
        <v>-163038.371614526</v>
      </c>
      <c r="C1175" s="0" t="n">
        <v>1309819.44884936</v>
      </c>
      <c r="D1175" s="0" t="n">
        <f aca="false">IF(B1175&gt;C1175,1,0)</f>
        <v>0</v>
      </c>
    </row>
    <row r="1176" customFormat="false" ht="15" hidden="false" customHeight="false" outlineLevel="0" collapsed="false">
      <c r="A1176" s="0" t="s">
        <v>1745</v>
      </c>
      <c r="B1176" s="0" t="n">
        <v>-276413.484778872</v>
      </c>
      <c r="C1176" s="0" t="n">
        <v>1274563.03559514</v>
      </c>
      <c r="D1176" s="0" t="n">
        <f aca="false">IF(B1176&gt;C1176,1,0)</f>
        <v>0</v>
      </c>
    </row>
    <row r="1177" customFormat="false" ht="15" hidden="false" customHeight="false" outlineLevel="0" collapsed="false">
      <c r="A1177" s="0" t="s">
        <v>1746</v>
      </c>
      <c r="B1177" s="0" t="n">
        <v>144833.976226206</v>
      </c>
      <c r="C1177" s="0" t="n">
        <v>1299084.59263024</v>
      </c>
      <c r="D1177" s="0" t="n">
        <f aca="false">IF(B1177&gt;C1177,1,0)</f>
        <v>0</v>
      </c>
    </row>
    <row r="1178" customFormat="false" ht="15" hidden="false" customHeight="false" outlineLevel="0" collapsed="false">
      <c r="A1178" s="0" t="s">
        <v>1747</v>
      </c>
      <c r="B1178" s="0" t="n">
        <v>61822.2552571818</v>
      </c>
      <c r="C1178" s="0" t="n">
        <v>1310348.73727388</v>
      </c>
      <c r="D1178" s="0" t="n">
        <f aca="false">IF(B1178&gt;C1178,1,0)</f>
        <v>0</v>
      </c>
    </row>
    <row r="1179" customFormat="false" ht="15" hidden="false" customHeight="false" outlineLevel="0" collapsed="false">
      <c r="A1179" s="0" t="s">
        <v>1748</v>
      </c>
      <c r="B1179" s="0" t="n">
        <v>420221.920685597</v>
      </c>
      <c r="C1179" s="0" t="n">
        <v>1300069.2886753</v>
      </c>
      <c r="D1179" s="0" t="n">
        <f aca="false">IF(B1179&gt;C1179,1,0)</f>
        <v>0</v>
      </c>
    </row>
    <row r="1180" customFormat="false" ht="15" hidden="false" customHeight="false" outlineLevel="0" collapsed="false">
      <c r="A1180" s="0" t="s">
        <v>1749</v>
      </c>
      <c r="B1180" s="0" t="n">
        <v>-40302.346130488</v>
      </c>
      <c r="C1180" s="0" t="n">
        <v>1258337.34608575</v>
      </c>
      <c r="D1180" s="0" t="n">
        <f aca="false">IF(B1180&gt;C1180,1,0)</f>
        <v>0</v>
      </c>
    </row>
    <row r="1181" customFormat="false" ht="15" hidden="false" customHeight="false" outlineLevel="0" collapsed="false">
      <c r="A1181" s="0" t="s">
        <v>1750</v>
      </c>
      <c r="B1181" s="0" t="n">
        <v>233509.058243846</v>
      </c>
      <c r="C1181" s="0" t="n">
        <v>1269422.91652099</v>
      </c>
      <c r="D1181" s="0" t="n">
        <f aca="false">IF(B1181&gt;C1181,1,0)</f>
        <v>0</v>
      </c>
    </row>
    <row r="1182" customFormat="false" ht="15" hidden="false" customHeight="false" outlineLevel="0" collapsed="false">
      <c r="A1182" s="0" t="s">
        <v>1751</v>
      </c>
      <c r="B1182" s="0" t="n">
        <v>37741.1057786467</v>
      </c>
      <c r="C1182" s="0" t="n">
        <v>1260645.76607316</v>
      </c>
      <c r="D1182" s="0" t="n">
        <f aca="false">IF(B1182&gt;C1182,1,0)</f>
        <v>0</v>
      </c>
    </row>
    <row r="1183" customFormat="false" ht="15" hidden="false" customHeight="false" outlineLevel="0" collapsed="false">
      <c r="A1183" s="0" t="s">
        <v>1752</v>
      </c>
      <c r="B1183" s="0" t="n">
        <v>74717.37463935</v>
      </c>
      <c r="C1183" s="0" t="n">
        <v>1251053.28656745</v>
      </c>
      <c r="D1183" s="0" t="n">
        <f aca="false">IF(B1183&gt;C1183,1,0)</f>
        <v>0</v>
      </c>
    </row>
    <row r="1184" customFormat="false" ht="15" hidden="false" customHeight="false" outlineLevel="0" collapsed="false">
      <c r="A1184" s="0" t="s">
        <v>1753</v>
      </c>
      <c r="B1184" s="0" t="n">
        <v>268193.722714258</v>
      </c>
      <c r="C1184" s="0" t="n">
        <v>1247795.79546231</v>
      </c>
      <c r="D1184" s="0" t="n">
        <f aca="false">IF(B1184&gt;C1184,1,0)</f>
        <v>0</v>
      </c>
    </row>
    <row r="1185" customFormat="false" ht="15" hidden="false" customHeight="false" outlineLevel="0" collapsed="false">
      <c r="A1185" s="0" t="s">
        <v>785</v>
      </c>
      <c r="B1185" s="0" t="n">
        <v>-647620.931143096</v>
      </c>
      <c r="C1185" s="0" t="n">
        <v>1255240.06175009</v>
      </c>
      <c r="D1185" s="0" t="n">
        <f aca="false">IF(B1185&gt;C1185,1,0)</f>
        <v>0</v>
      </c>
    </row>
    <row r="1186" customFormat="false" ht="15" hidden="false" customHeight="false" outlineLevel="0" collapsed="false">
      <c r="A1186" s="0" t="s">
        <v>1754</v>
      </c>
      <c r="B1186" s="0" t="n">
        <v>-44737.4522429733</v>
      </c>
      <c r="C1186" s="0" t="n">
        <v>1347221.65428325</v>
      </c>
      <c r="D1186" s="0" t="n">
        <f aca="false">IF(B1186&gt;C1186,1,0)</f>
        <v>0</v>
      </c>
    </row>
    <row r="1187" customFormat="false" ht="15" hidden="false" customHeight="false" outlineLevel="0" collapsed="false">
      <c r="A1187" s="0" t="s">
        <v>1755</v>
      </c>
      <c r="B1187" s="0" t="n">
        <v>35331.6730411127</v>
      </c>
      <c r="C1187" s="0" t="n">
        <v>1338593.81093295</v>
      </c>
      <c r="D1187" s="0" t="n">
        <f aca="false">IF(B1187&gt;C1187,1,0)</f>
        <v>0</v>
      </c>
    </row>
    <row r="1188" customFormat="false" ht="15" hidden="false" customHeight="false" outlineLevel="0" collapsed="false">
      <c r="A1188" s="0" t="s">
        <v>1756</v>
      </c>
      <c r="B1188" s="0" t="n">
        <v>197420.144599024</v>
      </c>
      <c r="C1188" s="0" t="n">
        <v>1306511.15646497</v>
      </c>
      <c r="D1188" s="0" t="n">
        <f aca="false">IF(B1188&gt;C1188,1,0)</f>
        <v>0</v>
      </c>
    </row>
    <row r="1189" customFormat="false" ht="15" hidden="false" customHeight="false" outlineLevel="0" collapsed="false">
      <c r="A1189" s="0" t="s">
        <v>1757</v>
      </c>
      <c r="B1189" s="0" t="n">
        <v>181313.961723292</v>
      </c>
      <c r="C1189" s="0" t="n">
        <v>1322877.26562632</v>
      </c>
      <c r="D1189" s="0" t="n">
        <f aca="false">IF(B1189&gt;C1189,1,0)</f>
        <v>0</v>
      </c>
    </row>
    <row r="1190" customFormat="false" ht="15" hidden="false" customHeight="false" outlineLevel="0" collapsed="false">
      <c r="A1190" s="0" t="s">
        <v>1758</v>
      </c>
      <c r="B1190" s="0" t="n">
        <v>46069.8514537658</v>
      </c>
      <c r="C1190" s="0" t="n">
        <v>1331565.95041741</v>
      </c>
      <c r="D1190" s="0" t="n">
        <f aca="false">IF(B1190&gt;C1190,1,0)</f>
        <v>0</v>
      </c>
    </row>
    <row r="1191" customFormat="false" ht="15" hidden="false" customHeight="false" outlineLevel="0" collapsed="false">
      <c r="A1191" s="0" t="s">
        <v>1759</v>
      </c>
      <c r="B1191" s="0" t="n">
        <v>22113.2767542275</v>
      </c>
      <c r="C1191" s="0" t="n">
        <v>1285277.39008121</v>
      </c>
      <c r="D1191" s="0" t="n">
        <f aca="false">IF(B1191&gt;C1191,1,0)</f>
        <v>0</v>
      </c>
    </row>
    <row r="1192" customFormat="false" ht="15" hidden="false" customHeight="false" outlineLevel="0" collapsed="false">
      <c r="A1192" s="0" t="s">
        <v>1760</v>
      </c>
      <c r="B1192" s="0" t="n">
        <v>-264532.806943331</v>
      </c>
      <c r="C1192" s="0" t="n">
        <v>1276922.43795518</v>
      </c>
      <c r="D1192" s="0" t="n">
        <f aca="false">IF(B1192&gt;C1192,1,0)</f>
        <v>0</v>
      </c>
    </row>
    <row r="1193" customFormat="false" ht="15" hidden="false" customHeight="false" outlineLevel="0" collapsed="false">
      <c r="A1193" s="0" t="s">
        <v>1761</v>
      </c>
      <c r="B1193" s="0" t="n">
        <v>-302150.078187285</v>
      </c>
      <c r="C1193" s="0" t="n">
        <v>1293734.42977607</v>
      </c>
      <c r="D1193" s="0" t="n">
        <f aca="false">IF(B1193&gt;C1193,1,0)</f>
        <v>0</v>
      </c>
    </row>
    <row r="1194" customFormat="false" ht="15" hidden="false" customHeight="false" outlineLevel="0" collapsed="false">
      <c r="A1194" s="0" t="s">
        <v>1762</v>
      </c>
      <c r="B1194" s="0" t="n">
        <v>-125813.444014591</v>
      </c>
      <c r="C1194" s="0" t="n">
        <v>1307879.28809357</v>
      </c>
      <c r="D1194" s="0" t="n">
        <f aca="false">IF(B1194&gt;C1194,1,0)</f>
        <v>0</v>
      </c>
    </row>
    <row r="1195" customFormat="false" ht="15" hidden="false" customHeight="false" outlineLevel="0" collapsed="false">
      <c r="A1195" s="0" t="s">
        <v>787</v>
      </c>
      <c r="B1195" s="0" t="n">
        <v>-56719.2005937146</v>
      </c>
      <c r="C1195" s="0" t="n">
        <v>1304483.81376062</v>
      </c>
      <c r="D1195" s="0" t="n">
        <f aca="false">IF(B1195&gt;C1195,1,0)</f>
        <v>0</v>
      </c>
    </row>
    <row r="1196" customFormat="false" ht="15" hidden="false" customHeight="false" outlineLevel="0" collapsed="false">
      <c r="A1196" s="0" t="s">
        <v>1763</v>
      </c>
      <c r="B1196" s="0" t="n">
        <v>-12143.2233938687</v>
      </c>
      <c r="C1196" s="0" t="n">
        <v>1315082.85528249</v>
      </c>
      <c r="D1196" s="0" t="n">
        <f aca="false">IF(B1196&gt;C1196,1,0)</f>
        <v>0</v>
      </c>
    </row>
    <row r="1197" customFormat="false" ht="15" hidden="false" customHeight="false" outlineLevel="0" collapsed="false">
      <c r="A1197" s="0" t="s">
        <v>1764</v>
      </c>
      <c r="B1197" s="0" t="n">
        <v>25346.3501074752</v>
      </c>
      <c r="C1197" s="0" t="n">
        <v>1315677.42673598</v>
      </c>
      <c r="D1197" s="0" t="n">
        <f aca="false">IF(B1197&gt;C1197,1,0)</f>
        <v>0</v>
      </c>
    </row>
    <row r="1198" customFormat="false" ht="15" hidden="false" customHeight="false" outlineLevel="0" collapsed="false">
      <c r="A1198" s="0" t="s">
        <v>1765</v>
      </c>
      <c r="B1198" s="0" t="n">
        <v>-2708436.65890105</v>
      </c>
      <c r="C1198" s="0" t="n">
        <v>1337832.93809065</v>
      </c>
      <c r="D1198" s="0" t="n">
        <f aca="false">IF(B1198&gt;C1198,1,0)</f>
        <v>0</v>
      </c>
    </row>
    <row r="1199" customFormat="false" ht="15" hidden="false" customHeight="false" outlineLevel="0" collapsed="false">
      <c r="A1199" s="0" t="s">
        <v>1766</v>
      </c>
      <c r="B1199" s="0" t="n">
        <v>-192214.796065264</v>
      </c>
      <c r="C1199" s="0" t="n">
        <v>1422711.21702299</v>
      </c>
      <c r="D1199" s="0" t="n">
        <f aca="false">IF(B1199&gt;C1199,1,0)</f>
        <v>0</v>
      </c>
    </row>
    <row r="1200" customFormat="false" ht="15" hidden="false" customHeight="false" outlineLevel="0" collapsed="false">
      <c r="A1200" s="0" t="s">
        <v>1767</v>
      </c>
      <c r="B1200" s="0" t="n">
        <v>614463.556733027</v>
      </c>
      <c r="C1200" s="0" t="n">
        <v>1413108.98698084</v>
      </c>
      <c r="D1200" s="0" t="n">
        <f aca="false">IF(B1200&gt;C1200,1,0)</f>
        <v>0</v>
      </c>
    </row>
    <row r="1201" customFormat="false" ht="15" hidden="false" customHeight="false" outlineLevel="0" collapsed="false">
      <c r="A1201" s="0" t="s">
        <v>1768</v>
      </c>
      <c r="B1201" s="0" t="n">
        <v>-2066193.88285644</v>
      </c>
      <c r="C1201" s="0" t="n">
        <v>1361651.63759123</v>
      </c>
      <c r="D1201" s="0" t="n">
        <f aca="false">IF(B1201&gt;C1201,1,0)</f>
        <v>0</v>
      </c>
    </row>
    <row r="1202" customFormat="false" ht="15" hidden="false" customHeight="false" outlineLevel="0" collapsed="false">
      <c r="A1202" s="0" t="s">
        <v>1769</v>
      </c>
      <c r="B1202" s="0" t="n">
        <v>359089.975731922</v>
      </c>
      <c r="C1202" s="0" t="n">
        <v>1426926.24453458</v>
      </c>
      <c r="D1202" s="0" t="n">
        <f aca="false">IF(B1202&gt;C1202,1,0)</f>
        <v>0</v>
      </c>
    </row>
    <row r="1203" customFormat="false" ht="15" hidden="false" customHeight="false" outlineLevel="0" collapsed="false">
      <c r="A1203" s="0" t="s">
        <v>1770</v>
      </c>
      <c r="B1203" s="0" t="n">
        <v>-522811.397242397</v>
      </c>
      <c r="C1203" s="0" t="n">
        <v>1361929.18972375</v>
      </c>
      <c r="D1203" s="0" t="n">
        <f aca="false">IF(B1203&gt;C1203,1,0)</f>
        <v>0</v>
      </c>
    </row>
    <row r="1204" customFormat="false" ht="15" hidden="false" customHeight="false" outlineLevel="0" collapsed="false">
      <c r="A1204" s="0" t="s">
        <v>1771</v>
      </c>
      <c r="B1204" s="0" t="n">
        <v>-684544.306592997</v>
      </c>
      <c r="C1204" s="0" t="n">
        <v>1323818.63368638</v>
      </c>
      <c r="D1204" s="0" t="n">
        <f aca="false">IF(B1204&gt;C1204,1,0)</f>
        <v>0</v>
      </c>
    </row>
    <row r="1205" customFormat="false" ht="15" hidden="false" customHeight="false" outlineLevel="0" collapsed="false">
      <c r="A1205" s="0" t="s">
        <v>788</v>
      </c>
      <c r="B1205" s="0" t="n">
        <v>-1119011.74081439</v>
      </c>
      <c r="C1205" s="0" t="n">
        <v>1360179.58624661</v>
      </c>
      <c r="D1205" s="0" t="n">
        <f aca="false">IF(B1205&gt;C1205,1,0)</f>
        <v>0</v>
      </c>
    </row>
    <row r="1206" customFormat="false" ht="15" hidden="false" customHeight="false" outlineLevel="0" collapsed="false">
      <c r="A1206" s="0" t="s">
        <v>1772</v>
      </c>
      <c r="B1206" s="0" t="n">
        <v>108014.056157609</v>
      </c>
      <c r="C1206" s="0" t="n">
        <v>1429719.10310511</v>
      </c>
      <c r="D1206" s="0" t="n">
        <f aca="false">IF(B1206&gt;C1206,1,0)</f>
        <v>0</v>
      </c>
    </row>
    <row r="1207" customFormat="false" ht="15" hidden="false" customHeight="false" outlineLevel="0" collapsed="false">
      <c r="A1207" s="0" t="s">
        <v>1773</v>
      </c>
      <c r="B1207" s="0" t="n">
        <v>-411938.551723192</v>
      </c>
      <c r="C1207" s="0" t="n">
        <v>1471361.15541339</v>
      </c>
      <c r="D1207" s="0" t="n">
        <f aca="false">IF(B1207&gt;C1207,1,0)</f>
        <v>0</v>
      </c>
    </row>
    <row r="1208" customFormat="false" ht="15" hidden="false" customHeight="false" outlineLevel="0" collapsed="false">
      <c r="A1208" s="0" t="s">
        <v>1774</v>
      </c>
      <c r="B1208" s="0" t="n">
        <v>412365.452717478</v>
      </c>
      <c r="C1208" s="0" t="n">
        <v>1524146.52185006</v>
      </c>
      <c r="D1208" s="0" t="n">
        <f aca="false">IF(B1208&gt;C1208,1,0)</f>
        <v>0</v>
      </c>
    </row>
    <row r="1209" customFormat="false" ht="15" hidden="false" customHeight="false" outlineLevel="0" collapsed="false">
      <c r="A1209" s="0" t="s">
        <v>1775</v>
      </c>
      <c r="B1209" s="0" t="n">
        <v>606254.868533896</v>
      </c>
      <c r="C1209" s="0" t="n">
        <v>1501168.96095765</v>
      </c>
      <c r="D1209" s="0" t="n">
        <f aca="false">IF(B1209&gt;C1209,1,0)</f>
        <v>0</v>
      </c>
    </row>
    <row r="1210" customFormat="false" ht="15" hidden="false" customHeight="false" outlineLevel="0" collapsed="false">
      <c r="A1210" s="0" t="s">
        <v>1776</v>
      </c>
      <c r="B1210" s="0" t="n">
        <v>-445896.124743644</v>
      </c>
      <c r="C1210" s="0" t="n">
        <v>1494146.54395334</v>
      </c>
      <c r="D1210" s="0" t="n">
        <f aca="false">IF(B1210&gt;C1210,1,0)</f>
        <v>0</v>
      </c>
    </row>
    <row r="1211" customFormat="false" ht="15" hidden="false" customHeight="false" outlineLevel="0" collapsed="false">
      <c r="A1211" s="0" t="s">
        <v>1777</v>
      </c>
      <c r="B1211" s="0" t="n">
        <v>-518991.292348348</v>
      </c>
      <c r="C1211" s="0" t="n">
        <v>1500990.26952117</v>
      </c>
      <c r="D1211" s="0" t="n">
        <f aca="false">IF(B1211&gt;C1211,1,0)</f>
        <v>0</v>
      </c>
    </row>
    <row r="1212" customFormat="false" ht="15" hidden="false" customHeight="false" outlineLevel="0" collapsed="false">
      <c r="A1212" s="0" t="s">
        <v>1778</v>
      </c>
      <c r="B1212" s="0" t="n">
        <v>-1514000.54090615</v>
      </c>
      <c r="C1212" s="0" t="n">
        <v>1529567.26270565</v>
      </c>
      <c r="D1212" s="0" t="n">
        <f aca="false">IF(B1212&gt;C1212,1,0)</f>
        <v>0</v>
      </c>
    </row>
    <row r="1213" customFormat="false" ht="15" hidden="false" customHeight="false" outlineLevel="0" collapsed="false">
      <c r="A1213" s="0" t="s">
        <v>1779</v>
      </c>
      <c r="B1213" s="0" t="n">
        <v>-1678397.27312685</v>
      </c>
      <c r="C1213" s="0" t="n">
        <v>1631897.28022564</v>
      </c>
      <c r="D1213" s="0" t="n">
        <f aca="false">IF(B1213&gt;C1213,1,0)</f>
        <v>0</v>
      </c>
    </row>
    <row r="1214" customFormat="false" ht="15" hidden="false" customHeight="false" outlineLevel="0" collapsed="false">
      <c r="A1214" s="0" t="s">
        <v>1780</v>
      </c>
      <c r="B1214" s="0" t="n">
        <v>-1271844.56114831</v>
      </c>
      <c r="C1214" s="0" t="n">
        <v>1676389.41381139</v>
      </c>
      <c r="D1214" s="0" t="n">
        <f aca="false">IF(B1214&gt;C1214,1,0)</f>
        <v>0</v>
      </c>
    </row>
    <row r="1215" customFormat="false" ht="15" hidden="false" customHeight="false" outlineLevel="0" collapsed="false">
      <c r="A1215" s="0" t="s">
        <v>790</v>
      </c>
      <c r="B1215" s="0" t="n">
        <v>-717596.789838016</v>
      </c>
      <c r="C1215" s="0" t="n">
        <v>1720626.89557644</v>
      </c>
      <c r="D1215" s="0" t="n">
        <f aca="false">IF(B1215&gt;C1215,1,0)</f>
        <v>0</v>
      </c>
    </row>
    <row r="1216" customFormat="false" ht="15" hidden="false" customHeight="false" outlineLevel="0" collapsed="false">
      <c r="A1216" s="0" t="s">
        <v>1781</v>
      </c>
      <c r="B1216" s="0" t="n">
        <v>789392.828701774</v>
      </c>
      <c r="C1216" s="0" t="n">
        <v>1741950.6133692</v>
      </c>
      <c r="D1216" s="0" t="n">
        <f aca="false">IF(B1216&gt;C1216,1,0)</f>
        <v>0</v>
      </c>
    </row>
    <row r="1217" customFormat="false" ht="15" hidden="false" customHeight="false" outlineLevel="0" collapsed="false">
      <c r="A1217" s="0" t="s">
        <v>1782</v>
      </c>
      <c r="B1217" s="0" t="n">
        <v>728309.418429213</v>
      </c>
      <c r="C1217" s="0" t="n">
        <v>1733280.13559003</v>
      </c>
      <c r="D1217" s="0" t="n">
        <f aca="false">IF(B1217&gt;C1217,1,0)</f>
        <v>0</v>
      </c>
    </row>
    <row r="1218" customFormat="false" ht="15" hidden="false" customHeight="false" outlineLevel="0" collapsed="false">
      <c r="A1218" s="0" t="s">
        <v>1783</v>
      </c>
      <c r="B1218" s="0" t="n">
        <v>1148698.64330589</v>
      </c>
      <c r="C1218" s="0" t="n">
        <v>1670344.03317047</v>
      </c>
      <c r="D1218" s="0" t="n">
        <f aca="false">IF(B1218&gt;C1218,1,0)</f>
        <v>0</v>
      </c>
    </row>
    <row r="1219" customFormat="false" ht="15" hidden="false" customHeight="false" outlineLevel="0" collapsed="false">
      <c r="A1219" s="0" t="s">
        <v>1784</v>
      </c>
      <c r="B1219" s="0" t="n">
        <v>134576.900461709</v>
      </c>
      <c r="C1219" s="0" t="n">
        <v>1654893.75604027</v>
      </c>
      <c r="D1219" s="0" t="n">
        <f aca="false">IF(B1219&gt;C1219,1,0)</f>
        <v>0</v>
      </c>
    </row>
    <row r="1220" customFormat="false" ht="15" hidden="false" customHeight="false" outlineLevel="0" collapsed="false">
      <c r="A1220" s="0" t="s">
        <v>1785</v>
      </c>
      <c r="B1220" s="0" t="n">
        <v>-740101.014464</v>
      </c>
      <c r="C1220" s="0" t="n">
        <v>1643794.79691633</v>
      </c>
      <c r="D1220" s="0" t="n">
        <f aca="false">IF(B1220&gt;C1220,1,0)</f>
        <v>0</v>
      </c>
    </row>
    <row r="1221" customFormat="false" ht="15" hidden="false" customHeight="false" outlineLevel="0" collapsed="false">
      <c r="A1221" s="0" t="s">
        <v>1786</v>
      </c>
      <c r="B1221" s="0" t="n">
        <v>-267157.939239314</v>
      </c>
      <c r="C1221" s="0" t="n">
        <v>1672304.76578306</v>
      </c>
      <c r="D1221" s="0" t="n">
        <f aca="false">IF(B1221&gt;C1221,1,0)</f>
        <v>0</v>
      </c>
    </row>
    <row r="1222" customFormat="false" ht="15" hidden="false" customHeight="false" outlineLevel="0" collapsed="false">
      <c r="A1222" s="0" t="s">
        <v>1787</v>
      </c>
      <c r="B1222" s="0" t="n">
        <v>-144564.656199537</v>
      </c>
      <c r="C1222" s="0" t="n">
        <v>1665022.05546602</v>
      </c>
      <c r="D1222" s="0" t="n">
        <f aca="false">IF(B1222&gt;C1222,1,0)</f>
        <v>0</v>
      </c>
    </row>
    <row r="1223" customFormat="false" ht="15" hidden="false" customHeight="false" outlineLevel="0" collapsed="false">
      <c r="A1223" s="0" t="s">
        <v>1788</v>
      </c>
      <c r="B1223" s="0" t="n">
        <v>-787456.279055607</v>
      </c>
      <c r="C1223" s="0" t="n">
        <v>1662774.63398852</v>
      </c>
      <c r="D1223" s="0" t="n">
        <f aca="false">IF(B1223&gt;C1223,1,0)</f>
        <v>0</v>
      </c>
    </row>
    <row r="1224" customFormat="false" ht="15" hidden="false" customHeight="false" outlineLevel="0" collapsed="false">
      <c r="A1224" s="0" t="s">
        <v>1789</v>
      </c>
      <c r="B1224" s="0" t="n">
        <v>1546024.42646431</v>
      </c>
      <c r="C1224" s="0" t="n">
        <v>1659700.16531386</v>
      </c>
      <c r="D1224" s="0" t="n">
        <f aca="false">IF(B1224&gt;C1224,1,0)</f>
        <v>0</v>
      </c>
    </row>
    <row r="1225" customFormat="false" ht="15" hidden="false" customHeight="false" outlineLevel="0" collapsed="false">
      <c r="A1225" s="0" t="s">
        <v>792</v>
      </c>
      <c r="B1225" s="0" t="n">
        <v>-783405.735166647</v>
      </c>
      <c r="C1225" s="0" t="n">
        <v>1638842.83814896</v>
      </c>
      <c r="D1225" s="0" t="n">
        <f aca="false">IF(B1225&gt;C1225,1,0)</f>
        <v>0</v>
      </c>
    </row>
    <row r="1226" customFormat="false" ht="15" hidden="false" customHeight="false" outlineLevel="0" collapsed="false">
      <c r="A1226" s="0" t="s">
        <v>1790</v>
      </c>
      <c r="B1226" s="0" t="n">
        <v>685437.263810381</v>
      </c>
      <c r="C1226" s="0" t="n">
        <v>1653197.97597026</v>
      </c>
      <c r="D1226" s="0" t="n">
        <f aca="false">IF(B1226&gt;C1226,1,0)</f>
        <v>0</v>
      </c>
    </row>
    <row r="1227" customFormat="false" ht="15" hidden="false" customHeight="false" outlineLevel="0" collapsed="false">
      <c r="A1227" s="0" t="s">
        <v>1791</v>
      </c>
      <c r="B1227" s="0" t="n">
        <v>-84988.275728967</v>
      </c>
      <c r="C1227" s="0" t="n">
        <v>1641540.23173413</v>
      </c>
      <c r="D1227" s="0" t="n">
        <f aca="false">IF(B1227&gt;C1227,1,0)</f>
        <v>0</v>
      </c>
    </row>
    <row r="1228" customFormat="false" ht="15" hidden="false" customHeight="false" outlineLevel="0" collapsed="false">
      <c r="A1228" s="0" t="s">
        <v>1792</v>
      </c>
      <c r="B1228" s="0" t="n">
        <v>470462.169733491</v>
      </c>
      <c r="C1228" s="0" t="n">
        <v>1683570.79579843</v>
      </c>
      <c r="D1228" s="0" t="n">
        <f aca="false">IF(B1228&gt;C1228,1,0)</f>
        <v>0</v>
      </c>
    </row>
    <row r="1229" customFormat="false" ht="15" hidden="false" customHeight="false" outlineLevel="0" collapsed="false">
      <c r="A1229" s="0" t="s">
        <v>1793</v>
      </c>
      <c r="B1229" s="0" t="n">
        <v>313764.271037486</v>
      </c>
      <c r="C1229" s="0" t="n">
        <v>1616987.92321277</v>
      </c>
      <c r="D1229" s="0" t="n">
        <f aca="false">IF(B1229&gt;C1229,1,0)</f>
        <v>0</v>
      </c>
    </row>
    <row r="1230" customFormat="false" ht="15" hidden="false" customHeight="false" outlineLevel="0" collapsed="false">
      <c r="A1230" s="0" t="s">
        <v>1794</v>
      </c>
      <c r="B1230" s="0" t="n">
        <v>-269199.887639903</v>
      </c>
      <c r="C1230" s="0" t="n">
        <v>1611575.52833609</v>
      </c>
      <c r="D1230" s="0" t="n">
        <f aca="false">IF(B1230&gt;C1230,1,0)</f>
        <v>0</v>
      </c>
    </row>
    <row r="1231" customFormat="false" ht="15" hidden="false" customHeight="false" outlineLevel="0" collapsed="false">
      <c r="A1231" s="0" t="s">
        <v>1795</v>
      </c>
      <c r="B1231" s="0" t="n">
        <v>144999.972160036</v>
      </c>
      <c r="C1231" s="0" t="n">
        <v>1617983.84923599</v>
      </c>
      <c r="D1231" s="0" t="n">
        <f aca="false">IF(B1231&gt;C1231,1,0)</f>
        <v>0</v>
      </c>
    </row>
    <row r="1232" customFormat="false" ht="15" hidden="false" customHeight="false" outlineLevel="0" collapsed="false">
      <c r="A1232" s="0" t="s">
        <v>1796</v>
      </c>
      <c r="B1232" s="0" t="n">
        <v>-497965.053503992</v>
      </c>
      <c r="C1232" s="0" t="n">
        <v>1622914.86653486</v>
      </c>
      <c r="D1232" s="0" t="n">
        <f aca="false">IF(B1232&gt;C1232,1,0)</f>
        <v>0</v>
      </c>
    </row>
    <row r="1233" customFormat="false" ht="15" hidden="false" customHeight="false" outlineLevel="0" collapsed="false">
      <c r="A1233" s="0" t="s">
        <v>1797</v>
      </c>
      <c r="B1233" s="0" t="n">
        <v>666818.907964174</v>
      </c>
      <c r="C1233" s="0" t="n">
        <v>1612118.59018551</v>
      </c>
      <c r="D1233" s="0" t="n">
        <f aca="false">IF(B1233&gt;C1233,1,0)</f>
        <v>0</v>
      </c>
    </row>
    <row r="1234" customFormat="false" ht="15" hidden="false" customHeight="false" outlineLevel="0" collapsed="false">
      <c r="A1234" s="0" t="s">
        <v>1798</v>
      </c>
      <c r="B1234" s="0" t="n">
        <v>1481817.58968525</v>
      </c>
      <c r="C1234" s="0" t="n">
        <v>1624019.30959469</v>
      </c>
      <c r="D1234" s="0" t="n">
        <f aca="false">IF(B1234&gt;C1234,1,0)</f>
        <v>0</v>
      </c>
    </row>
    <row r="1235" customFormat="false" ht="15" hidden="false" customHeight="false" outlineLevel="0" collapsed="false">
      <c r="A1235" s="0" t="s">
        <v>794</v>
      </c>
      <c r="B1235" s="0" t="n">
        <v>373871.987210695</v>
      </c>
      <c r="C1235" s="0" t="n">
        <v>1558449.26392994</v>
      </c>
      <c r="D1235" s="0" t="n">
        <f aca="false">IF(B1235&gt;C1235,1,0)</f>
        <v>0</v>
      </c>
    </row>
    <row r="1236" customFormat="false" ht="15" hidden="false" customHeight="false" outlineLevel="0" collapsed="false">
      <c r="A1236" s="0" t="s">
        <v>1799</v>
      </c>
      <c r="B1236" s="0" t="n">
        <v>637878.856605597</v>
      </c>
      <c r="C1236" s="0" t="n">
        <v>1542564.85521679</v>
      </c>
      <c r="D1236" s="0" t="n">
        <f aca="false">IF(B1236&gt;C1236,1,0)</f>
        <v>0</v>
      </c>
    </row>
    <row r="1237" customFormat="false" ht="15" hidden="false" customHeight="false" outlineLevel="0" collapsed="false">
      <c r="A1237" s="0" t="s">
        <v>1800</v>
      </c>
      <c r="B1237" s="0" t="n">
        <v>237639.094570251</v>
      </c>
      <c r="C1237" s="0" t="n">
        <v>1447360.36050702</v>
      </c>
      <c r="D1237" s="0" t="n">
        <f aca="false">IF(B1237&gt;C1237,1,0)</f>
        <v>0</v>
      </c>
    </row>
    <row r="1238" customFormat="false" ht="15" hidden="false" customHeight="false" outlineLevel="0" collapsed="false">
      <c r="A1238" s="0" t="s">
        <v>1801</v>
      </c>
      <c r="B1238" s="0" t="n">
        <v>68415.6134792883</v>
      </c>
      <c r="C1238" s="0" t="n">
        <v>1460977.64380224</v>
      </c>
      <c r="D1238" s="0" t="n">
        <f aca="false">IF(B1238&gt;C1238,1,0)</f>
        <v>0</v>
      </c>
    </row>
    <row r="1239" customFormat="false" ht="15" hidden="false" customHeight="false" outlineLevel="0" collapsed="false">
      <c r="A1239" s="0" t="s">
        <v>1802</v>
      </c>
      <c r="B1239" s="0" t="n">
        <v>-71144.8982096184</v>
      </c>
      <c r="C1239" s="0" t="n">
        <v>1429410.41062366</v>
      </c>
      <c r="D1239" s="0" t="n">
        <f aca="false">IF(B1239&gt;C1239,1,0)</f>
        <v>0</v>
      </c>
    </row>
    <row r="1240" customFormat="false" ht="15" hidden="false" customHeight="false" outlineLevel="0" collapsed="false">
      <c r="A1240" s="0" t="s">
        <v>1803</v>
      </c>
      <c r="B1240" s="0" t="n">
        <v>-600770.373726727</v>
      </c>
      <c r="C1240" s="0" t="n">
        <v>1386382.76530063</v>
      </c>
      <c r="D1240" s="0" t="n">
        <f aca="false">IF(B1240&gt;C1240,1,0)</f>
        <v>0</v>
      </c>
    </row>
    <row r="1241" customFormat="false" ht="15" hidden="false" customHeight="false" outlineLevel="0" collapsed="false">
      <c r="A1241" s="0" t="s">
        <v>1804</v>
      </c>
      <c r="B1241" s="0" t="n">
        <v>101139.081905942</v>
      </c>
      <c r="C1241" s="0" t="n">
        <v>1423463.47928598</v>
      </c>
      <c r="D1241" s="0" t="n">
        <f aca="false">IF(B1241&gt;C1241,1,0)</f>
        <v>0</v>
      </c>
    </row>
    <row r="1242" customFormat="false" ht="15" hidden="false" customHeight="false" outlineLevel="0" collapsed="false">
      <c r="A1242" s="0" t="s">
        <v>1805</v>
      </c>
      <c r="B1242" s="0" t="n">
        <v>245091.901033193</v>
      </c>
      <c r="C1242" s="0" t="n">
        <v>1417238.3103162</v>
      </c>
      <c r="D1242" s="0" t="n">
        <f aca="false">IF(B1242&gt;C1242,1,0)</f>
        <v>0</v>
      </c>
    </row>
    <row r="1243" customFormat="false" ht="15" hidden="false" customHeight="false" outlineLevel="0" collapsed="false">
      <c r="A1243" s="0" t="s">
        <v>1806</v>
      </c>
      <c r="B1243" s="0" t="n">
        <v>-78821.065793924</v>
      </c>
      <c r="C1243" s="0" t="n">
        <v>1403755.95700268</v>
      </c>
      <c r="D1243" s="0" t="n">
        <f aca="false">IF(B1243&gt;C1243,1,0)</f>
        <v>0</v>
      </c>
    </row>
    <row r="1244" customFormat="false" ht="15" hidden="false" customHeight="false" outlineLevel="0" collapsed="false">
      <c r="A1244" s="0" t="s">
        <v>1807</v>
      </c>
      <c r="B1244" s="0" t="n">
        <v>101420.492357692</v>
      </c>
      <c r="C1244" s="0" t="n">
        <v>1412454.31645526</v>
      </c>
      <c r="D1244" s="0" t="n">
        <f aca="false">IF(B1244&gt;C1244,1,0)</f>
        <v>0</v>
      </c>
    </row>
    <row r="1245" customFormat="false" ht="15" hidden="false" customHeight="false" outlineLevel="0" collapsed="false">
      <c r="A1245" s="0" t="s">
        <v>796</v>
      </c>
      <c r="B1245" s="0" t="n">
        <v>176837.321275679</v>
      </c>
      <c r="C1245" s="0" t="n">
        <v>1400390.67794651</v>
      </c>
      <c r="D1245" s="0" t="n">
        <f aca="false">IF(B1245&gt;C1245,1,0)</f>
        <v>0</v>
      </c>
    </row>
    <row r="1246" customFormat="false" ht="15" hidden="false" customHeight="false" outlineLevel="0" collapsed="false">
      <c r="A1246" s="0" t="s">
        <v>1808</v>
      </c>
      <c r="B1246" s="0" t="n">
        <v>276902.325678369</v>
      </c>
      <c r="C1246" s="0" t="n">
        <v>1393916.80322922</v>
      </c>
      <c r="D1246" s="0" t="n">
        <f aca="false">IF(B1246&gt;C1246,1,0)</f>
        <v>0</v>
      </c>
    </row>
    <row r="1247" customFormat="false" ht="15" hidden="false" customHeight="false" outlineLevel="0" collapsed="false">
      <c r="A1247" s="0" t="s">
        <v>1809</v>
      </c>
      <c r="B1247" s="0" t="n">
        <v>-976682.808265401</v>
      </c>
      <c r="C1247" s="0" t="n">
        <v>1362869.19193401</v>
      </c>
      <c r="D1247" s="0" t="n">
        <f aca="false">IF(B1247&gt;C1247,1,0)</f>
        <v>0</v>
      </c>
    </row>
    <row r="1248" customFormat="false" ht="15" hidden="false" customHeight="false" outlineLevel="0" collapsed="false">
      <c r="A1248" s="0" t="s">
        <v>1810</v>
      </c>
      <c r="B1248" s="0" t="n">
        <v>-374255.595027078</v>
      </c>
      <c r="C1248" s="0" t="n">
        <v>1374095.53452757</v>
      </c>
      <c r="D1248" s="0" t="n">
        <f aca="false">IF(B1248&gt;C1248,1,0)</f>
        <v>0</v>
      </c>
    </row>
    <row r="1249" customFormat="false" ht="15" hidden="false" customHeight="false" outlineLevel="0" collapsed="false">
      <c r="A1249" s="0" t="s">
        <v>1811</v>
      </c>
      <c r="B1249" s="0" t="n">
        <v>-500743.192932064</v>
      </c>
      <c r="C1249" s="0" t="n">
        <v>1396580.36153161</v>
      </c>
      <c r="D1249" s="0" t="n">
        <f aca="false">IF(B1249&gt;C1249,1,0)</f>
        <v>0</v>
      </c>
    </row>
    <row r="1250" customFormat="false" ht="15" hidden="false" customHeight="false" outlineLevel="0" collapsed="false">
      <c r="A1250" s="0" t="s">
        <v>1812</v>
      </c>
      <c r="B1250" s="0" t="n">
        <v>-186654.943092275</v>
      </c>
      <c r="C1250" s="0" t="n">
        <v>1506580.24784689</v>
      </c>
      <c r="D1250" s="0" t="n">
        <f aca="false">IF(B1250&gt;C1250,1,0)</f>
        <v>0</v>
      </c>
    </row>
    <row r="1251" customFormat="false" ht="15" hidden="false" customHeight="false" outlineLevel="0" collapsed="false">
      <c r="A1251" s="0" t="s">
        <v>1813</v>
      </c>
      <c r="B1251" s="0" t="n">
        <v>351511.683147494</v>
      </c>
      <c r="C1251" s="0" t="n">
        <v>1560643.07102759</v>
      </c>
      <c r="D1251" s="0" t="n">
        <f aca="false">IF(B1251&gt;C1251,1,0)</f>
        <v>0</v>
      </c>
    </row>
    <row r="1252" customFormat="false" ht="15" hidden="false" customHeight="false" outlineLevel="0" collapsed="false">
      <c r="A1252" s="0" t="s">
        <v>1814</v>
      </c>
      <c r="B1252" s="0" t="n">
        <v>-60377.2394019384</v>
      </c>
      <c r="C1252" s="0" t="n">
        <v>1471334.4564997</v>
      </c>
      <c r="D1252" s="0" t="n">
        <f aca="false">IF(B1252&gt;C1252,1,0)</f>
        <v>0</v>
      </c>
    </row>
    <row r="1253" customFormat="false" ht="15" hidden="false" customHeight="false" outlineLevel="0" collapsed="false">
      <c r="A1253" s="0" t="s">
        <v>1815</v>
      </c>
      <c r="B1253" s="0" t="n">
        <v>-374414.912314951</v>
      </c>
      <c r="C1253" s="0" t="n">
        <v>1531996.9928878</v>
      </c>
      <c r="D1253" s="0" t="n">
        <f aca="false">IF(B1253&gt;C1253,1,0)</f>
        <v>0</v>
      </c>
    </row>
    <row r="1254" customFormat="false" ht="15" hidden="false" customHeight="false" outlineLevel="0" collapsed="false">
      <c r="A1254" s="0" t="s">
        <v>1816</v>
      </c>
      <c r="B1254" s="0" t="n">
        <v>134931.301817754</v>
      </c>
      <c r="C1254" s="0" t="n">
        <v>1556498.17476953</v>
      </c>
      <c r="D1254" s="0" t="n">
        <f aca="false">IF(B1254&gt;C1254,1,0)</f>
        <v>0</v>
      </c>
    </row>
    <row r="1255" customFormat="false" ht="15" hidden="false" customHeight="false" outlineLevel="0" collapsed="false">
      <c r="A1255" s="0" t="s">
        <v>798</v>
      </c>
      <c r="B1255" s="0" t="n">
        <v>-832659.906906463</v>
      </c>
      <c r="C1255" s="0" t="n">
        <v>1568391.80576319</v>
      </c>
      <c r="D1255" s="0" t="n">
        <f aca="false">IF(B1255&gt;C1255,1,0)</f>
        <v>0</v>
      </c>
    </row>
    <row r="1256" customFormat="false" ht="15" hidden="false" customHeight="false" outlineLevel="0" collapsed="false">
      <c r="A1256" s="0" t="s">
        <v>1817</v>
      </c>
      <c r="B1256" s="0" t="n">
        <v>-67471.1115760095</v>
      </c>
      <c r="C1256" s="0" t="n">
        <v>1582743.88320385</v>
      </c>
      <c r="D1256" s="0" t="n">
        <f aca="false">IF(B1256&gt;C1256,1,0)</f>
        <v>0</v>
      </c>
    </row>
    <row r="1257" customFormat="false" ht="15" hidden="false" customHeight="false" outlineLevel="0" collapsed="false">
      <c r="A1257" s="0" t="s">
        <v>1818</v>
      </c>
      <c r="B1257" s="0" t="n">
        <v>160322.34788643</v>
      </c>
      <c r="C1257" s="0" t="n">
        <v>1586493.3373162</v>
      </c>
      <c r="D1257" s="0" t="n">
        <f aca="false">IF(B1257&gt;C1257,1,0)</f>
        <v>0</v>
      </c>
    </row>
    <row r="1258" customFormat="false" ht="15" hidden="false" customHeight="false" outlineLevel="0" collapsed="false">
      <c r="A1258" s="0" t="s">
        <v>1819</v>
      </c>
      <c r="B1258" s="0" t="n">
        <v>224746.577337718</v>
      </c>
      <c r="C1258" s="0" t="n">
        <v>1568216.37931867</v>
      </c>
      <c r="D1258" s="0" t="n">
        <f aca="false">IF(B1258&gt;C1258,1,0)</f>
        <v>0</v>
      </c>
    </row>
    <row r="1259" customFormat="false" ht="15" hidden="false" customHeight="false" outlineLevel="0" collapsed="false">
      <c r="A1259" s="0" t="s">
        <v>1820</v>
      </c>
      <c r="B1259" s="0" t="n">
        <v>32738.3867828436</v>
      </c>
      <c r="C1259" s="0" t="n">
        <v>1551104.18558012</v>
      </c>
      <c r="D1259" s="0" t="n">
        <f aca="false">IF(B1259&gt;C1259,1,0)</f>
        <v>0</v>
      </c>
    </row>
    <row r="1260" customFormat="false" ht="15" hidden="false" customHeight="false" outlineLevel="0" collapsed="false">
      <c r="A1260" s="0" t="s">
        <v>1821</v>
      </c>
      <c r="B1260" s="0" t="n">
        <v>445297.607072039</v>
      </c>
      <c r="C1260" s="0" t="n">
        <v>1544408.98542947</v>
      </c>
      <c r="D1260" s="0" t="n">
        <f aca="false">IF(B1260&gt;C1260,1,0)</f>
        <v>0</v>
      </c>
    </row>
    <row r="1261" customFormat="false" ht="15" hidden="false" customHeight="false" outlineLevel="0" collapsed="false">
      <c r="A1261" s="0" t="s">
        <v>1822</v>
      </c>
      <c r="B1261" s="0" t="n">
        <v>120116.389880059</v>
      </c>
      <c r="C1261" s="0" t="n">
        <v>1540206.11248716</v>
      </c>
      <c r="D1261" s="0" t="n">
        <f aca="false">IF(B1261&gt;C1261,1,0)</f>
        <v>0</v>
      </c>
    </row>
    <row r="1262" customFormat="false" ht="15" hidden="false" customHeight="false" outlineLevel="0" collapsed="false">
      <c r="A1262" s="0" t="s">
        <v>1823</v>
      </c>
      <c r="B1262" s="0" t="n">
        <v>-165910.621416332</v>
      </c>
      <c r="C1262" s="0" t="n">
        <v>1524122.62849066</v>
      </c>
      <c r="D1262" s="0" t="n">
        <f aca="false">IF(B1262&gt;C1262,1,0)</f>
        <v>0</v>
      </c>
    </row>
    <row r="1263" customFormat="false" ht="15" hidden="false" customHeight="false" outlineLevel="0" collapsed="false">
      <c r="A1263" s="0" t="s">
        <v>1824</v>
      </c>
      <c r="B1263" s="0" t="n">
        <v>235097.371734286</v>
      </c>
      <c r="C1263" s="0" t="n">
        <v>1510258.86023115</v>
      </c>
      <c r="D1263" s="0" t="n">
        <f aca="false">IF(B1263&gt;C1263,1,0)</f>
        <v>0</v>
      </c>
    </row>
    <row r="1264" customFormat="false" ht="15" hidden="false" customHeight="false" outlineLevel="0" collapsed="false">
      <c r="A1264" s="0" t="s">
        <v>1825</v>
      </c>
      <c r="B1264" s="0" t="n">
        <v>168108.758854622</v>
      </c>
      <c r="C1264" s="0" t="n">
        <v>1496513.99770484</v>
      </c>
      <c r="D1264" s="0" t="n">
        <f aca="false">IF(B1264&gt;C1264,1,0)</f>
        <v>0</v>
      </c>
    </row>
    <row r="1265" customFormat="false" ht="15" hidden="false" customHeight="false" outlineLevel="0" collapsed="false">
      <c r="A1265" s="0" t="s">
        <v>800</v>
      </c>
      <c r="B1265" s="0" t="n">
        <v>166566.770449434</v>
      </c>
      <c r="C1265" s="0" t="n">
        <v>1473706.0883959</v>
      </c>
      <c r="D1265" s="0" t="n">
        <f aca="false">IF(B1265&gt;C1265,1,0)</f>
        <v>0</v>
      </c>
    </row>
    <row r="1266" customFormat="false" ht="15" hidden="false" customHeight="false" outlineLevel="0" collapsed="false">
      <c r="A1266" s="0" t="s">
        <v>1826</v>
      </c>
      <c r="B1266" s="0" t="n">
        <v>474693.015879238</v>
      </c>
      <c r="C1266" s="0" t="n">
        <v>1513025.98883764</v>
      </c>
      <c r="D1266" s="0" t="n">
        <f aca="false">IF(B1266&gt;C1266,1,0)</f>
        <v>0</v>
      </c>
    </row>
    <row r="1267" customFormat="false" ht="15" hidden="false" customHeight="false" outlineLevel="0" collapsed="false">
      <c r="A1267" s="0" t="s">
        <v>1827</v>
      </c>
      <c r="B1267" s="0" t="n">
        <v>240018.027644115</v>
      </c>
      <c r="C1267" s="0" t="n">
        <v>1446523.0350878</v>
      </c>
      <c r="D1267" s="0" t="n">
        <f aca="false">IF(B1267&gt;C1267,1,0)</f>
        <v>0</v>
      </c>
    </row>
    <row r="1268" customFormat="false" ht="15" hidden="false" customHeight="false" outlineLevel="0" collapsed="false">
      <c r="A1268" s="0" t="s">
        <v>1828</v>
      </c>
      <c r="B1268" s="0" t="n">
        <v>90332.928307198</v>
      </c>
      <c r="C1268" s="0" t="n">
        <v>1447833.70526893</v>
      </c>
      <c r="D1268" s="0" t="n">
        <f aca="false">IF(B1268&gt;C1268,1,0)</f>
        <v>0</v>
      </c>
    </row>
    <row r="1269" customFormat="false" ht="15" hidden="false" customHeight="false" outlineLevel="0" collapsed="false">
      <c r="A1269" s="0" t="s">
        <v>1829</v>
      </c>
      <c r="B1269" s="0" t="n">
        <v>-120324.354905134</v>
      </c>
      <c r="C1269" s="0" t="n">
        <v>1442927.97383056</v>
      </c>
      <c r="D1269" s="0" t="n">
        <f aca="false">IF(B1269&gt;C1269,1,0)</f>
        <v>0</v>
      </c>
    </row>
    <row r="1270" customFormat="false" ht="15" hidden="false" customHeight="false" outlineLevel="0" collapsed="false">
      <c r="A1270" s="0" t="s">
        <v>1830</v>
      </c>
      <c r="B1270" s="0" t="n">
        <v>-5028.07389273308</v>
      </c>
      <c r="C1270" s="0" t="n">
        <v>1492717.46616904</v>
      </c>
      <c r="D1270" s="0" t="n">
        <f aca="false">IF(B1270&gt;C1270,1,0)</f>
        <v>0</v>
      </c>
    </row>
    <row r="1271" customFormat="false" ht="15" hidden="false" customHeight="false" outlineLevel="0" collapsed="false">
      <c r="A1271" s="0" t="s">
        <v>1831</v>
      </c>
      <c r="B1271" s="0" t="n">
        <v>132728.84310119</v>
      </c>
      <c r="C1271" s="0" t="n">
        <v>1540838.63542927</v>
      </c>
      <c r="D1271" s="0" t="n">
        <f aca="false">IF(B1271&gt;C1271,1,0)</f>
        <v>0</v>
      </c>
    </row>
    <row r="1272" customFormat="false" ht="15" hidden="false" customHeight="false" outlineLevel="0" collapsed="false">
      <c r="A1272" s="0" t="s">
        <v>1832</v>
      </c>
      <c r="B1272" s="0" t="n">
        <v>252891.122894956</v>
      </c>
      <c r="C1272" s="0" t="n">
        <v>1521582.73447309</v>
      </c>
      <c r="D1272" s="0" t="n">
        <f aca="false">IF(B1272&gt;C1272,1,0)</f>
        <v>0</v>
      </c>
    </row>
    <row r="1273" customFormat="false" ht="15" hidden="false" customHeight="false" outlineLevel="0" collapsed="false">
      <c r="A1273" s="0" t="s">
        <v>1833</v>
      </c>
      <c r="B1273" s="0" t="n">
        <v>-215131.810423723</v>
      </c>
      <c r="C1273" s="0" t="n">
        <v>1482403.64834146</v>
      </c>
      <c r="D1273" s="0" t="n">
        <f aca="false">IF(B1273&gt;C1273,1,0)</f>
        <v>0</v>
      </c>
    </row>
    <row r="1274" customFormat="false" ht="15" hidden="false" customHeight="false" outlineLevel="0" collapsed="false">
      <c r="A1274" s="0" t="s">
        <v>1834</v>
      </c>
      <c r="B1274" s="0" t="n">
        <v>994.587317790836</v>
      </c>
      <c r="C1274" s="0" t="n">
        <v>1541908.75324576</v>
      </c>
      <c r="D1274" s="0" t="n">
        <f aca="false">IF(B1274&gt;C1274,1,0)</f>
        <v>0</v>
      </c>
    </row>
    <row r="1275" customFormat="false" ht="15" hidden="false" customHeight="false" outlineLevel="0" collapsed="false">
      <c r="A1275" s="0" t="s">
        <v>802</v>
      </c>
      <c r="B1275" s="0" t="n">
        <v>121855.212656433</v>
      </c>
      <c r="C1275" s="0" t="n">
        <v>1591710.71746245</v>
      </c>
      <c r="D1275" s="0" t="n">
        <f aca="false">IF(B1275&gt;C1275,1,0)</f>
        <v>0</v>
      </c>
    </row>
    <row r="1276" customFormat="false" ht="15" hidden="false" customHeight="false" outlineLevel="0" collapsed="false">
      <c r="A1276" s="0" t="s">
        <v>1835</v>
      </c>
      <c r="B1276" s="0" t="n">
        <v>-391071.153744552</v>
      </c>
      <c r="C1276" s="0" t="n">
        <v>1589939.79356569</v>
      </c>
      <c r="D1276" s="0" t="n">
        <f aca="false">IF(B1276&gt;C1276,1,0)</f>
        <v>0</v>
      </c>
    </row>
    <row r="1277" customFormat="false" ht="15" hidden="false" customHeight="false" outlineLevel="0" collapsed="false">
      <c r="A1277" s="0" t="s">
        <v>1836</v>
      </c>
      <c r="B1277" s="0" t="n">
        <v>345440.151494835</v>
      </c>
      <c r="C1277" s="0" t="n">
        <v>1559351.65160701</v>
      </c>
      <c r="D1277" s="0" t="n">
        <f aca="false">IF(B1277&gt;C1277,1,0)</f>
        <v>0</v>
      </c>
    </row>
    <row r="1278" customFormat="false" ht="15" hidden="false" customHeight="false" outlineLevel="0" collapsed="false">
      <c r="A1278" s="0" t="s">
        <v>1837</v>
      </c>
      <c r="B1278" s="0" t="n">
        <v>348296.401587501</v>
      </c>
      <c r="C1278" s="0" t="n">
        <v>1507199.02366603</v>
      </c>
      <c r="D1278" s="0" t="n">
        <f aca="false">IF(B1278&gt;C1278,1,0)</f>
        <v>0</v>
      </c>
    </row>
    <row r="1279" customFormat="false" ht="15" hidden="false" customHeight="false" outlineLevel="0" collapsed="false">
      <c r="A1279" s="0" t="s">
        <v>1838</v>
      </c>
      <c r="B1279" s="0" t="n">
        <v>278931.119031709</v>
      </c>
      <c r="C1279" s="0" t="n">
        <v>1472432.44838249</v>
      </c>
      <c r="D1279" s="0" t="n">
        <f aca="false">IF(B1279&gt;C1279,1,0)</f>
        <v>0</v>
      </c>
    </row>
    <row r="1280" customFormat="false" ht="15" hidden="false" customHeight="false" outlineLevel="0" collapsed="false">
      <c r="A1280" s="0" t="s">
        <v>1839</v>
      </c>
      <c r="B1280" s="0" t="n">
        <v>238478.658844998</v>
      </c>
      <c r="C1280" s="0" t="n">
        <v>1457279.12189987</v>
      </c>
      <c r="D1280" s="0" t="n">
        <f aca="false">IF(B1280&gt;C1280,1,0)</f>
        <v>0</v>
      </c>
    </row>
    <row r="1281" customFormat="false" ht="15" hidden="false" customHeight="false" outlineLevel="0" collapsed="false">
      <c r="A1281" s="0" t="s">
        <v>1840</v>
      </c>
      <c r="B1281" s="0" t="n">
        <v>10513.1648817379</v>
      </c>
      <c r="C1281" s="0" t="n">
        <v>1441236.47620175</v>
      </c>
      <c r="D1281" s="0" t="n">
        <f aca="false">IF(B1281&gt;C1281,1,0)</f>
        <v>0</v>
      </c>
    </row>
    <row r="1282" customFormat="false" ht="15" hidden="false" customHeight="false" outlineLevel="0" collapsed="false">
      <c r="A1282" s="0" t="s">
        <v>1841</v>
      </c>
      <c r="B1282" s="0" t="n">
        <v>321482.163228581</v>
      </c>
      <c r="C1282" s="0" t="n">
        <v>1554643.43987351</v>
      </c>
      <c r="D1282" s="0" t="n">
        <f aca="false">IF(B1282&gt;C1282,1,0)</f>
        <v>0</v>
      </c>
    </row>
    <row r="1283" customFormat="false" ht="15" hidden="false" customHeight="false" outlineLevel="0" collapsed="false">
      <c r="A1283" s="0" t="s">
        <v>1842</v>
      </c>
      <c r="B1283" s="0" t="n">
        <v>-67381.3009111174</v>
      </c>
      <c r="C1283" s="0" t="n">
        <v>1444393.02048038</v>
      </c>
      <c r="D1283" s="0" t="n">
        <f aca="false">IF(B1283&gt;C1283,1,0)</f>
        <v>0</v>
      </c>
    </row>
    <row r="1284" customFormat="false" ht="15" hidden="false" customHeight="false" outlineLevel="0" collapsed="false">
      <c r="A1284" s="0" t="s">
        <v>1843</v>
      </c>
      <c r="B1284" s="0" t="n">
        <v>-387276.451075189</v>
      </c>
      <c r="C1284" s="0" t="n">
        <v>1474164.52488811</v>
      </c>
      <c r="D1284" s="0" t="n">
        <f aca="false">IF(B1284&gt;C1284,1,0)</f>
        <v>0</v>
      </c>
    </row>
    <row r="1285" customFormat="false" ht="15" hidden="false" customHeight="false" outlineLevel="0" collapsed="false">
      <c r="A1285" s="0" t="s">
        <v>804</v>
      </c>
      <c r="B1285" s="0" t="n">
        <v>-328655.212680761</v>
      </c>
      <c r="C1285" s="0" t="n">
        <v>1535240.09552904</v>
      </c>
      <c r="D1285" s="0" t="n">
        <f aca="false">IF(B1285&gt;C1285,1,0)</f>
        <v>0</v>
      </c>
    </row>
    <row r="1286" customFormat="false" ht="15" hidden="false" customHeight="false" outlineLevel="0" collapsed="false">
      <c r="A1286" s="0" t="s">
        <v>1844</v>
      </c>
      <c r="B1286" s="0" t="n">
        <v>206205.868945889</v>
      </c>
      <c r="C1286" s="0" t="n">
        <v>1609567.13377894</v>
      </c>
      <c r="D1286" s="0" t="n">
        <f aca="false">IF(B1286&gt;C1286,1,0)</f>
        <v>0</v>
      </c>
    </row>
    <row r="1287" customFormat="false" ht="15" hidden="false" customHeight="false" outlineLevel="0" collapsed="false">
      <c r="A1287" s="0" t="s">
        <v>1845</v>
      </c>
      <c r="B1287" s="0" t="n">
        <v>-83971.0026179925</v>
      </c>
      <c r="C1287" s="0" t="n">
        <v>1536485.27556522</v>
      </c>
      <c r="D1287" s="0" t="n">
        <f aca="false">IF(B1287&gt;C1287,1,0)</f>
        <v>0</v>
      </c>
    </row>
    <row r="1288" customFormat="false" ht="15" hidden="false" customHeight="false" outlineLevel="0" collapsed="false">
      <c r="A1288" s="0" t="s">
        <v>1846</v>
      </c>
      <c r="B1288" s="0" t="n">
        <v>-641933.863398597</v>
      </c>
      <c r="C1288" s="0" t="n">
        <v>1574457.77602138</v>
      </c>
      <c r="D1288" s="0" t="n">
        <f aca="false">IF(B1288&gt;C1288,1,0)</f>
        <v>0</v>
      </c>
    </row>
    <row r="1289" customFormat="false" ht="15" hidden="false" customHeight="false" outlineLevel="0" collapsed="false">
      <c r="A1289" s="0" t="s">
        <v>1847</v>
      </c>
      <c r="B1289" s="0" t="n">
        <v>-57609.0553792976</v>
      </c>
      <c r="C1289" s="0" t="n">
        <v>1475425.13272951</v>
      </c>
      <c r="D1289" s="0" t="n">
        <f aca="false">IF(B1289&gt;C1289,1,0)</f>
        <v>0</v>
      </c>
    </row>
    <row r="1290" customFormat="false" ht="15" hidden="false" customHeight="false" outlineLevel="0" collapsed="false">
      <c r="A1290" s="0" t="s">
        <v>1848</v>
      </c>
      <c r="B1290" s="0" t="n">
        <v>391534.257277558</v>
      </c>
      <c r="C1290" s="0" t="n">
        <v>1475675.56752269</v>
      </c>
      <c r="D1290" s="0" t="n">
        <f aca="false">IF(B1290&gt;C1290,1,0)</f>
        <v>0</v>
      </c>
    </row>
    <row r="1291" customFormat="false" ht="15" hidden="false" customHeight="false" outlineLevel="0" collapsed="false">
      <c r="A1291" s="0" t="s">
        <v>1849</v>
      </c>
      <c r="B1291" s="0" t="n">
        <v>233086.268244544</v>
      </c>
      <c r="C1291" s="0" t="n">
        <v>1480145.82726118</v>
      </c>
      <c r="D1291" s="0" t="n">
        <f aca="false">IF(B1291&gt;C1291,1,0)</f>
        <v>0</v>
      </c>
    </row>
    <row r="1292" customFormat="false" ht="15" hidden="false" customHeight="false" outlineLevel="0" collapsed="false">
      <c r="A1292" s="0" t="s">
        <v>1850</v>
      </c>
      <c r="B1292" s="0" t="n">
        <v>159240.825798746</v>
      </c>
      <c r="C1292" s="0" t="n">
        <v>1485297.49862446</v>
      </c>
      <c r="D1292" s="0" t="n">
        <f aca="false">IF(B1292&gt;C1292,1,0)</f>
        <v>0</v>
      </c>
    </row>
    <row r="1293" customFormat="false" ht="15" hidden="false" customHeight="false" outlineLevel="0" collapsed="false">
      <c r="A1293" s="0" t="s">
        <v>1851</v>
      </c>
      <c r="B1293" s="0" t="n">
        <v>340807.566219797</v>
      </c>
      <c r="C1293" s="0" t="n">
        <v>1478351.28606474</v>
      </c>
      <c r="D1293" s="0" t="n">
        <f aca="false">IF(B1293&gt;C1293,1,0)</f>
        <v>0</v>
      </c>
    </row>
    <row r="1294" customFormat="false" ht="15" hidden="false" customHeight="false" outlineLevel="0" collapsed="false">
      <c r="A1294" s="0" t="s">
        <v>1852</v>
      </c>
      <c r="B1294" s="0" t="n">
        <v>285371.382266233</v>
      </c>
      <c r="C1294" s="0" t="n">
        <v>1476580.68147515</v>
      </c>
      <c r="D1294" s="0" t="n">
        <f aca="false">IF(B1294&gt;C1294,1,0)</f>
        <v>0</v>
      </c>
    </row>
    <row r="1295" customFormat="false" ht="15" hidden="false" customHeight="false" outlineLevel="0" collapsed="false">
      <c r="A1295" s="0" t="s">
        <v>806</v>
      </c>
      <c r="B1295" s="0" t="n">
        <v>394410.303366841</v>
      </c>
      <c r="C1295" s="0" t="n">
        <v>1474308.16969132</v>
      </c>
      <c r="D1295" s="0" t="n">
        <f aca="false">IF(B1295&gt;C1295,1,0)</f>
        <v>0</v>
      </c>
    </row>
    <row r="1296" customFormat="false" ht="15" hidden="false" customHeight="false" outlineLevel="0" collapsed="false">
      <c r="A1296" s="0" t="s">
        <v>1853</v>
      </c>
      <c r="B1296" s="0" t="n">
        <v>-833119.726686246</v>
      </c>
      <c r="C1296" s="0" t="n">
        <v>1444037.22387358</v>
      </c>
      <c r="D1296" s="0" t="n">
        <f aca="false">IF(B1296&gt;C1296,1,0)</f>
        <v>0</v>
      </c>
    </row>
    <row r="1297" customFormat="false" ht="15" hidden="false" customHeight="false" outlineLevel="0" collapsed="false">
      <c r="A1297" s="0" t="s">
        <v>1854</v>
      </c>
      <c r="B1297" s="0" t="n">
        <v>267519.114592366</v>
      </c>
      <c r="C1297" s="0" t="n">
        <v>1467150.62504474</v>
      </c>
      <c r="D1297" s="0" t="n">
        <f aca="false">IF(B1297&gt;C1297,1,0)</f>
        <v>0</v>
      </c>
    </row>
    <row r="1298" customFormat="false" ht="15" hidden="false" customHeight="false" outlineLevel="0" collapsed="false">
      <c r="A1298" s="0" t="s">
        <v>1855</v>
      </c>
      <c r="B1298" s="0" t="n">
        <v>200356.354097128</v>
      </c>
      <c r="C1298" s="0" t="n">
        <v>1452115.0079868</v>
      </c>
      <c r="D1298" s="0" t="n">
        <f aca="false">IF(B1298&gt;C1298,1,0)</f>
        <v>0</v>
      </c>
    </row>
    <row r="1299" customFormat="false" ht="15" hidden="false" customHeight="false" outlineLevel="0" collapsed="false">
      <c r="A1299" s="0" t="s">
        <v>1856</v>
      </c>
      <c r="B1299" s="0" t="n">
        <v>379545.866167644</v>
      </c>
      <c r="C1299" s="0" t="n">
        <v>1451221.47575196</v>
      </c>
      <c r="D1299" s="0" t="n">
        <f aca="false">IF(B1299&gt;C1299,1,0)</f>
        <v>0</v>
      </c>
    </row>
    <row r="1300" customFormat="false" ht="15" hidden="false" customHeight="false" outlineLevel="0" collapsed="false">
      <c r="A1300" s="0" t="s">
        <v>1857</v>
      </c>
      <c r="B1300" s="0" t="n">
        <v>-221945.13189972</v>
      </c>
      <c r="C1300" s="0" t="n">
        <v>1435200.47722654</v>
      </c>
      <c r="D1300" s="0" t="n">
        <f aca="false">IF(B1300&gt;C1300,1,0)</f>
        <v>0</v>
      </c>
    </row>
    <row r="1301" customFormat="false" ht="15" hidden="false" customHeight="false" outlineLevel="0" collapsed="false">
      <c r="A1301" s="0" t="s">
        <v>1858</v>
      </c>
      <c r="B1301" s="0" t="n">
        <v>270460.110008928</v>
      </c>
      <c r="C1301" s="0" t="n">
        <v>1452890.74519601</v>
      </c>
      <c r="D1301" s="0" t="n">
        <f aca="false">IF(B1301&gt;C1301,1,0)</f>
        <v>0</v>
      </c>
    </row>
    <row r="1302" customFormat="false" ht="15" hidden="false" customHeight="false" outlineLevel="0" collapsed="false">
      <c r="A1302" s="0" t="s">
        <v>1859</v>
      </c>
      <c r="B1302" s="0" t="n">
        <v>-252049.400408563</v>
      </c>
      <c r="C1302" s="0" t="n">
        <v>1459422.90178053</v>
      </c>
      <c r="D1302" s="0" t="n">
        <f aca="false">IF(B1302&gt;C1302,1,0)</f>
        <v>0</v>
      </c>
    </row>
    <row r="1303" customFormat="false" ht="15" hidden="false" customHeight="false" outlineLevel="0" collapsed="false">
      <c r="A1303" s="0" t="s">
        <v>1860</v>
      </c>
      <c r="B1303" s="0" t="n">
        <v>288886.517580622</v>
      </c>
      <c r="C1303" s="0" t="n">
        <v>1460701.50562245</v>
      </c>
      <c r="D1303" s="0" t="n">
        <f aca="false">IF(B1303&gt;C1303,1,0)</f>
        <v>0</v>
      </c>
    </row>
    <row r="1304" customFormat="false" ht="15" hidden="false" customHeight="false" outlineLevel="0" collapsed="false">
      <c r="A1304" s="0" t="s">
        <v>1861</v>
      </c>
      <c r="B1304" s="0" t="n">
        <v>267212.972108745</v>
      </c>
      <c r="C1304" s="0" t="n">
        <v>1455436.30982753</v>
      </c>
      <c r="D1304" s="0" t="n">
        <f aca="false">IF(B1304&gt;C1304,1,0)</f>
        <v>0</v>
      </c>
    </row>
    <row r="1305" customFormat="false" ht="15" hidden="false" customHeight="false" outlineLevel="0" collapsed="false">
      <c r="A1305" s="0" t="s">
        <v>807</v>
      </c>
      <c r="B1305" s="0" t="n">
        <v>69539.5276018614</v>
      </c>
      <c r="C1305" s="0" t="n">
        <v>1454341.7967644</v>
      </c>
      <c r="D1305" s="0" t="n">
        <f aca="false">IF(B1305&gt;C1305,1,0)</f>
        <v>0</v>
      </c>
    </row>
    <row r="1306" customFormat="false" ht="15" hidden="false" customHeight="false" outlineLevel="0" collapsed="false">
      <c r="A1306" s="0" t="s">
        <v>1862</v>
      </c>
      <c r="B1306" s="0" t="n">
        <v>52381.3949902756</v>
      </c>
      <c r="C1306" s="0" t="n">
        <v>1454828.41414355</v>
      </c>
      <c r="D1306" s="0" t="n">
        <f aca="false">IF(B1306&gt;C1306,1,0)</f>
        <v>0</v>
      </c>
    </row>
    <row r="1307" customFormat="false" ht="15" hidden="false" customHeight="false" outlineLevel="0" collapsed="false">
      <c r="A1307" s="0" t="s">
        <v>1863</v>
      </c>
      <c r="B1307" s="0" t="n">
        <v>-23421.9258846482</v>
      </c>
      <c r="C1307" s="0" t="n">
        <v>1448960.99224871</v>
      </c>
      <c r="D1307" s="0" t="n">
        <f aca="false">IF(B1307&gt;C1307,1,0)</f>
        <v>0</v>
      </c>
    </row>
    <row r="1308" customFormat="false" ht="15" hidden="false" customHeight="false" outlineLevel="0" collapsed="false">
      <c r="A1308" s="0" t="s">
        <v>1864</v>
      </c>
      <c r="B1308" s="0" t="n">
        <v>158152.561826329</v>
      </c>
      <c r="C1308" s="0" t="n">
        <v>1448750.26456055</v>
      </c>
      <c r="D1308" s="0" t="n">
        <f aca="false">IF(B1308&gt;C1308,1,0)</f>
        <v>0</v>
      </c>
    </row>
    <row r="1309" customFormat="false" ht="15" hidden="false" customHeight="false" outlineLevel="0" collapsed="false">
      <c r="A1309" s="0" t="s">
        <v>1865</v>
      </c>
      <c r="B1309" s="0" t="n">
        <v>240192.854094079</v>
      </c>
      <c r="C1309" s="0" t="n">
        <v>1462769.07414152</v>
      </c>
      <c r="D1309" s="0" t="n">
        <f aca="false">IF(B1309&gt;C1309,1,0)</f>
        <v>0</v>
      </c>
    </row>
    <row r="1310" customFormat="false" ht="15" hidden="false" customHeight="false" outlineLevel="0" collapsed="false">
      <c r="A1310" s="0" t="s">
        <v>1866</v>
      </c>
      <c r="B1310" s="0" t="n">
        <v>215794.593011497</v>
      </c>
      <c r="C1310" s="0" t="n">
        <v>1393635.42174756</v>
      </c>
      <c r="D1310" s="0" t="n">
        <f aca="false">IF(B1310&gt;C1310,1,0)</f>
        <v>0</v>
      </c>
    </row>
    <row r="1311" customFormat="false" ht="15" hidden="false" customHeight="false" outlineLevel="0" collapsed="false">
      <c r="A1311" s="0" t="s">
        <v>1867</v>
      </c>
      <c r="B1311" s="0" t="n">
        <v>-203719.134012218</v>
      </c>
      <c r="C1311" s="0" t="n">
        <v>1403370.60974556</v>
      </c>
      <c r="D1311" s="0" t="n">
        <f aca="false">IF(B1311&gt;C1311,1,0)</f>
        <v>0</v>
      </c>
    </row>
    <row r="1312" customFormat="false" ht="15" hidden="false" customHeight="false" outlineLevel="0" collapsed="false">
      <c r="A1312" s="0" t="s">
        <v>1868</v>
      </c>
      <c r="B1312" s="0" t="n">
        <v>-805948.200693152</v>
      </c>
      <c r="C1312" s="0" t="n">
        <v>1408561.68252327</v>
      </c>
      <c r="D1312" s="0" t="n">
        <f aca="false">IF(B1312&gt;C1312,1,0)</f>
        <v>0</v>
      </c>
    </row>
    <row r="1313" customFormat="false" ht="15" hidden="false" customHeight="false" outlineLevel="0" collapsed="false">
      <c r="A1313" s="0" t="s">
        <v>1869</v>
      </c>
      <c r="B1313" s="0" t="n">
        <v>-207533.650303671</v>
      </c>
      <c r="C1313" s="0" t="n">
        <v>1440765.44214087</v>
      </c>
      <c r="D1313" s="0" t="n">
        <f aca="false">IF(B1313&gt;C1313,1,0)</f>
        <v>0</v>
      </c>
    </row>
    <row r="1314" customFormat="false" ht="15" hidden="false" customHeight="false" outlineLevel="0" collapsed="false">
      <c r="A1314" s="0" t="s">
        <v>1870</v>
      </c>
      <c r="B1314" s="0" t="n">
        <v>-498998.773447072</v>
      </c>
      <c r="C1314" s="0" t="n">
        <v>1444599.66460252</v>
      </c>
      <c r="D1314" s="0" t="n">
        <f aca="false">IF(B1314&gt;C1314,1,0)</f>
        <v>0</v>
      </c>
    </row>
    <row r="1315" customFormat="false" ht="15" hidden="false" customHeight="false" outlineLevel="0" collapsed="false">
      <c r="A1315" s="0" t="s">
        <v>809</v>
      </c>
      <c r="B1315" s="0" t="n">
        <v>196194.174913954</v>
      </c>
      <c r="C1315" s="0" t="n">
        <v>1458829.0257366</v>
      </c>
      <c r="D1315" s="0" t="n">
        <f aca="false">IF(B1315&gt;C1315,1,0)</f>
        <v>0</v>
      </c>
    </row>
    <row r="1316" customFormat="false" ht="15" hidden="false" customHeight="false" outlineLevel="0" collapsed="false">
      <c r="A1316" s="0" t="s">
        <v>1871</v>
      </c>
      <c r="B1316" s="0" t="n">
        <v>-39893.1196976826</v>
      </c>
      <c r="C1316" s="0" t="n">
        <v>1454468.47667293</v>
      </c>
      <c r="D1316" s="0" t="n">
        <f aca="false">IF(B1316&gt;C1316,1,0)</f>
        <v>0</v>
      </c>
    </row>
    <row r="1317" customFormat="false" ht="15" hidden="false" customHeight="false" outlineLevel="0" collapsed="false">
      <c r="A1317" s="0" t="s">
        <v>1872</v>
      </c>
      <c r="B1317" s="0" t="n">
        <v>-150701.403886367</v>
      </c>
      <c r="C1317" s="0" t="n">
        <v>1445668.23344909</v>
      </c>
      <c r="D1317" s="0" t="n">
        <f aca="false">IF(B1317&gt;C1317,1,0)</f>
        <v>0</v>
      </c>
    </row>
    <row r="1318" customFormat="false" ht="15" hidden="false" customHeight="false" outlineLevel="0" collapsed="false">
      <c r="A1318" s="0" t="s">
        <v>1873</v>
      </c>
      <c r="B1318" s="0" t="n">
        <v>-216756.641008601</v>
      </c>
      <c r="C1318" s="0" t="n">
        <v>1437103.20621485</v>
      </c>
      <c r="D1318" s="0" t="n">
        <f aca="false">IF(B1318&gt;C1318,1,0)</f>
        <v>0</v>
      </c>
    </row>
    <row r="1319" customFormat="false" ht="15" hidden="false" customHeight="false" outlineLevel="0" collapsed="false">
      <c r="A1319" s="0" t="s">
        <v>1874</v>
      </c>
      <c r="B1319" s="0" t="n">
        <v>-556765.737496425</v>
      </c>
      <c r="C1319" s="0" t="n">
        <v>1430755.89841216</v>
      </c>
      <c r="D1319" s="0" t="n">
        <f aca="false">IF(B1319&gt;C1319,1,0)</f>
        <v>0</v>
      </c>
    </row>
    <row r="1320" customFormat="false" ht="15" hidden="false" customHeight="false" outlineLevel="0" collapsed="false">
      <c r="A1320" s="0" t="s">
        <v>1875</v>
      </c>
      <c r="B1320" s="0" t="n">
        <v>-228760.212192899</v>
      </c>
      <c r="C1320" s="0" t="n">
        <v>1474317.84360926</v>
      </c>
      <c r="D1320" s="0" t="n">
        <f aca="false">IF(B1320&gt;C1320,1,0)</f>
        <v>0</v>
      </c>
    </row>
    <row r="1321" customFormat="false" ht="15" hidden="false" customHeight="false" outlineLevel="0" collapsed="false">
      <c r="A1321" s="0" t="s">
        <v>1876</v>
      </c>
      <c r="B1321" s="0" t="n">
        <v>-737723.087064181</v>
      </c>
      <c r="C1321" s="0" t="n">
        <v>1486703.35727748</v>
      </c>
      <c r="D1321" s="0" t="n">
        <f aca="false">IF(B1321&gt;C1321,1,0)</f>
        <v>0</v>
      </c>
    </row>
    <row r="1322" customFormat="false" ht="15" hidden="false" customHeight="false" outlineLevel="0" collapsed="false">
      <c r="A1322" s="0" t="s">
        <v>1877</v>
      </c>
      <c r="B1322" s="0" t="n">
        <v>-171355.928982619</v>
      </c>
      <c r="C1322" s="0" t="n">
        <v>1488175.09699534</v>
      </c>
      <c r="D1322" s="0" t="n">
        <f aca="false">IF(B1322&gt;C1322,1,0)</f>
        <v>0</v>
      </c>
    </row>
    <row r="1323" customFormat="false" ht="15" hidden="false" customHeight="false" outlineLevel="0" collapsed="false">
      <c r="A1323" s="0" t="s">
        <v>1878</v>
      </c>
      <c r="B1323" s="0" t="n">
        <v>-363714.987062912</v>
      </c>
      <c r="C1323" s="0" t="n">
        <v>1492232.55008362</v>
      </c>
      <c r="D1323" s="0" t="n">
        <f aca="false">IF(B1323&gt;C1323,1,0)</f>
        <v>0</v>
      </c>
    </row>
    <row r="1324" customFormat="false" ht="15" hidden="false" customHeight="false" outlineLevel="0" collapsed="false">
      <c r="A1324" s="0" t="s">
        <v>1879</v>
      </c>
      <c r="B1324" s="0" t="n">
        <v>-185842.268127164</v>
      </c>
      <c r="C1324" s="0" t="n">
        <v>1534242.48176019</v>
      </c>
      <c r="D1324" s="0" t="n">
        <f aca="false">IF(B1324&gt;C1324,1,0)</f>
        <v>0</v>
      </c>
    </row>
    <row r="1325" customFormat="false" ht="15" hidden="false" customHeight="false" outlineLevel="0" collapsed="false">
      <c r="A1325" s="0" t="s">
        <v>1880</v>
      </c>
      <c r="B1325" s="0" t="n">
        <v>-281974.909641773</v>
      </c>
      <c r="C1325" s="0" t="n">
        <v>1537987.55566924</v>
      </c>
      <c r="D1325" s="0" t="n">
        <f aca="false">IF(B1325&gt;C1325,1,0)</f>
        <v>0</v>
      </c>
    </row>
    <row r="1326" customFormat="false" ht="15" hidden="false" customHeight="false" outlineLevel="0" collapsed="false">
      <c r="A1326" s="0" t="s">
        <v>1881</v>
      </c>
      <c r="B1326" s="0" t="n">
        <v>191346.803457351</v>
      </c>
      <c r="C1326" s="0" t="n">
        <v>1523769.03428655</v>
      </c>
      <c r="D1326" s="0" t="n">
        <f aca="false">IF(B1326&gt;C1326,1,0)</f>
        <v>0</v>
      </c>
    </row>
    <row r="1327" customFormat="false" ht="15" hidden="false" customHeight="false" outlineLevel="0" collapsed="false">
      <c r="A1327" s="0" t="s">
        <v>1882</v>
      </c>
      <c r="B1327" s="0" t="n">
        <v>-11529.5833497047</v>
      </c>
      <c r="C1327" s="0" t="n">
        <v>1496243.83339997</v>
      </c>
      <c r="D1327" s="0" t="n">
        <f aca="false">IF(B1327&gt;C1327,1,0)</f>
        <v>0</v>
      </c>
    </row>
    <row r="1328" customFormat="false" ht="15" hidden="false" customHeight="false" outlineLevel="0" collapsed="false">
      <c r="A1328" s="0" t="s">
        <v>1883</v>
      </c>
      <c r="B1328" s="0" t="n">
        <v>-469750.695572831</v>
      </c>
      <c r="C1328" s="0" t="n">
        <v>1527586.86589881</v>
      </c>
      <c r="D1328" s="0" t="n">
        <f aca="false">IF(B1328&gt;C1328,1,0)</f>
        <v>0</v>
      </c>
    </row>
    <row r="1329" customFormat="false" ht="15" hidden="false" customHeight="false" outlineLevel="0" collapsed="false">
      <c r="A1329" s="0" t="s">
        <v>1884</v>
      </c>
      <c r="B1329" s="0" t="n">
        <v>456364.127325352</v>
      </c>
      <c r="C1329" s="0" t="n">
        <v>1554750.6930636</v>
      </c>
      <c r="D1329" s="0" t="n">
        <f aca="false">IF(B1329&gt;C1329,1,0)</f>
        <v>0</v>
      </c>
    </row>
    <row r="1330" customFormat="false" ht="15" hidden="false" customHeight="false" outlineLevel="0" collapsed="false">
      <c r="A1330" s="0" t="s">
        <v>1885</v>
      </c>
      <c r="B1330" s="0" t="n">
        <v>-85830.8606819417</v>
      </c>
      <c r="C1330" s="0" t="n">
        <v>1541767.28343215</v>
      </c>
      <c r="D1330" s="0" t="n">
        <f aca="false">IF(B1330&gt;C1330,1,0)</f>
        <v>0</v>
      </c>
    </row>
    <row r="1331" customFormat="false" ht="15" hidden="false" customHeight="false" outlineLevel="0" collapsed="false">
      <c r="A1331" s="0" t="s">
        <v>1886</v>
      </c>
      <c r="B1331" s="0" t="n">
        <v>-76598.066406576</v>
      </c>
      <c r="C1331" s="0" t="n">
        <v>1529527.09300421</v>
      </c>
      <c r="D1331" s="0" t="n">
        <f aca="false">IF(B1331&gt;C1331,1,0)</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3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2734375" defaultRowHeight="15" customHeight="false" zeroHeight="false" outlineLevelRow="0" outlineLevelCol="0"/>
  <cols>
    <col collapsed="false" customWidth="true" hidden="false" outlineLevel="0" max="1" min="1" style="0" width="46"/>
  </cols>
  <sheetData>
    <row r="1" customFormat="false" ht="15" hidden="false" customHeight="false" outlineLevel="0" collapsed="false">
      <c r="A1" s="1" t="s">
        <v>1887</v>
      </c>
    </row>
    <row r="4" customFormat="false" ht="15" hidden="false" customHeight="false" outlineLevel="0" collapsed="false">
      <c r="A4" s="1" t="s">
        <v>1888</v>
      </c>
      <c r="B4" s="1" t="s">
        <v>1889</v>
      </c>
      <c r="C4" s="1" t="s">
        <v>1890</v>
      </c>
      <c r="D4" s="1" t="s">
        <v>1891</v>
      </c>
      <c r="E4" s="1" t="s">
        <v>1892</v>
      </c>
      <c r="F4" s="1" t="s">
        <v>1893</v>
      </c>
      <c r="G4" s="1" t="s">
        <v>1894</v>
      </c>
      <c r="H4" s="1" t="s">
        <v>1895</v>
      </c>
      <c r="I4" s="1" t="str">
        <f aca="false">"contribution of "&amp;$A$4</f>
        <v>contribution of matured_trades</v>
      </c>
      <c r="J4" s="1" t="str">
        <f aca="false">"contribution of "&amp;$B$4</f>
        <v>contribution of new_trades</v>
      </c>
      <c r="K4" s="1" t="str">
        <f aca="false">"contribution of "&amp;$C$4</f>
        <v>contribution of market_move</v>
      </c>
      <c r="L4" s="1" t="str">
        <f aca="false">"contribution of "&amp;$D$4</f>
        <v>contribution of parameter_version</v>
      </c>
    </row>
    <row r="5" customFormat="false" ht="15" hidden="false" customHeight="false" outlineLevel="0" collapsed="false">
      <c r="A5" s="0" t="n">
        <v>0</v>
      </c>
      <c r="B5" s="0" t="n">
        <v>0</v>
      </c>
      <c r="C5" s="0" t="n">
        <v>0</v>
      </c>
      <c r="D5" s="0" t="n">
        <v>0</v>
      </c>
      <c r="E5" s="0" t="n">
        <v>4970797.84079892</v>
      </c>
      <c r="F5" s="0" t="n">
        <f aca="false">A5*8+B5*4+C5*2+D5</f>
        <v>0</v>
      </c>
      <c r="G5" s="0" t="n">
        <f aca="false">SUM(A5:D5)</f>
        <v>0</v>
      </c>
      <c r="H5" s="0" t="n">
        <f aca="false">IF(G5&gt;3,0,FACT(G5)*FACT(3-G5)/FACT(4))</f>
        <v>0.25</v>
      </c>
      <c r="I5" s="0" t="n">
        <f aca="false">IF(A5=1,0,$H5*(INDEX($E$5:$E$20,MATCH($F5+8,$F$5:$F$20,0))-$E5))</f>
        <v>-228555.207847598</v>
      </c>
      <c r="J5" s="0" t="n">
        <f aca="false">IF(B5=1,0,$H5*(INDEX($E$5:$E$20,MATCH($F5+4,$F$5:$F$20,0))-$E5))</f>
        <v>1144193.85056561</v>
      </c>
      <c r="K5" s="0" t="n">
        <f aca="false">IF(C5=1,0,$H5*(INDEX($E$5:$E$20,MATCH($F5+2,$F$5:$F$20,0))-$E5))</f>
        <v>-31969.2016258873</v>
      </c>
      <c r="L5" s="0" t="n">
        <f aca="false">IF(D5=1,0,$H5*(INDEX($E$5:$E$20,MATCH($F5+1,$F$5:$F$20,0))-$E5))</f>
        <v>57914.394378786</v>
      </c>
    </row>
    <row r="6" customFormat="false" ht="15" hidden="false" customHeight="false" outlineLevel="0" collapsed="false">
      <c r="A6" s="0" t="n">
        <v>0</v>
      </c>
      <c r="B6" s="0" t="n">
        <v>0</v>
      </c>
      <c r="C6" s="0" t="n">
        <v>0</v>
      </c>
      <c r="D6" s="0" t="n">
        <v>1</v>
      </c>
      <c r="E6" s="0" t="n">
        <v>5202455.41831406</v>
      </c>
      <c r="F6" s="0" t="n">
        <f aca="false">A6*8+B6*4+C6*2+D6</f>
        <v>1</v>
      </c>
      <c r="G6" s="0" t="n">
        <f aca="false">SUM(A6:D6)</f>
        <v>1</v>
      </c>
      <c r="H6" s="0" t="n">
        <f aca="false">IF(G6&gt;3,0,FACT(G6)*FACT(3-G6)/FACT(4))</f>
        <v>0.0833333333333333</v>
      </c>
      <c r="I6" s="0" t="n">
        <f aca="false">IF(A6=1,0,$H6*(INDEX($E$5:$E$20,MATCH($F6+8,$F$5:$F$20,0))-$E6))</f>
        <v>-80955.7313107154</v>
      </c>
      <c r="J6" s="0" t="n">
        <f aca="false">IF(B6=1,0,$H6*(INDEX($E$5:$E$20,MATCH($F6+4,$F$5:$F$20,0))-$E6))</f>
        <v>383232.272770285</v>
      </c>
      <c r="K6" s="0" t="n">
        <f aca="false">IF(C6=1,0,$H6*(INDEX($E$5:$E$20,MATCH($F6+2,$F$5:$F$20,0))-$E6))</f>
        <v>-11706.7553414948</v>
      </c>
      <c r="L6" s="0" t="n">
        <f aca="false">IF(D6=1,0,$H6*(INDEX($E$5:$E$20,MATCH($F6+1,$F$5:$F$20,0))-$E6))</f>
        <v>0</v>
      </c>
    </row>
    <row r="7" customFormat="false" ht="15" hidden="false" customHeight="false" outlineLevel="0" collapsed="false">
      <c r="A7" s="0" t="n">
        <v>0</v>
      </c>
      <c r="B7" s="0" t="n">
        <v>0</v>
      </c>
      <c r="C7" s="0" t="n">
        <v>1</v>
      </c>
      <c r="D7" s="0" t="n">
        <v>0</v>
      </c>
      <c r="E7" s="0" t="n">
        <v>4842921.03429537</v>
      </c>
      <c r="F7" s="0" t="n">
        <f aca="false">A7*8+B7*4+C7*2+D7</f>
        <v>2</v>
      </c>
      <c r="G7" s="0" t="n">
        <f aca="false">SUM(A7:D7)</f>
        <v>1</v>
      </c>
      <c r="H7" s="0" t="n">
        <f aca="false">IF(G7&gt;3,0,FACT(G7)*FACT(3-G7)/FACT(4))</f>
        <v>0.0833333333333333</v>
      </c>
      <c r="I7" s="0" t="n">
        <f aca="false">IF(A7=1,0,$H7*(INDEX($E$5:$E$20,MATCH($F7+8,$F$5:$F$20,0))-$E7))</f>
        <v>-61814.1615124356</v>
      </c>
      <c r="J7" s="0" t="n">
        <f aca="false">IF(B7=1,0,$H7*(INDEX($E$5:$E$20,MATCH($F7+4,$F$5:$F$20,0))-$E7))</f>
        <v>369236.500006344</v>
      </c>
      <c r="K7" s="0" t="n">
        <f aca="false">IF(C7=1,0,$H7*(INDEX($E$5:$E$20,MATCH($F7+2,$F$5:$F$20,0))-$E7))</f>
        <v>0</v>
      </c>
      <c r="L7" s="0" t="n">
        <f aca="false">IF(D7=1,0,$H7*(INDEX($E$5:$E$20,MATCH($F7+1,$F$5:$F$20,0))-$E7))</f>
        <v>18254.4433267296</v>
      </c>
    </row>
    <row r="8" customFormat="false" ht="15" hidden="false" customHeight="false" outlineLevel="0" collapsed="false">
      <c r="A8" s="0" t="n">
        <v>0</v>
      </c>
      <c r="B8" s="0" t="n">
        <v>0</v>
      </c>
      <c r="C8" s="0" t="n">
        <v>1</v>
      </c>
      <c r="D8" s="0" t="n">
        <v>1</v>
      </c>
      <c r="E8" s="0" t="n">
        <v>5061974.35421612</v>
      </c>
      <c r="F8" s="0" t="n">
        <f aca="false">A8*8+B8*4+C8*2+D8</f>
        <v>3</v>
      </c>
      <c r="G8" s="0" t="n">
        <f aca="false">SUM(A8:D8)</f>
        <v>2</v>
      </c>
      <c r="H8" s="0" t="n">
        <f aca="false">IF(G8&gt;3,0,FACT(G8)*FACT(3-G8)/FACT(4))</f>
        <v>0.0833333333333333</v>
      </c>
      <c r="I8" s="0" t="n">
        <f aca="false">IF(A8=1,0,$H8*(INDEX($E$5:$E$20,MATCH($F8+8,$F$5:$F$20,0))-$E8))</f>
        <v>-65890.880413403</v>
      </c>
      <c r="J8" s="0" t="n">
        <f aca="false">IF(B8=1,0,$H8*(INDEX($E$5:$E$20,MATCH($F8+4,$F$5:$F$20,0))-$E8))</f>
        <v>370513.330723944</v>
      </c>
      <c r="K8" s="0" t="n">
        <f aca="false">IF(C8=1,0,$H8*(INDEX($E$5:$E$20,MATCH($F8+2,$F$5:$F$20,0))-$E8))</f>
        <v>0</v>
      </c>
      <c r="L8" s="0" t="n">
        <f aca="false">IF(D8=1,0,$H8*(INDEX($E$5:$E$20,MATCH($F8+1,$F$5:$F$20,0))-$E8))</f>
        <v>0</v>
      </c>
    </row>
    <row r="9" customFormat="false" ht="15" hidden="false" customHeight="false" outlineLevel="0" collapsed="false">
      <c r="A9" s="0" t="n">
        <v>0</v>
      </c>
      <c r="B9" s="0" t="n">
        <v>1</v>
      </c>
      <c r="C9" s="0" t="n">
        <v>0</v>
      </c>
      <c r="D9" s="0" t="n">
        <v>0</v>
      </c>
      <c r="E9" s="0" t="n">
        <v>9547573.24306135</v>
      </c>
      <c r="F9" s="0" t="n">
        <f aca="false">A9*8+B9*4+C9*2+D9</f>
        <v>4</v>
      </c>
      <c r="G9" s="0" t="n">
        <f aca="false">SUM(A9:D9)</f>
        <v>1</v>
      </c>
      <c r="H9" s="0" t="n">
        <f aca="false">IF(G9&gt;3,0,FACT(G9)*FACT(3-G9)/FACT(4))</f>
        <v>0.0833333333333333</v>
      </c>
      <c r="I9" s="0" t="n">
        <f aca="false">IF(A9=1,0,$H9*(INDEX($E$5:$E$20,MATCH($F9+8,$F$5:$F$20,0))-$E9))</f>
        <v>-43836.4195511335</v>
      </c>
      <c r="J9" s="0" t="n">
        <f aca="false">IF(B9=1,0,$H9*(INDEX($E$5:$E$20,MATCH($F9+4,$F$5:$F$20,0))-$E9))</f>
        <v>0</v>
      </c>
      <c r="K9" s="0" t="n">
        <f aca="false">IF(C9=1,0,$H9*(INDEX($E$5:$E$20,MATCH($F9+2,$F$5:$F$20,0))-$E9))</f>
        <v>-22817.8507241545</v>
      </c>
      <c r="L9" s="0" t="n">
        <f aca="false">IF(D9=1,0,$H9*(INDEX($E$5:$E$20,MATCH($F9+1,$F$5:$F$20,0))-$E9))</f>
        <v>21139.1207080103</v>
      </c>
    </row>
    <row r="10" customFormat="false" ht="15" hidden="false" customHeight="false" outlineLevel="0" collapsed="false">
      <c r="A10" s="0" t="n">
        <v>0</v>
      </c>
      <c r="B10" s="0" t="n">
        <v>1</v>
      </c>
      <c r="C10" s="0" t="n">
        <v>0</v>
      </c>
      <c r="D10" s="0" t="n">
        <v>1</v>
      </c>
      <c r="E10" s="0" t="n">
        <v>9801242.69155748</v>
      </c>
      <c r="F10" s="0" t="n">
        <f aca="false">A10*8+B10*4+C10*2+D10</f>
        <v>5</v>
      </c>
      <c r="G10" s="0" t="n">
        <f aca="false">SUM(A10:D10)</f>
        <v>2</v>
      </c>
      <c r="H10" s="0" t="n">
        <f aca="false">IF(G10&gt;3,0,FACT(G10)*FACT(3-G10)/FACT(4))</f>
        <v>0.0833333333333333</v>
      </c>
      <c r="I10" s="0" t="n">
        <f aca="false">IF(A10=1,0,$H10*(INDEX($E$5:$E$20,MATCH($F10+8,$F$5:$F$20,0))-$E10))</f>
        <v>-49967.6417092324</v>
      </c>
      <c r="J10" s="0" t="n">
        <f aca="false">IF(B10=1,0,$H10*(INDEX($E$5:$E$20,MATCH($F10+4,$F$5:$F$20,0))-$E10))</f>
        <v>0</v>
      </c>
      <c r="K10" s="0" t="n">
        <f aca="false">IF(C10=1,0,$H10*(INDEX($E$5:$E$20,MATCH($F10+2,$F$5:$F$20,0))-$E10))</f>
        <v>-24425.6973878358</v>
      </c>
      <c r="L10" s="0" t="n">
        <f aca="false">IF(D10=1,0,$H10*(INDEX($E$5:$E$20,MATCH($F10+1,$F$5:$F$20,0))-$E10))</f>
        <v>0</v>
      </c>
    </row>
    <row r="11" customFormat="false" ht="15" hidden="false" customHeight="false" outlineLevel="0" collapsed="false">
      <c r="A11" s="0" t="n">
        <v>0</v>
      </c>
      <c r="B11" s="0" t="n">
        <v>1</v>
      </c>
      <c r="C11" s="0" t="n">
        <v>1</v>
      </c>
      <c r="D11" s="0" t="n">
        <v>0</v>
      </c>
      <c r="E11" s="0" t="n">
        <v>9273759.0343715</v>
      </c>
      <c r="F11" s="0" t="n">
        <f aca="false">A11*8+B11*4+C11*2+D11</f>
        <v>6</v>
      </c>
      <c r="G11" s="0" t="n">
        <f aca="false">SUM(A11:D11)</f>
        <v>2</v>
      </c>
      <c r="H11" s="0" t="n">
        <f aca="false">IF(G11&gt;3,0,FACT(G11)*FACT(3-G11)/FACT(4))</f>
        <v>0.0833333333333333</v>
      </c>
      <c r="I11" s="0" t="n">
        <f aca="false">IF(A11=1,0,$H11*(INDEX($E$5:$E$20,MATCH($F11+8,$F$5:$F$20,0))-$E11))</f>
        <v>-36291.5515012344</v>
      </c>
      <c r="J11" s="0" t="n">
        <f aca="false">IF(B11=1,0,$H11*(INDEX($E$5:$E$20,MATCH($F11+4,$F$5:$F$20,0))-$E11))</f>
        <v>0</v>
      </c>
      <c r="K11" s="0" t="n">
        <f aca="false">IF(C11=1,0,$H11*(INDEX($E$5:$E$20,MATCH($F11+2,$F$5:$F$20,0))-$E11))</f>
        <v>0</v>
      </c>
      <c r="L11" s="0" t="n">
        <f aca="false">IF(D11=1,0,$H11*(INDEX($E$5:$E$20,MATCH($F11+1,$F$5:$F$20,0))-$E11))</f>
        <v>19531.274044329</v>
      </c>
    </row>
    <row r="12" customFormat="false" ht="15" hidden="false" customHeight="false" outlineLevel="0" collapsed="false">
      <c r="A12" s="0" t="n">
        <v>0</v>
      </c>
      <c r="B12" s="0" t="n">
        <v>1</v>
      </c>
      <c r="C12" s="0" t="n">
        <v>1</v>
      </c>
      <c r="D12" s="0" t="n">
        <v>1</v>
      </c>
      <c r="E12" s="0" t="n">
        <v>9508134.32290345</v>
      </c>
      <c r="F12" s="0" t="n">
        <f aca="false">A12*8+B12*4+C12*2+D12</f>
        <v>7</v>
      </c>
      <c r="G12" s="0" t="n">
        <f aca="false">SUM(A12:D12)</f>
        <v>3</v>
      </c>
      <c r="H12" s="0" t="n">
        <f aca="false">IF(G12&gt;3,0,FACT(G12)*FACT(3-G12)/FACT(4))</f>
        <v>0.25</v>
      </c>
      <c r="I12" s="0" t="n">
        <f aca="false">IF(A12=1,0,$H12*(INDEX($E$5:$E$20,MATCH($F12+8,$F$5:$F$20,0))-$E12))</f>
        <v>-124216.663586204</v>
      </c>
      <c r="J12" s="0" t="n">
        <f aca="false">IF(B12=1,0,$H12*(INDEX($E$5:$E$20,MATCH($F12+4,$F$5:$F$20,0))-$E12))</f>
        <v>0</v>
      </c>
      <c r="K12" s="0" t="n">
        <f aca="false">IF(C12=1,0,$H12*(INDEX($E$5:$E$20,MATCH($F12+2,$F$5:$F$20,0))-$E12))</f>
        <v>0</v>
      </c>
      <c r="L12" s="0" t="n">
        <f aca="false">IF(D12=1,0,$H12*(INDEX($E$5:$E$20,MATCH($F12+1,$F$5:$F$20,0))-$E12))</f>
        <v>0</v>
      </c>
    </row>
    <row r="13" customFormat="false" ht="15" hidden="false" customHeight="false" outlineLevel="0" collapsed="false">
      <c r="A13" s="0" t="n">
        <v>1</v>
      </c>
      <c r="B13" s="0" t="n">
        <v>0</v>
      </c>
      <c r="C13" s="0" t="n">
        <v>0</v>
      </c>
      <c r="D13" s="0" t="n">
        <v>0</v>
      </c>
      <c r="E13" s="0" t="n">
        <v>4056577.00940852</v>
      </c>
      <c r="F13" s="0" t="n">
        <f aca="false">A13*8+B13*4+C13*2+D13</f>
        <v>8</v>
      </c>
      <c r="G13" s="0" t="n">
        <f aca="false">SUM(A13:D13)</f>
        <v>1</v>
      </c>
      <c r="H13" s="0" t="n">
        <f aca="false">IF(G13&gt;3,0,FACT(G13)*FACT(3-G13)/FACT(4))</f>
        <v>0.0833333333333333</v>
      </c>
      <c r="I13" s="0" t="n">
        <f aca="false">IF(A13=1,0,$H13*(INDEX($E$5:$E$20,MATCH($F13+8,$F$5:$F$20,0))-$E13))</f>
        <v>0</v>
      </c>
      <c r="J13" s="0" t="n">
        <f aca="false">IF(B13=1,0,$H13*(INDEX($E$5:$E$20,MATCH($F13+4,$F$5:$F$20,0))-$E13))</f>
        <v>413746.599919936</v>
      </c>
      <c r="K13" s="0" t="n">
        <f aca="false">IF(C13=1,0,$H13*(INDEX($E$5:$E$20,MATCH($F13+2,$F$5:$F$20,0))-$E13))</f>
        <v>3714.50722813474</v>
      </c>
      <c r="L13" s="0" t="n">
        <f aca="false">IF(D13=1,0,$H13*(INDEX($E$5:$E$20,MATCH($F13+1,$F$5:$F$20,0))-$E13))</f>
        <v>14534.1360980793</v>
      </c>
    </row>
    <row r="14" customFormat="false" ht="15" hidden="false" customHeight="false" outlineLevel="0" collapsed="false">
      <c r="A14" s="0" t="n">
        <v>1</v>
      </c>
      <c r="B14" s="0" t="n">
        <v>0</v>
      </c>
      <c r="C14" s="0" t="n">
        <v>0</v>
      </c>
      <c r="D14" s="0" t="n">
        <v>1</v>
      </c>
      <c r="E14" s="0" t="n">
        <v>4230986.64258548</v>
      </c>
      <c r="F14" s="0" t="n">
        <f aca="false">A14*8+B14*4+C14*2+D14</f>
        <v>9</v>
      </c>
      <c r="G14" s="0" t="n">
        <f aca="false">SUM(A14:D14)</f>
        <v>2</v>
      </c>
      <c r="H14" s="0" t="n">
        <f aca="false">IF(G14&gt;3,0,FACT(G14)*FACT(3-G14)/FACT(4))</f>
        <v>0.0833333333333333</v>
      </c>
      <c r="I14" s="0" t="n">
        <f aca="false">IF(A14=1,0,$H14*(INDEX($E$5:$E$20,MATCH($F14+8,$F$5:$F$20,0))-$E14))</f>
        <v>0</v>
      </c>
      <c r="J14" s="0" t="n">
        <f aca="false">IF(B14=1,0,$H14*(INDEX($E$5:$E$20,MATCH($F14+4,$F$5:$F$20,0))-$E14))</f>
        <v>414220.362371768</v>
      </c>
      <c r="K14" s="0" t="n">
        <f aca="false">IF(C14=1,0,$H14*(INDEX($E$5:$E$20,MATCH($F14+2,$F$5:$F$20,0))-$E14))</f>
        <v>3358.09555581763</v>
      </c>
      <c r="L14" s="0" t="n">
        <f aca="false">IF(D14=1,0,$H14*(INDEX($E$5:$E$20,MATCH($F14+1,$F$5:$F$20,0))-$E14))</f>
        <v>0</v>
      </c>
    </row>
    <row r="15" customFormat="false" ht="15" hidden="false" customHeight="false" outlineLevel="0" collapsed="false">
      <c r="A15" s="0" t="n">
        <v>1</v>
      </c>
      <c r="B15" s="0" t="n">
        <v>0</v>
      </c>
      <c r="C15" s="0" t="n">
        <v>1</v>
      </c>
      <c r="D15" s="0" t="n">
        <v>0</v>
      </c>
      <c r="E15" s="0" t="n">
        <v>4101151.09614614</v>
      </c>
      <c r="F15" s="0" t="n">
        <f aca="false">A15*8+B15*4+C15*2+D15</f>
        <v>10</v>
      </c>
      <c r="G15" s="0" t="n">
        <f aca="false">SUM(A15:D15)</f>
        <v>2</v>
      </c>
      <c r="H15" s="0" t="n">
        <f aca="false">IF(G15&gt;3,0,FACT(G15)*FACT(3-G15)/FACT(4))</f>
        <v>0.0833333333333333</v>
      </c>
      <c r="I15" s="0" t="n">
        <f aca="false">IF(A15=1,0,$H15*(INDEX($E$5:$E$20,MATCH($F15+8,$F$5:$F$20,0))-$E15))</f>
        <v>0</v>
      </c>
      <c r="J15" s="0" t="n">
        <f aca="false">IF(B15=1,0,$H15*(INDEX($E$5:$E$20,MATCH($F15+4,$F$5:$F$20,0))-$E15))</f>
        <v>394759.110017546</v>
      </c>
      <c r="K15" s="0" t="n">
        <f aca="false">IF(C15=1,0,$H15*(INDEX($E$5:$E$20,MATCH($F15+2,$F$5:$F$20,0))-$E15))</f>
        <v>0</v>
      </c>
      <c r="L15" s="0" t="n">
        <f aca="false">IF(D15=1,0,$H15*(INDEX($E$5:$E$20,MATCH($F15+1,$F$5:$F$20,0))-$E15))</f>
        <v>14177.7244257622</v>
      </c>
    </row>
    <row r="16" customFormat="false" ht="15" hidden="false" customHeight="false" outlineLevel="0" collapsed="false">
      <c r="A16" s="0" t="n">
        <v>1</v>
      </c>
      <c r="B16" s="0" t="n">
        <v>0</v>
      </c>
      <c r="C16" s="0" t="n">
        <v>1</v>
      </c>
      <c r="D16" s="0" t="n">
        <v>1</v>
      </c>
      <c r="E16" s="0" t="n">
        <v>4271283.78925529</v>
      </c>
      <c r="F16" s="0" t="n">
        <f aca="false">A16*8+B16*4+C16*2+D16</f>
        <v>11</v>
      </c>
      <c r="G16" s="0" t="n">
        <f aca="false">SUM(A16:D16)</f>
        <v>3</v>
      </c>
      <c r="H16" s="0" t="n">
        <f aca="false">IF(G16&gt;3,0,FACT(G16)*FACT(3-G16)/FACT(4))</f>
        <v>0.25</v>
      </c>
      <c r="I16" s="0" t="n">
        <f aca="false">IF(A16=1,0,$H16*(INDEX($E$5:$E$20,MATCH($F16+8,$F$5:$F$20,0))-$E16))</f>
        <v>0</v>
      </c>
      <c r="J16" s="0" t="n">
        <f aca="false">IF(B16=1,0,$H16*(INDEX($E$5:$E$20,MATCH($F16+4,$F$5:$F$20,0))-$E16))</f>
        <v>1184995.96982584</v>
      </c>
      <c r="K16" s="0" t="n">
        <f aca="false">IF(C16=1,0,$H16*(INDEX($E$5:$E$20,MATCH($F16+2,$F$5:$F$20,0))-$E16))</f>
        <v>0</v>
      </c>
      <c r="L16" s="0" t="n">
        <f aca="false">IF(D16=1,0,$H16*(INDEX($E$5:$E$20,MATCH($F16+1,$F$5:$F$20,0))-$E16))</f>
        <v>0</v>
      </c>
    </row>
    <row r="17" customFormat="false" ht="15" hidden="false" customHeight="false" outlineLevel="0" collapsed="false">
      <c r="A17" s="0" t="n">
        <v>1</v>
      </c>
      <c r="B17" s="0" t="n">
        <v>1</v>
      </c>
      <c r="C17" s="0" t="n">
        <v>0</v>
      </c>
      <c r="D17" s="0" t="n">
        <v>0</v>
      </c>
      <c r="E17" s="0" t="n">
        <v>9021536.20844775</v>
      </c>
      <c r="F17" s="0" t="n">
        <f aca="false">A17*8+B17*4+C17*2+D17</f>
        <v>12</v>
      </c>
      <c r="G17" s="0" t="n">
        <f aca="false">SUM(A17:D17)</f>
        <v>2</v>
      </c>
      <c r="H17" s="0" t="n">
        <f aca="false">IF(G17&gt;3,0,FACT(G17)*FACT(3-G17)/FACT(4))</f>
        <v>0.0833333333333333</v>
      </c>
      <c r="I17" s="0" t="n">
        <f aca="false">IF(A17=1,0,$H17*(INDEX($E$5:$E$20,MATCH($F17+8,$F$5:$F$20,0))-$E17))</f>
        <v>0</v>
      </c>
      <c r="J17" s="0" t="n">
        <f aca="false">IF(B17=1,0,$H17*(INDEX($E$5:$E$20,MATCH($F17+4,$F$5:$F$20,0))-$E17))</f>
        <v>0</v>
      </c>
      <c r="K17" s="0" t="n">
        <f aca="false">IF(C17=1,0,$H17*(INDEX($E$5:$E$20,MATCH($F17+2,$F$5:$F$20,0))-$E17))</f>
        <v>-15272.9826742553</v>
      </c>
      <c r="L17" s="0" t="n">
        <f aca="false">IF(D17=1,0,$H17*(INDEX($E$5:$E$20,MATCH($F17+1,$F$5:$F$20,0))-$E17))</f>
        <v>15007.8985499114</v>
      </c>
    </row>
    <row r="18" customFormat="false" ht="15" hidden="false" customHeight="false" outlineLevel="0" collapsed="false">
      <c r="A18" s="0" t="n">
        <v>1</v>
      </c>
      <c r="B18" s="0" t="n">
        <v>1</v>
      </c>
      <c r="C18" s="0" t="n">
        <v>0</v>
      </c>
      <c r="D18" s="0" t="n">
        <v>1</v>
      </c>
      <c r="E18" s="0" t="n">
        <v>9201630.99104669</v>
      </c>
      <c r="F18" s="0" t="n">
        <f aca="false">A18*8+B18*4+C18*2+D18</f>
        <v>13</v>
      </c>
      <c r="G18" s="0" t="n">
        <f aca="false">SUM(A18:D18)</f>
        <v>3</v>
      </c>
      <c r="H18" s="0" t="n">
        <f aca="false">IF(G18&gt;3,0,FACT(G18)*FACT(3-G18)/FACT(4))</f>
        <v>0.25</v>
      </c>
      <c r="I18" s="0" t="n">
        <f aca="false">IF(A18=1,0,$H18*(INDEX($E$5:$E$20,MATCH($F18+8,$F$5:$F$20,0))-$E18))</f>
        <v>0</v>
      </c>
      <c r="J18" s="0" t="n">
        <f aca="false">IF(B18=1,0,$H18*(INDEX($E$5:$E$20,MATCH($F18+4,$F$5:$F$20,0))-$E18))</f>
        <v>0</v>
      </c>
      <c r="K18" s="0" t="n">
        <f aca="false">IF(C18=1,0,$H18*(INDEX($E$5:$E$20,MATCH($F18+2,$F$5:$F$20,0))-$E18))</f>
        <v>-47590.8306220146</v>
      </c>
      <c r="L18" s="0" t="n">
        <f aca="false">IF(D18=1,0,$H18*(INDEX($E$5:$E$20,MATCH($F18+1,$F$5:$F$20,0))-$E18))</f>
        <v>0</v>
      </c>
    </row>
    <row r="19" customFormat="false" ht="15" hidden="false" customHeight="false" outlineLevel="0" collapsed="false">
      <c r="A19" s="0" t="n">
        <v>1</v>
      </c>
      <c r="B19" s="0" t="n">
        <v>1</v>
      </c>
      <c r="C19" s="0" t="n">
        <v>1</v>
      </c>
      <c r="D19" s="0" t="n">
        <v>0</v>
      </c>
      <c r="E19" s="0" t="n">
        <v>8838260.41635669</v>
      </c>
      <c r="F19" s="0" t="n">
        <f aca="false">A19*8+B19*4+C19*2+D19</f>
        <v>14</v>
      </c>
      <c r="G19" s="0" t="n">
        <f aca="false">SUM(A19:D19)</f>
        <v>3</v>
      </c>
      <c r="H19" s="0" t="n">
        <f aca="false">IF(G19&gt;3,0,FACT(G19)*FACT(3-G19)/FACT(4))</f>
        <v>0.25</v>
      </c>
      <c r="I19" s="0" t="n">
        <f aca="false">IF(A19=1,0,$H19*(INDEX($E$5:$E$20,MATCH($F19+8,$F$5:$F$20,0))-$E19))</f>
        <v>0</v>
      </c>
      <c r="J19" s="0" t="n">
        <f aca="false">IF(B19=1,0,$H19*(INDEX($E$5:$E$20,MATCH($F19+4,$F$5:$F$20,0))-$E19))</f>
        <v>0</v>
      </c>
      <c r="K19" s="0" t="n">
        <f aca="false">IF(C19=1,0,$H19*(INDEX($E$5:$E$20,MATCH($F19+2,$F$5:$F$20,0))-$E19))</f>
        <v>0</v>
      </c>
      <c r="L19" s="0" t="n">
        <f aca="false">IF(D19=1,0,$H19*(INDEX($E$5:$E$20,MATCH($F19+1,$F$5:$F$20,0))-$E19))</f>
        <v>43251.8130504857</v>
      </c>
    </row>
    <row r="20" customFormat="false" ht="15" hidden="false" customHeight="false" outlineLevel="0" collapsed="false">
      <c r="A20" s="0" t="n">
        <v>1</v>
      </c>
      <c r="B20" s="0" t="n">
        <v>1</v>
      </c>
      <c r="C20" s="0" t="n">
        <v>1</v>
      </c>
      <c r="D20" s="0" t="n">
        <v>1</v>
      </c>
      <c r="E20" s="0" t="n">
        <v>9011267.66855863</v>
      </c>
      <c r="F20" s="0" t="n">
        <f aca="false">A20*8+B20*4+C20*2+D20</f>
        <v>15</v>
      </c>
      <c r="G20" s="0" t="n">
        <f aca="false">SUM(A20:D20)</f>
        <v>4</v>
      </c>
      <c r="H20" s="0" t="n">
        <f aca="false">IF(G20&gt;3,0,FACT(G20)*FACT(3-G20)/FACT(4))</f>
        <v>0</v>
      </c>
      <c r="I20" s="0" t="n">
        <f aca="false">IF(A20=1,0,$H20*(INDEX($E$5:$E$20,MATCH($F20+8,$F$5:$F$20,0))-$E20))</f>
        <v>0</v>
      </c>
      <c r="J20" s="0" t="n">
        <f aca="false">IF(B20=1,0,$H20*(INDEX($E$5:$E$20,MATCH($F20+4,$F$5:$F$20,0))-$E20))</f>
        <v>0</v>
      </c>
      <c r="K20" s="0" t="n">
        <f aca="false">IF(C20=1,0,$H20*(INDEX($E$5:$E$20,MATCH($F20+2,$F$5:$F$20,0))-$E20))</f>
        <v>0</v>
      </c>
      <c r="L20" s="0" t="n">
        <f aca="false">IF(D20=1,0,$H20*(INDEX($E$5:$E$20,MATCH($F20+1,$F$5:$F$20,0))-$E20))</f>
        <v>0</v>
      </c>
    </row>
    <row r="24" customFormat="false" ht="15" hidden="false" customHeight="false" outlineLevel="0" collapsed="false">
      <c r="A24" s="1" t="s">
        <v>1896</v>
      </c>
      <c r="B24" s="1" t="s">
        <v>1897</v>
      </c>
      <c r="C24" s="1" t="s">
        <v>1898</v>
      </c>
      <c r="D24" s="1" t="s">
        <v>1899</v>
      </c>
      <c r="E24" s="1" t="s">
        <v>1900</v>
      </c>
    </row>
    <row r="25" customFormat="false" ht="15" hidden="false" customHeight="false" outlineLevel="0" collapsed="false">
      <c r="A25" s="0" t="str">
        <f aca="false">$A$4</f>
        <v>matured_trades</v>
      </c>
      <c r="B25" s="0" t="n">
        <f aca="false">SUM(I5:I20)</f>
        <v>-691528.257431957</v>
      </c>
      <c r="C25" s="0" t="n">
        <f aca="false">B25/$B$30</f>
        <v>-0.171150456979253</v>
      </c>
      <c r="D25" s="0" t="n">
        <f aca="false">INDEX($E$5:$E$20,MATCH(8,$F$5:$F$20,0))-INDEX($E$5:$E$20,MATCH(0,$F$5:$F$20,0))</f>
        <v>-914220.831390393</v>
      </c>
      <c r="E25" s="0" t="n">
        <f aca="false">INDEX($E$5:$E$20,MATCH(8,$F$5:$F$20,0))-INDEX($E$5:$E$20,MATCH(0,$F$5:$F$20,0))</f>
        <v>-914220.831390393</v>
      </c>
    </row>
    <row r="26" customFormat="false" ht="15" hidden="false" customHeight="false" outlineLevel="0" collapsed="false">
      <c r="A26" s="0" t="str">
        <f aca="false">$B$4</f>
        <v>new_trades</v>
      </c>
      <c r="B26" s="0" t="n">
        <f aca="false">SUM(J5:J20)</f>
        <v>4674897.99620127</v>
      </c>
      <c r="C26" s="0" t="n">
        <f aca="false">B26/$B$30</f>
        <v>1.15701841505727</v>
      </c>
      <c r="D26" s="0" t="n">
        <f aca="false">INDEX($E$5:$E$20,MATCH(4,$F$5:$F$20,0))-INDEX($E$5:$E$20,MATCH(0,$F$5:$F$20,0))</f>
        <v>4576775.40226244</v>
      </c>
      <c r="E26" s="0" t="n">
        <f aca="false">INDEX($E$5:$E$20,MATCH(12,$F$5:$F$20,0))-INDEX($E$5:$E$20,MATCH(8,$F$5:$F$20,0))</f>
        <v>4964959.19903923</v>
      </c>
    </row>
    <row r="27" customFormat="false" ht="15" hidden="false" customHeight="false" outlineLevel="0" collapsed="false">
      <c r="A27" s="0" t="str">
        <f aca="false">$C$4</f>
        <v>market_move</v>
      </c>
      <c r="B27" s="0" t="n">
        <f aca="false">SUM(K5:K20)</f>
        <v>-146710.71559169</v>
      </c>
      <c r="C27" s="0" t="n">
        <f aca="false">B27/$B$30</f>
        <v>-0.0363103108910073</v>
      </c>
      <c r="D27" s="0" t="n">
        <f aca="false">INDEX($E$5:$E$20,MATCH(2,$F$5:$F$20,0))-INDEX($E$5:$E$20,MATCH(0,$F$5:$F$20,0))</f>
        <v>-127876.806503549</v>
      </c>
      <c r="E27" s="0" t="n">
        <f aca="false">INDEX($E$5:$E$20,MATCH(14,$F$5:$F$20,0))-INDEX($E$5:$E$20,MATCH(12,$F$5:$F$20,0))</f>
        <v>-183275.792091064</v>
      </c>
    </row>
    <row r="28" customFormat="false" ht="15" hidden="false" customHeight="false" outlineLevel="0" collapsed="false">
      <c r="A28" s="0" t="str">
        <f aca="false">$D$4</f>
        <v>parameter_version</v>
      </c>
      <c r="B28" s="0" t="n">
        <f aca="false">SUM(L5:L20)</f>
        <v>203810.804582094</v>
      </c>
      <c r="C28" s="0" t="n">
        <f aca="false">B28/$B$30</f>
        <v>0.0504423528129893</v>
      </c>
      <c r="D28" s="0" t="n">
        <f aca="false">INDEX($E$5:$E$20,MATCH(1,$F$5:$F$20,0))-INDEX($E$5:$E$20,MATCH(0,$F$5:$F$20,0))</f>
        <v>231657.577515144</v>
      </c>
      <c r="E28" s="0" t="n">
        <f aca="false">INDEX($E$5:$E$20,MATCH(15,$F$5:$F$20,0))-INDEX($E$5:$E$20,MATCH(14,$F$5:$F$20,0))</f>
        <v>173007.252201943</v>
      </c>
    </row>
    <row r="29" customFormat="false" ht="15" hidden="false" customHeight="false" outlineLevel="0" collapsed="false">
      <c r="A29" s="1" t="s">
        <v>1901</v>
      </c>
      <c r="B29" s="0" t="n">
        <f aca="false">SUM(B25:B28)</f>
        <v>4040469.82775972</v>
      </c>
      <c r="D29" s="0" t="n">
        <f aca="false">SUM(D25:D28)</f>
        <v>3766335.34188364</v>
      </c>
      <c r="E29" s="0" t="n">
        <f aca="false">SUM(E25:E28)</f>
        <v>4040469.82775972</v>
      </c>
    </row>
    <row r="30" customFormat="false" ht="15" hidden="false" customHeight="false" outlineLevel="0" collapsed="false">
      <c r="A30" s="1" t="s">
        <v>1902</v>
      </c>
      <c r="B30" s="0" t="n">
        <f aca="false">INDEX($E$5:$E$20,MATCH(15,$F$5:$F$20,0))-INDEX($E$5:$E$20,MATCH(0,$F$5:$F$20,0))</f>
        <v>4040469.82775972</v>
      </c>
      <c r="D30" s="0" t="n">
        <f aca="false">INDEX($E$5:$E$20,MATCH(15,$F$5:$F$20,0))-INDEX($E$5:$E$20,MATCH(0,$F$5:$F$20,0))</f>
        <v>4040469.82775972</v>
      </c>
      <c r="E30" s="0" t="n">
        <f aca="false">INDEX($E$5:$E$20,MATCH(15,$F$5:$F$20,0))-INDEX($E$5:$E$20,MATCH(0,$F$5:$F$20,0))</f>
        <v>4040469.82775972</v>
      </c>
    </row>
    <row r="31" customFormat="false" ht="15" hidden="false" customHeight="false" outlineLevel="0" collapsed="false">
      <c r="A31" s="1" t="s">
        <v>1903</v>
      </c>
      <c r="B31" s="0" t="n">
        <f aca="false">B30-B29</f>
        <v>0</v>
      </c>
      <c r="D31" s="0" t="n">
        <f aca="false">D30-D29</f>
        <v>274134.485876075</v>
      </c>
      <c r="E31" s="0" t="n">
        <f aca="false">E30-E29</f>
        <v>0</v>
      </c>
    </row>
    <row r="34" customFormat="false" ht="15" hidden="false" customHeight="false" outlineLevel="0" collapsed="false">
      <c r="A34" s="1" t="s">
        <v>1904</v>
      </c>
    </row>
    <row r="35" customFormat="false" ht="15" hidden="false" customHeight="false" outlineLevel="0" collapsed="false">
      <c r="A35" s="0" t="s">
        <v>1905</v>
      </c>
      <c r="B35" s="0" t="n">
        <v>-498794.23136097</v>
      </c>
    </row>
    <row r="36" customFormat="false" ht="15" hidden="false" customHeight="false" outlineLevel="0" collapsed="false">
      <c r="A36" s="0" t="s">
        <v>1906</v>
      </c>
      <c r="B36" s="0" t="n">
        <v>-95144.5497308485</v>
      </c>
    </row>
    <row r="37" customFormat="false" ht="15" hidden="false" customHeight="false" outlineLevel="0" collapsed="false">
      <c r="A37" s="0" t="s">
        <v>1907</v>
      </c>
      <c r="B37" s="0" t="n">
        <v>410662.989000754</v>
      </c>
    </row>
    <row r="38" customFormat="false" ht="15" hidden="false" customHeight="false" outlineLevel="0" collapsed="false">
      <c r="A38" s="1" t="s">
        <v>1908</v>
      </c>
      <c r="B38" s="0" t="n">
        <f aca="false">SUM(B35:B37)</f>
        <v>-183275.792091064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6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2734375" defaultRowHeight="15" customHeight="false" zeroHeight="false" outlineLevelRow="0" outlineLevelCol="0"/>
  <cols>
    <col collapsed="false" customWidth="true" hidden="false" outlineLevel="0" max="1" min="1" style="0" width="46"/>
  </cols>
  <sheetData>
    <row r="1" customFormat="false" ht="15" hidden="false" customHeight="false" outlineLevel="0" collapsed="false">
      <c r="A1" s="1" t="s">
        <v>1909</v>
      </c>
    </row>
    <row r="3" customFormat="false" ht="15" hidden="false" customHeight="false" outlineLevel="0" collapsed="false">
      <c r="A3" s="1" t="s">
        <v>1910</v>
      </c>
      <c r="B3" s="0" t="n">
        <f aca="false">IF(COUNTIF(F6:F365,0)=0,1,0)</f>
        <v>1</v>
      </c>
    </row>
    <row r="5" customFormat="false" ht="15" hidden="false" customHeight="false" outlineLevel="0" collapsed="false">
      <c r="A5" s="1" t="s">
        <v>1911</v>
      </c>
      <c r="B5" s="1" t="s">
        <v>1912</v>
      </c>
      <c r="C5" s="1" t="s">
        <v>1913</v>
      </c>
      <c r="D5" s="1" t="s">
        <v>1914</v>
      </c>
      <c r="E5" s="1" t="s">
        <v>1915</v>
      </c>
      <c r="F5" s="1" t="s">
        <v>1916</v>
      </c>
    </row>
    <row r="6" customFormat="false" ht="15" hidden="false" customHeight="false" outlineLevel="0" collapsed="false">
      <c r="A6" s="0" t="str">
        <f aca="false">Python_Ref!B6</f>
        <v>opt bachelier_vega_amount</v>
      </c>
      <c r="B6" s="0" t="n">
        <f aca="false">Sensitivities!P19</f>
        <v>638650.029022634</v>
      </c>
      <c r="C6" s="0" t="n">
        <f aca="false">Python_Ref!C6</f>
        <v>638647.77101936</v>
      </c>
      <c r="D6" s="0" t="n">
        <f aca="false">IF(Python_Ref!D6="text",IF(B6=C6,0,1),IF(Python_Ref!D6="rel",ABS(B6-C6)/MAX(1,ABS(C6)),ABS(B6-C6)))</f>
        <v>3.53560033627735E-006</v>
      </c>
      <c r="E6" s="0" t="n">
        <f aca="false">Python_Ref!E6</f>
        <v>0.001</v>
      </c>
      <c r="F6" s="0" t="n">
        <f aca="false">IF(D6&lt;=E6,1,0)</f>
        <v>1</v>
      </c>
    </row>
    <row r="7" customFormat="false" ht="15" hidden="false" customHeight="false" outlineLevel="0" collapsed="false">
      <c r="A7" s="0" t="str">
        <f aca="false">Python_Ref!B7</f>
        <v>opt bachelier_price</v>
      </c>
      <c r="B7" s="0" t="n">
        <f aca="false">Sensitivities!P21</f>
        <v>1213662.4175248</v>
      </c>
      <c r="C7" s="0" t="n">
        <f aca="false">Python_Ref!C7</f>
        <v>1213662.4175248</v>
      </c>
      <c r="D7" s="0" t="n">
        <f aca="false">IF(Python_Ref!D7="text",IF(B7=C7,0,1),IF(Python_Ref!D7="rel",ABS(B7-C7)/MAX(1,ABS(C7)),ABS(B7-C7)))</f>
        <v>0</v>
      </c>
      <c r="E7" s="0" t="n">
        <f aca="false">Python_Ref!E7</f>
        <v>1E-009</v>
      </c>
      <c r="F7" s="0" t="n">
        <f aca="false">IF(D7&lt;=E7,1,0)</f>
        <v>1</v>
      </c>
    </row>
    <row r="8" customFormat="false" ht="15" hidden="false" customHeight="false" outlineLevel="0" collapsed="false">
      <c r="A8" s="0" t="str">
        <f aca="false">Python_Ref!B8</f>
        <v>opt gk_price</v>
      </c>
      <c r="B8" s="0" t="n">
        <f aca="false">Sensitivities!P41</f>
        <v>796644.105718033</v>
      </c>
      <c r="C8" s="0" t="n">
        <f aca="false">Python_Ref!C8</f>
        <v>796644.10571804</v>
      </c>
      <c r="D8" s="0" t="n">
        <f aca="false">IF(Python_Ref!D8="text",IF(B8=C8,0,1),IF(Python_Ref!D8="rel",ABS(B8-C8)/MAX(1,ABS(C8)),ABS(B8-C8)))</f>
        <v>8.1834008128791E-015</v>
      </c>
      <c r="E8" s="0" t="n">
        <f aca="false">Python_Ref!E8</f>
        <v>1E-009</v>
      </c>
      <c r="F8" s="0" t="n">
        <f aca="false">IF(D8&lt;=E8,1,0)</f>
        <v>1</v>
      </c>
    </row>
    <row r="9" customFormat="false" ht="15" hidden="false" customHeight="false" outlineLevel="0" collapsed="false">
      <c r="A9" s="0" t="str">
        <f aca="false">Python_Ref!B9</f>
        <v>opt gk_vega_amount</v>
      </c>
      <c r="B9" s="0" t="n">
        <f aca="false">Sensitivities!P42</f>
        <v>705004.466140601</v>
      </c>
      <c r="C9" s="0" t="n">
        <f aca="false">Python_Ref!C9</f>
        <v>704999.647520219</v>
      </c>
      <c r="D9" s="0" t="n">
        <f aca="false">IF(Python_Ref!D9="text",IF(B9=C9,0,1),IF(Python_Ref!D9="rel",ABS(B9-C9)/MAX(1,ABS(C9)),ABS(B9-C9)))</f>
        <v>6.83492594442156E-006</v>
      </c>
      <c r="E9" s="0" t="n">
        <f aca="false">Python_Ref!E9</f>
        <v>0.001</v>
      </c>
      <c r="F9" s="0" t="n">
        <f aca="false">IF(D9&lt;=E9,1,0)</f>
        <v>1</v>
      </c>
    </row>
    <row r="10" customFormat="false" ht="15" hidden="false" customHeight="false" outlineLevel="0" collapsed="false">
      <c r="A10" s="0" t="str">
        <f aca="false">Python_Ref!B10</f>
        <v>opt gk_delta_amount</v>
      </c>
      <c r="B10" s="0" t="n">
        <f aca="false">Sensitivities!P43</f>
        <v>104849.937407713</v>
      </c>
      <c r="C10" s="0" t="n">
        <f aca="false">Python_Ref!C10</f>
        <v>104841.752239271</v>
      </c>
      <c r="D10" s="0" t="n">
        <f aca="false">IF(Python_Ref!D10="text",IF(B10=C10,0,1),IF(Python_Ref!D10="rel",ABS(B10-C10)/MAX(1,ABS(C10)),ABS(B10-C10)))</f>
        <v>7.80716486229248E-005</v>
      </c>
      <c r="E10" s="0" t="n">
        <f aca="false">Python_Ref!E10</f>
        <v>0.001</v>
      </c>
      <c r="F10" s="0" t="n">
        <f aca="false">IF(D10&lt;=E10,1,0)</f>
        <v>1</v>
      </c>
    </row>
    <row r="11" customFormat="false" ht="15" hidden="false" customHeight="false" outlineLevel="0" collapsed="false">
      <c r="A11" s="0" t="str">
        <f aca="false">Python_Ref!B11</f>
        <v>ws IR USD 2w</v>
      </c>
      <c r="B11" s="0" t="n">
        <f aca="false">SIMM_Delta!D33</f>
        <v>0</v>
      </c>
      <c r="C11" s="0" t="n">
        <f aca="false">Python_Ref!C11</f>
        <v>0</v>
      </c>
      <c r="D11" s="0" t="n">
        <f aca="false">IF(Python_Ref!D11="text",IF(B11=C11,0,1),IF(Python_Ref!D11="rel",ABS(B11-C11)/MAX(1,ABS(C11)),ABS(B11-C11)))</f>
        <v>0</v>
      </c>
      <c r="E11" s="0" t="n">
        <f aca="false">Python_Ref!E11</f>
        <v>1E-009</v>
      </c>
      <c r="F11" s="0" t="n">
        <f aca="false">IF(D11&lt;=E11,1,0)</f>
        <v>1</v>
      </c>
    </row>
    <row r="12" customFormat="false" ht="15" hidden="false" customHeight="false" outlineLevel="0" collapsed="false">
      <c r="A12" s="0" t="str">
        <f aca="false">Python_Ref!B12</f>
        <v>ws IR USD 1m</v>
      </c>
      <c r="B12" s="0" t="n">
        <f aca="false">SIMM_Delta!D34</f>
        <v>0</v>
      </c>
      <c r="C12" s="0" t="n">
        <f aca="false">Python_Ref!C12</f>
        <v>0</v>
      </c>
      <c r="D12" s="0" t="n">
        <f aca="false">IF(Python_Ref!D12="text",IF(B12=C12,0,1),IF(Python_Ref!D12="rel",ABS(B12-C12)/MAX(1,ABS(C12)),ABS(B12-C12)))</f>
        <v>0</v>
      </c>
      <c r="E12" s="0" t="n">
        <f aca="false">Python_Ref!E12</f>
        <v>1E-009</v>
      </c>
      <c r="F12" s="0" t="n">
        <f aca="false">IF(D12&lt;=E12,1,0)</f>
        <v>1</v>
      </c>
    </row>
    <row r="13" customFormat="false" ht="15" hidden="false" customHeight="false" outlineLevel="0" collapsed="false">
      <c r="A13" s="0" t="str">
        <f aca="false">Python_Ref!B13</f>
        <v>ws IR USD 3m</v>
      </c>
      <c r="B13" s="0" t="n">
        <f aca="false">SIMM_Delta!D35</f>
        <v>4103.43880670599</v>
      </c>
      <c r="C13" s="0" t="n">
        <f aca="false">Python_Ref!C13</f>
        <v>4103.43880670599</v>
      </c>
      <c r="D13" s="0" t="n">
        <f aca="false">IF(Python_Ref!D13="text",IF(B13=C13,0,1),IF(Python_Ref!D13="rel",ABS(B13-C13)/MAX(1,ABS(C13)),ABS(B13-C13)))</f>
        <v>0</v>
      </c>
      <c r="E13" s="0" t="n">
        <f aca="false">Python_Ref!E13</f>
        <v>1E-009</v>
      </c>
      <c r="F13" s="0" t="n">
        <f aca="false">IF(D13&lt;=E13,1,0)</f>
        <v>1</v>
      </c>
    </row>
    <row r="14" customFormat="false" ht="15" hidden="false" customHeight="false" outlineLevel="0" collapsed="false">
      <c r="A14" s="0" t="str">
        <f aca="false">Python_Ref!B14</f>
        <v>ws IR USD 6m</v>
      </c>
      <c r="B14" s="0" t="n">
        <f aca="false">SIMM_Delta!D36</f>
        <v>125878.891356343</v>
      </c>
      <c r="C14" s="0" t="n">
        <f aca="false">Python_Ref!C14</f>
        <v>125878.891356343</v>
      </c>
      <c r="D14" s="0" t="n">
        <f aca="false">IF(Python_Ref!D14="text",IF(B14=C14,0,1),IF(Python_Ref!D14="rel",ABS(B14-C14)/MAX(1,ABS(C14)),ABS(B14-C14)))</f>
        <v>0</v>
      </c>
      <c r="E14" s="0" t="n">
        <f aca="false">Python_Ref!E14</f>
        <v>1E-009</v>
      </c>
      <c r="F14" s="0" t="n">
        <f aca="false">IF(D14&lt;=E14,1,0)</f>
        <v>1</v>
      </c>
    </row>
    <row r="15" customFormat="false" ht="15" hidden="false" customHeight="false" outlineLevel="0" collapsed="false">
      <c r="A15" s="0" t="str">
        <f aca="false">Python_Ref!B15</f>
        <v>ws IR USD 1y</v>
      </c>
      <c r="B15" s="0" t="n">
        <f aca="false">SIMM_Delta!D37</f>
        <v>-357363.244117359</v>
      </c>
      <c r="C15" s="0" t="n">
        <f aca="false">Python_Ref!C15</f>
        <v>-357363.244117359</v>
      </c>
      <c r="D15" s="0" t="n">
        <f aca="false">IF(Python_Ref!D15="text",IF(B15=C15,0,1),IF(Python_Ref!D15="rel",ABS(B15-C15)/MAX(1,ABS(C15)),ABS(B15-C15)))</f>
        <v>0</v>
      </c>
      <c r="E15" s="0" t="n">
        <f aca="false">Python_Ref!E15</f>
        <v>1E-009</v>
      </c>
      <c r="F15" s="0" t="n">
        <f aca="false">IF(D15&lt;=E15,1,0)</f>
        <v>1</v>
      </c>
    </row>
    <row r="16" customFormat="false" ht="15" hidden="false" customHeight="false" outlineLevel="0" collapsed="false">
      <c r="A16" s="0" t="str">
        <f aca="false">Python_Ref!B16</f>
        <v>ws IR USD 2y</v>
      </c>
      <c r="B16" s="0" t="n">
        <f aca="false">SIMM_Delta!D38</f>
        <v>771461.054334019</v>
      </c>
      <c r="C16" s="0" t="n">
        <f aca="false">Python_Ref!C16</f>
        <v>771461.054334019</v>
      </c>
      <c r="D16" s="0" t="n">
        <f aca="false">IF(Python_Ref!D16="text",IF(B16=C16,0,1),IF(Python_Ref!D16="rel",ABS(B16-C16)/MAX(1,ABS(C16)),ABS(B16-C16)))</f>
        <v>0</v>
      </c>
      <c r="E16" s="0" t="n">
        <f aca="false">Python_Ref!E16</f>
        <v>1E-009</v>
      </c>
      <c r="F16" s="0" t="n">
        <f aca="false">IF(D16&lt;=E16,1,0)</f>
        <v>1</v>
      </c>
    </row>
    <row r="17" customFormat="false" ht="15" hidden="false" customHeight="false" outlineLevel="0" collapsed="false">
      <c r="A17" s="0" t="str">
        <f aca="false">Python_Ref!B17</f>
        <v>ws IR USD 3y</v>
      </c>
      <c r="B17" s="0" t="n">
        <f aca="false">SIMM_Delta!D39</f>
        <v>-5610.33935691239</v>
      </c>
      <c r="C17" s="0" t="n">
        <f aca="false">Python_Ref!C17</f>
        <v>-5610.33935691239</v>
      </c>
      <c r="D17" s="0" t="n">
        <f aca="false">IF(Python_Ref!D17="text",IF(B17=C17,0,1),IF(Python_Ref!D17="rel",ABS(B17-C17)/MAX(1,ABS(C17)),ABS(B17-C17)))</f>
        <v>0</v>
      </c>
      <c r="E17" s="0" t="n">
        <f aca="false">Python_Ref!E17</f>
        <v>1E-009</v>
      </c>
      <c r="F17" s="0" t="n">
        <f aca="false">IF(D17&lt;=E17,1,0)</f>
        <v>1</v>
      </c>
    </row>
    <row r="18" customFormat="false" ht="15" hidden="false" customHeight="false" outlineLevel="0" collapsed="false">
      <c r="A18" s="0" t="str">
        <f aca="false">Python_Ref!B18</f>
        <v>ws IR USD 5y</v>
      </c>
      <c r="B18" s="0" t="n">
        <f aca="false">SIMM_Delta!D40</f>
        <v>-231816.33378485</v>
      </c>
      <c r="C18" s="0" t="n">
        <f aca="false">Python_Ref!C18</f>
        <v>-231816.333784849</v>
      </c>
      <c r="D18" s="0" t="n">
        <f aca="false">IF(Python_Ref!D18="text",IF(B18=C18,0,1),IF(Python_Ref!D18="rel",ABS(B18-C18)/MAX(1,ABS(C18)),ABS(B18-C18)))</f>
        <v>0</v>
      </c>
      <c r="E18" s="0" t="n">
        <f aca="false">Python_Ref!E18</f>
        <v>1E-009</v>
      </c>
      <c r="F18" s="0" t="n">
        <f aca="false">IF(D18&lt;=E18,1,0)</f>
        <v>1</v>
      </c>
    </row>
    <row r="19" customFormat="false" ht="15" hidden="false" customHeight="false" outlineLevel="0" collapsed="false">
      <c r="A19" s="0" t="str">
        <f aca="false">Python_Ref!B19</f>
        <v>ws IR USD 10y</v>
      </c>
      <c r="B19" s="0" t="n">
        <f aca="false">SIMM_Delta!D41</f>
        <v>1383391.75817609</v>
      </c>
      <c r="C19" s="0" t="n">
        <f aca="false">Python_Ref!C19</f>
        <v>1383391.75817609</v>
      </c>
      <c r="D19" s="0" t="n">
        <f aca="false">IF(Python_Ref!D19="text",IF(B19=C19,0,1),IF(Python_Ref!D19="rel",ABS(B19-C19)/MAX(1,ABS(C19)),ABS(B19-C19)))</f>
        <v>0</v>
      </c>
      <c r="E19" s="0" t="n">
        <f aca="false">Python_Ref!E19</f>
        <v>1E-009</v>
      </c>
      <c r="F19" s="0" t="n">
        <f aca="false">IF(D19&lt;=E19,1,0)</f>
        <v>1</v>
      </c>
    </row>
    <row r="20" customFormat="false" ht="15" hidden="false" customHeight="false" outlineLevel="0" collapsed="false">
      <c r="A20" s="0" t="str">
        <f aca="false">Python_Ref!B20</f>
        <v>ws IR USD 15y</v>
      </c>
      <c r="B20" s="0" t="n">
        <f aca="false">SIMM_Delta!D42</f>
        <v>4917.97544774961</v>
      </c>
      <c r="C20" s="0" t="n">
        <f aca="false">Python_Ref!C20</f>
        <v>4917.97544774961</v>
      </c>
      <c r="D20" s="0" t="n">
        <f aca="false">IF(Python_Ref!D20="text",IF(B20=C20,0,1),IF(Python_Ref!D20="rel",ABS(B20-C20)/MAX(1,ABS(C20)),ABS(B20-C20)))</f>
        <v>0</v>
      </c>
      <c r="E20" s="0" t="n">
        <f aca="false">Python_Ref!E20</f>
        <v>1E-009</v>
      </c>
      <c r="F20" s="0" t="n">
        <f aca="false">IF(D20&lt;=E20,1,0)</f>
        <v>1</v>
      </c>
    </row>
    <row r="21" customFormat="false" ht="15" hidden="false" customHeight="false" outlineLevel="0" collapsed="false">
      <c r="A21" s="0" t="str">
        <f aca="false">Python_Ref!B21</f>
        <v>ws IR USD 20y</v>
      </c>
      <c r="B21" s="0" t="n">
        <f aca="false">SIMM_Delta!D43</f>
        <v>12818.8635610858</v>
      </c>
      <c r="C21" s="0" t="n">
        <f aca="false">Python_Ref!C21</f>
        <v>12818.8635610858</v>
      </c>
      <c r="D21" s="0" t="n">
        <f aca="false">IF(Python_Ref!D21="text",IF(B21=C21,0,1),IF(Python_Ref!D21="rel",ABS(B21-C21)/MAX(1,ABS(C21)),ABS(B21-C21)))</f>
        <v>0</v>
      </c>
      <c r="E21" s="0" t="n">
        <f aca="false">Python_Ref!E21</f>
        <v>1E-009</v>
      </c>
      <c r="F21" s="0" t="n">
        <f aca="false">IF(D21&lt;=E21,1,0)</f>
        <v>1</v>
      </c>
    </row>
    <row r="22" customFormat="false" ht="15" hidden="false" customHeight="false" outlineLevel="0" collapsed="false">
      <c r="A22" s="0" t="str">
        <f aca="false">Python_Ref!B22</f>
        <v>ws IR USD 30y</v>
      </c>
      <c r="B22" s="0" t="n">
        <f aca="false">SIMM_Delta!D44</f>
        <v>-1014352.46133602</v>
      </c>
      <c r="C22" s="0" t="n">
        <f aca="false">Python_Ref!C22</f>
        <v>-1014352.46133602</v>
      </c>
      <c r="D22" s="0" t="n">
        <f aca="false">IF(Python_Ref!D22="text",IF(B22=C22,0,1),IF(Python_Ref!D22="rel",ABS(B22-C22)/MAX(1,ABS(C22)),ABS(B22-C22)))</f>
        <v>0</v>
      </c>
      <c r="E22" s="0" t="n">
        <f aca="false">Python_Ref!E22</f>
        <v>1E-009</v>
      </c>
      <c r="F22" s="0" t="n">
        <f aca="false">IF(D22&lt;=E22,1,0)</f>
        <v>1</v>
      </c>
    </row>
    <row r="23" customFormat="false" ht="15" hidden="false" customHeight="false" outlineLevel="0" collapsed="false">
      <c r="A23" s="0" t="str">
        <f aca="false">Python_Ref!B23</f>
        <v>cr IR Delta USD</v>
      </c>
      <c r="B23" s="0" t="n">
        <f aca="false">SIMM_Delta!B28</f>
        <v>1</v>
      </c>
      <c r="C23" s="0" t="n">
        <f aca="false">Python_Ref!C23</f>
        <v>1</v>
      </c>
      <c r="D23" s="0" t="n">
        <f aca="false">IF(Python_Ref!D23="text",IF(B23=C23,0,1),IF(Python_Ref!D23="rel",ABS(B23-C23)/MAX(1,ABS(C23)),ABS(B23-C23)))</f>
        <v>0</v>
      </c>
      <c r="E23" s="0" t="n">
        <f aca="false">Python_Ref!E23</f>
        <v>1E-009</v>
      </c>
      <c r="F23" s="0" t="n">
        <f aca="false">IF(D23&lt;=E23,1,0)</f>
        <v>1</v>
      </c>
    </row>
    <row r="24" customFormat="false" ht="15" hidden="false" customHeight="false" outlineLevel="0" collapsed="false">
      <c r="A24" s="0" t="str">
        <f aca="false">Python_Ref!B24</f>
        <v>k IR Delta USD</v>
      </c>
      <c r="B24" s="0" t="n">
        <f aca="false">SIMM_Delta!B29</f>
        <v>808937.048870217</v>
      </c>
      <c r="C24" s="0" t="n">
        <f aca="false">Python_Ref!C24</f>
        <v>808937.048870217</v>
      </c>
      <c r="D24" s="0" t="n">
        <f aca="false">IF(Python_Ref!D24="text",IF(B24=C24,0,1),IF(Python_Ref!D24="rel",ABS(B24-C24)/MAX(1,ABS(C24)),ABS(B24-C24)))</f>
        <v>0</v>
      </c>
      <c r="E24" s="0" t="n">
        <f aca="false">Python_Ref!E24</f>
        <v>1E-009</v>
      </c>
      <c r="F24" s="0" t="n">
        <f aca="false">IF(D24&lt;=E24,1,0)</f>
        <v>1</v>
      </c>
    </row>
    <row r="25" customFormat="false" ht="15" hidden="false" customHeight="false" outlineLevel="0" collapsed="false">
      <c r="A25" s="0" t="str">
        <f aca="false">Python_Ref!B25</f>
        <v>s IR Delta USD</v>
      </c>
      <c r="B25" s="0" t="n">
        <f aca="false">SIMM_Delta!B31</f>
        <v>693429.60308686</v>
      </c>
      <c r="C25" s="0" t="n">
        <f aca="false">Python_Ref!C25</f>
        <v>693429.60308686</v>
      </c>
      <c r="D25" s="0" t="n">
        <f aca="false">IF(Python_Ref!D25="text",IF(B25=C25,0,1),IF(Python_Ref!D25="rel",ABS(B25-C25)/MAX(1,ABS(C25)),ABS(B25-C25)))</f>
        <v>0</v>
      </c>
      <c r="E25" s="0" t="n">
        <f aca="false">Python_Ref!E25</f>
        <v>1E-009</v>
      </c>
      <c r="F25" s="0" t="n">
        <f aca="false">IF(D25&lt;=E25,1,0)</f>
        <v>1</v>
      </c>
    </row>
    <row r="26" customFormat="false" ht="15" hidden="false" customHeight="false" outlineLevel="0" collapsed="false">
      <c r="A26" s="0" t="str">
        <f aca="false">Python_Ref!B26</f>
        <v>ws IR EUR 2w</v>
      </c>
      <c r="B26" s="0" t="n">
        <f aca="false">SIMM_Delta!D58</f>
        <v>0</v>
      </c>
      <c r="C26" s="0" t="n">
        <f aca="false">Python_Ref!C26</f>
        <v>0</v>
      </c>
      <c r="D26" s="0" t="n">
        <f aca="false">IF(Python_Ref!D26="text",IF(B26=C26,0,1),IF(Python_Ref!D26="rel",ABS(B26-C26)/MAX(1,ABS(C26)),ABS(B26-C26)))</f>
        <v>0</v>
      </c>
      <c r="E26" s="0" t="n">
        <f aca="false">Python_Ref!E26</f>
        <v>1E-009</v>
      </c>
      <c r="F26" s="0" t="n">
        <f aca="false">IF(D26&lt;=E26,1,0)</f>
        <v>1</v>
      </c>
    </row>
    <row r="27" customFormat="false" ht="15" hidden="false" customHeight="false" outlineLevel="0" collapsed="false">
      <c r="A27" s="0" t="str">
        <f aca="false">Python_Ref!B27</f>
        <v>ws IR EUR 1m</v>
      </c>
      <c r="B27" s="0" t="n">
        <f aca="false">SIMM_Delta!D59</f>
        <v>0</v>
      </c>
      <c r="C27" s="0" t="n">
        <f aca="false">Python_Ref!C27</f>
        <v>0</v>
      </c>
      <c r="D27" s="0" t="n">
        <f aca="false">IF(Python_Ref!D27="text",IF(B27=C27,0,1),IF(Python_Ref!D27="rel",ABS(B27-C27)/MAX(1,ABS(C27)),ABS(B27-C27)))</f>
        <v>0</v>
      </c>
      <c r="E27" s="0" t="n">
        <f aca="false">Python_Ref!E27</f>
        <v>1E-009</v>
      </c>
      <c r="F27" s="0" t="n">
        <f aca="false">IF(D27&lt;=E27,1,0)</f>
        <v>1</v>
      </c>
    </row>
    <row r="28" customFormat="false" ht="15" hidden="false" customHeight="false" outlineLevel="0" collapsed="false">
      <c r="A28" s="0" t="str">
        <f aca="false">Python_Ref!B28</f>
        <v>ws IR EUR 3m</v>
      </c>
      <c r="B28" s="0" t="n">
        <f aca="false">SIMM_Delta!D60</f>
        <v>-54142.0181356907</v>
      </c>
      <c r="C28" s="0" t="n">
        <f aca="false">Python_Ref!C28</f>
        <v>-54142.0181356907</v>
      </c>
      <c r="D28" s="0" t="n">
        <f aca="false">IF(Python_Ref!D28="text",IF(B28=C28,0,1),IF(Python_Ref!D28="rel",ABS(B28-C28)/MAX(1,ABS(C28)),ABS(B28-C28)))</f>
        <v>0</v>
      </c>
      <c r="E28" s="0" t="n">
        <f aca="false">Python_Ref!E28</f>
        <v>1E-009</v>
      </c>
      <c r="F28" s="0" t="n">
        <f aca="false">IF(D28&lt;=E28,1,0)</f>
        <v>1</v>
      </c>
    </row>
    <row r="29" customFormat="false" ht="15" hidden="false" customHeight="false" outlineLevel="0" collapsed="false">
      <c r="A29" s="0" t="str">
        <f aca="false">Python_Ref!B29</f>
        <v>ws IR EUR 6m</v>
      </c>
      <c r="B29" s="0" t="n">
        <f aca="false">SIMM_Delta!D61</f>
        <v>-102651.745589929</v>
      </c>
      <c r="C29" s="0" t="n">
        <f aca="false">Python_Ref!C29</f>
        <v>-102651.745589929</v>
      </c>
      <c r="D29" s="0" t="n">
        <f aca="false">IF(Python_Ref!D29="text",IF(B29=C29,0,1),IF(Python_Ref!D29="rel",ABS(B29-C29)/MAX(1,ABS(C29)),ABS(B29-C29)))</f>
        <v>0</v>
      </c>
      <c r="E29" s="0" t="n">
        <f aca="false">Python_Ref!E29</f>
        <v>1E-009</v>
      </c>
      <c r="F29" s="0" t="n">
        <f aca="false">IF(D29&lt;=E29,1,0)</f>
        <v>1</v>
      </c>
    </row>
    <row r="30" customFormat="false" ht="15" hidden="false" customHeight="false" outlineLevel="0" collapsed="false">
      <c r="A30" s="0" t="str">
        <f aca="false">Python_Ref!B30</f>
        <v>ws IR EUR 1y</v>
      </c>
      <c r="B30" s="0" t="n">
        <f aca="false">SIMM_Delta!D62</f>
        <v>-199.090336791381</v>
      </c>
      <c r="C30" s="0" t="n">
        <f aca="false">Python_Ref!C30</f>
        <v>-199.090336791381</v>
      </c>
      <c r="D30" s="0" t="n">
        <f aca="false">IF(Python_Ref!D30="text",IF(B30=C30,0,1),IF(Python_Ref!D30="rel",ABS(B30-C30)/MAX(1,ABS(C30)),ABS(B30-C30)))</f>
        <v>0</v>
      </c>
      <c r="E30" s="0" t="n">
        <f aca="false">Python_Ref!E30</f>
        <v>1E-009</v>
      </c>
      <c r="F30" s="0" t="n">
        <f aca="false">IF(D30&lt;=E30,1,0)</f>
        <v>1</v>
      </c>
    </row>
    <row r="31" customFormat="false" ht="15" hidden="false" customHeight="false" outlineLevel="0" collapsed="false">
      <c r="A31" s="0" t="str">
        <f aca="false">Python_Ref!B31</f>
        <v>ws IR EUR 2y</v>
      </c>
      <c r="B31" s="0" t="n">
        <f aca="false">SIMM_Delta!D63</f>
        <v>-408.894363594905</v>
      </c>
      <c r="C31" s="0" t="n">
        <f aca="false">Python_Ref!C31</f>
        <v>-408.894363594905</v>
      </c>
      <c r="D31" s="0" t="n">
        <f aca="false">IF(Python_Ref!D31="text",IF(B31=C31,0,1),IF(Python_Ref!D31="rel",ABS(B31-C31)/MAX(1,ABS(C31)),ABS(B31-C31)))</f>
        <v>0</v>
      </c>
      <c r="E31" s="0" t="n">
        <f aca="false">Python_Ref!E31</f>
        <v>1E-009</v>
      </c>
      <c r="F31" s="0" t="n">
        <f aca="false">IF(D31&lt;=E31,1,0)</f>
        <v>1</v>
      </c>
    </row>
    <row r="32" customFormat="false" ht="15" hidden="false" customHeight="false" outlineLevel="0" collapsed="false">
      <c r="A32" s="0" t="str">
        <f aca="false">Python_Ref!B32</f>
        <v>ws IR EUR 3y</v>
      </c>
      <c r="B32" s="0" t="n">
        <f aca="false">SIMM_Delta!D64</f>
        <v>222777.621176648</v>
      </c>
      <c r="C32" s="0" t="n">
        <f aca="false">Python_Ref!C32</f>
        <v>222777.621176648</v>
      </c>
      <c r="D32" s="0" t="n">
        <f aca="false">IF(Python_Ref!D32="text",IF(B32=C32,0,1),IF(Python_Ref!D32="rel",ABS(B32-C32)/MAX(1,ABS(C32)),ABS(B32-C32)))</f>
        <v>0</v>
      </c>
      <c r="E32" s="0" t="n">
        <f aca="false">Python_Ref!E32</f>
        <v>1E-009</v>
      </c>
      <c r="F32" s="0" t="n">
        <f aca="false">IF(D32&lt;=E32,1,0)</f>
        <v>1</v>
      </c>
    </row>
    <row r="33" customFormat="false" ht="15" hidden="false" customHeight="false" outlineLevel="0" collapsed="false">
      <c r="A33" s="0" t="str">
        <f aca="false">Python_Ref!B33</f>
        <v>ws IR EUR 5y</v>
      </c>
      <c r="B33" s="0" t="n">
        <f aca="false">SIMM_Delta!D65</f>
        <v>1214933.7842762</v>
      </c>
      <c r="C33" s="0" t="n">
        <f aca="false">Python_Ref!C33</f>
        <v>1214933.7842762</v>
      </c>
      <c r="D33" s="0" t="n">
        <f aca="false">IF(Python_Ref!D33="text",IF(B33=C33,0,1),IF(Python_Ref!D33="rel",ABS(B33-C33)/MAX(1,ABS(C33)),ABS(B33-C33)))</f>
        <v>0</v>
      </c>
      <c r="E33" s="0" t="n">
        <f aca="false">Python_Ref!E33</f>
        <v>1E-009</v>
      </c>
      <c r="F33" s="0" t="n">
        <f aca="false">IF(D33&lt;=E33,1,0)</f>
        <v>1</v>
      </c>
    </row>
    <row r="34" customFormat="false" ht="15" hidden="false" customHeight="false" outlineLevel="0" collapsed="false">
      <c r="A34" s="0" t="str">
        <f aca="false">Python_Ref!B34</f>
        <v>ws IR EUR 10y</v>
      </c>
      <c r="B34" s="0" t="n">
        <f aca="false">SIMM_Delta!D66</f>
        <v>-1584897.29091792</v>
      </c>
      <c r="C34" s="0" t="n">
        <f aca="false">Python_Ref!C34</f>
        <v>-1584897.29091792</v>
      </c>
      <c r="D34" s="0" t="n">
        <f aca="false">IF(Python_Ref!D34="text",IF(B34=C34,0,1),IF(Python_Ref!D34="rel",ABS(B34-C34)/MAX(1,ABS(C34)),ABS(B34-C34)))</f>
        <v>0</v>
      </c>
      <c r="E34" s="0" t="n">
        <f aca="false">Python_Ref!E34</f>
        <v>1E-009</v>
      </c>
      <c r="F34" s="0" t="n">
        <f aca="false">IF(D34&lt;=E34,1,0)</f>
        <v>1</v>
      </c>
    </row>
    <row r="35" customFormat="false" ht="15" hidden="false" customHeight="false" outlineLevel="0" collapsed="false">
      <c r="A35" s="0" t="str">
        <f aca="false">Python_Ref!B35</f>
        <v>ws IR EUR 15y</v>
      </c>
      <c r="B35" s="0" t="n">
        <f aca="false">SIMM_Delta!D67</f>
        <v>-1001898.69524798</v>
      </c>
      <c r="C35" s="0" t="n">
        <f aca="false">Python_Ref!C35</f>
        <v>-1001898.69524799</v>
      </c>
      <c r="D35" s="0" t="n">
        <f aca="false">IF(Python_Ref!D35="text",IF(B35=C35,0,1),IF(Python_Ref!D35="rel",ABS(B35-C35)/MAX(1,ABS(C35)),ABS(B35-C35)))</f>
        <v>0</v>
      </c>
      <c r="E35" s="0" t="n">
        <f aca="false">Python_Ref!E35</f>
        <v>1E-009</v>
      </c>
      <c r="F35" s="0" t="n">
        <f aca="false">IF(D35&lt;=E35,1,0)</f>
        <v>1</v>
      </c>
    </row>
    <row r="36" customFormat="false" ht="15" hidden="false" customHeight="false" outlineLevel="0" collapsed="false">
      <c r="A36" s="0" t="str">
        <f aca="false">Python_Ref!B36</f>
        <v>ws IR EUR 20y</v>
      </c>
      <c r="B36" s="0" t="n">
        <f aca="false">SIMM_Delta!D68</f>
        <v>0</v>
      </c>
      <c r="C36" s="0" t="n">
        <f aca="false">Python_Ref!C36</f>
        <v>0</v>
      </c>
      <c r="D36" s="0" t="n">
        <f aca="false">IF(Python_Ref!D36="text",IF(B36=C36,0,1),IF(Python_Ref!D36="rel",ABS(B36-C36)/MAX(1,ABS(C36)),ABS(B36-C36)))</f>
        <v>0</v>
      </c>
      <c r="E36" s="0" t="n">
        <f aca="false">Python_Ref!E36</f>
        <v>1E-009</v>
      </c>
      <c r="F36" s="0" t="n">
        <f aca="false">IF(D36&lt;=E36,1,0)</f>
        <v>1</v>
      </c>
    </row>
    <row r="37" customFormat="false" ht="15" hidden="false" customHeight="false" outlineLevel="0" collapsed="false">
      <c r="A37" s="0" t="str">
        <f aca="false">Python_Ref!B37</f>
        <v>ws IR EUR 30y</v>
      </c>
      <c r="B37" s="0" t="n">
        <f aca="false">SIMM_Delta!D69</f>
        <v>0</v>
      </c>
      <c r="C37" s="0" t="n">
        <f aca="false">Python_Ref!C37</f>
        <v>0</v>
      </c>
      <c r="D37" s="0" t="n">
        <f aca="false">IF(Python_Ref!D37="text",IF(B37=C37,0,1),IF(Python_Ref!D37="rel",ABS(B37-C37)/MAX(1,ABS(C37)),ABS(B37-C37)))</f>
        <v>0</v>
      </c>
      <c r="E37" s="0" t="n">
        <f aca="false">Python_Ref!E37</f>
        <v>1E-009</v>
      </c>
      <c r="F37" s="0" t="n">
        <f aca="false">IF(D37&lt;=E37,1,0)</f>
        <v>1</v>
      </c>
    </row>
    <row r="38" customFormat="false" ht="15" hidden="false" customHeight="false" outlineLevel="0" collapsed="false">
      <c r="A38" s="0" t="str">
        <f aca="false">Python_Ref!B38</f>
        <v>cr IR Delta EUR</v>
      </c>
      <c r="B38" s="0" t="n">
        <f aca="false">SIMM_Delta!B53</f>
        <v>1</v>
      </c>
      <c r="C38" s="0" t="n">
        <f aca="false">Python_Ref!C38</f>
        <v>1</v>
      </c>
      <c r="D38" s="0" t="n">
        <f aca="false">IF(Python_Ref!D38="text",IF(B38=C38,0,1),IF(Python_Ref!D38="rel",ABS(B38-C38)/MAX(1,ABS(C38)),ABS(B38-C38)))</f>
        <v>0</v>
      </c>
      <c r="E38" s="0" t="n">
        <f aca="false">Python_Ref!E38</f>
        <v>1E-009</v>
      </c>
      <c r="F38" s="0" t="n">
        <f aca="false">IF(D38&lt;=E38,1,0)</f>
        <v>1</v>
      </c>
    </row>
    <row r="39" customFormat="false" ht="15" hidden="false" customHeight="false" outlineLevel="0" collapsed="false">
      <c r="A39" s="0" t="str">
        <f aca="false">Python_Ref!B39</f>
        <v>k IR Delta EUR</v>
      </c>
      <c r="B39" s="0" t="n">
        <f aca="false">SIMM_Delta!B54</f>
        <v>1351537.68258669</v>
      </c>
      <c r="C39" s="0" t="n">
        <f aca="false">Python_Ref!C39</f>
        <v>1351537.68258669</v>
      </c>
      <c r="D39" s="0" t="n">
        <f aca="false">IF(Python_Ref!D39="text",IF(B39=C39,0,1),IF(Python_Ref!D39="rel",ABS(B39-C39)/MAX(1,ABS(C39)),ABS(B39-C39)))</f>
        <v>0</v>
      </c>
      <c r="E39" s="0" t="n">
        <f aca="false">Python_Ref!E39</f>
        <v>1E-009</v>
      </c>
      <c r="F39" s="0" t="n">
        <f aca="false">IF(D39&lt;=E39,1,0)</f>
        <v>1</v>
      </c>
    </row>
    <row r="40" customFormat="false" ht="15" hidden="false" customHeight="false" outlineLevel="0" collapsed="false">
      <c r="A40" s="0" t="str">
        <f aca="false">Python_Ref!B40</f>
        <v>s IR Delta EUR</v>
      </c>
      <c r="B40" s="0" t="n">
        <f aca="false">SIMM_Delta!B56</f>
        <v>-1306486.32913907</v>
      </c>
      <c r="C40" s="0" t="n">
        <f aca="false">Python_Ref!C40</f>
        <v>-1306486.32913907</v>
      </c>
      <c r="D40" s="0" t="n">
        <f aca="false">IF(Python_Ref!D40="text",IF(B40=C40,0,1),IF(Python_Ref!D40="rel",ABS(B40-C40)/MAX(1,ABS(C40)),ABS(B40-C40)))</f>
        <v>0</v>
      </c>
      <c r="E40" s="0" t="n">
        <f aca="false">Python_Ref!E40</f>
        <v>1E-009</v>
      </c>
      <c r="F40" s="0" t="n">
        <f aca="false">IF(D40&lt;=E40,1,0)</f>
        <v>1</v>
      </c>
    </row>
    <row r="41" customFormat="false" ht="15" hidden="false" customHeight="false" outlineLevel="0" collapsed="false">
      <c r="A41" s="0" t="str">
        <f aca="false">Python_Ref!B41</f>
        <v>ws IR GBP 2w</v>
      </c>
      <c r="B41" s="0" t="n">
        <f aca="false">SIMM_Delta!D83</f>
        <v>0</v>
      </c>
      <c r="C41" s="0" t="n">
        <f aca="false">Python_Ref!C41</f>
        <v>0</v>
      </c>
      <c r="D41" s="0" t="n">
        <f aca="false">IF(Python_Ref!D41="text",IF(B41=C41,0,1),IF(Python_Ref!D41="rel",ABS(B41-C41)/MAX(1,ABS(C41)),ABS(B41-C41)))</f>
        <v>0</v>
      </c>
      <c r="E41" s="0" t="n">
        <f aca="false">Python_Ref!E41</f>
        <v>1E-009</v>
      </c>
      <c r="F41" s="0" t="n">
        <f aca="false">IF(D41&lt;=E41,1,0)</f>
        <v>1</v>
      </c>
    </row>
    <row r="42" customFormat="false" ht="15" hidden="false" customHeight="false" outlineLevel="0" collapsed="false">
      <c r="A42" s="0" t="str">
        <f aca="false">Python_Ref!B42</f>
        <v>ws IR GBP 1m</v>
      </c>
      <c r="B42" s="0" t="n">
        <f aca="false">SIMM_Delta!D84</f>
        <v>0</v>
      </c>
      <c r="C42" s="0" t="n">
        <f aca="false">Python_Ref!C42</f>
        <v>0</v>
      </c>
      <c r="D42" s="0" t="n">
        <f aca="false">IF(Python_Ref!D42="text",IF(B42=C42,0,1),IF(Python_Ref!D42="rel",ABS(B42-C42)/MAX(1,ABS(C42)),ABS(B42-C42)))</f>
        <v>0</v>
      </c>
      <c r="E42" s="0" t="n">
        <f aca="false">Python_Ref!E42</f>
        <v>1E-009</v>
      </c>
      <c r="F42" s="0" t="n">
        <f aca="false">IF(D42&lt;=E42,1,0)</f>
        <v>1</v>
      </c>
    </row>
    <row r="43" customFormat="false" ht="15" hidden="false" customHeight="false" outlineLevel="0" collapsed="false">
      <c r="A43" s="0" t="str">
        <f aca="false">Python_Ref!B43</f>
        <v>ws IR GBP 3m</v>
      </c>
      <c r="B43" s="0" t="n">
        <f aca="false">SIMM_Delta!D85</f>
        <v>0</v>
      </c>
      <c r="C43" s="0" t="n">
        <f aca="false">Python_Ref!C43</f>
        <v>0</v>
      </c>
      <c r="D43" s="0" t="n">
        <f aca="false">IF(Python_Ref!D43="text",IF(B43=C43,0,1),IF(Python_Ref!D43="rel",ABS(B43-C43)/MAX(1,ABS(C43)),ABS(B43-C43)))</f>
        <v>0</v>
      </c>
      <c r="E43" s="0" t="n">
        <f aca="false">Python_Ref!E43</f>
        <v>1E-009</v>
      </c>
      <c r="F43" s="0" t="n">
        <f aca="false">IF(D43&lt;=E43,1,0)</f>
        <v>1</v>
      </c>
    </row>
    <row r="44" customFormat="false" ht="15" hidden="false" customHeight="false" outlineLevel="0" collapsed="false">
      <c r="A44" s="0" t="str">
        <f aca="false">Python_Ref!B44</f>
        <v>ws IR GBP 6m</v>
      </c>
      <c r="B44" s="0" t="n">
        <f aca="false">SIMM_Delta!D86</f>
        <v>-7233.75888518688</v>
      </c>
      <c r="C44" s="0" t="n">
        <f aca="false">Python_Ref!C44</f>
        <v>-7233.75888518688</v>
      </c>
      <c r="D44" s="0" t="n">
        <f aca="false">IF(Python_Ref!D44="text",IF(B44=C44,0,1),IF(Python_Ref!D44="rel",ABS(B44-C44)/MAX(1,ABS(C44)),ABS(B44-C44)))</f>
        <v>0</v>
      </c>
      <c r="E44" s="0" t="n">
        <f aca="false">Python_Ref!E44</f>
        <v>1E-009</v>
      </c>
      <c r="F44" s="0" t="n">
        <f aca="false">IF(D44&lt;=E44,1,0)</f>
        <v>1</v>
      </c>
    </row>
    <row r="45" customFormat="false" ht="15" hidden="false" customHeight="false" outlineLevel="0" collapsed="false">
      <c r="A45" s="0" t="str">
        <f aca="false">Python_Ref!B45</f>
        <v>ws IR GBP 1y</v>
      </c>
      <c r="B45" s="0" t="n">
        <f aca="false">SIMM_Delta!D87</f>
        <v>119578.145169815</v>
      </c>
      <c r="C45" s="0" t="n">
        <f aca="false">Python_Ref!C45</f>
        <v>119578.145169815</v>
      </c>
      <c r="D45" s="0" t="n">
        <f aca="false">IF(Python_Ref!D45="text",IF(B45=C45,0,1),IF(Python_Ref!D45="rel",ABS(B45-C45)/MAX(1,ABS(C45)),ABS(B45-C45)))</f>
        <v>0</v>
      </c>
      <c r="E45" s="0" t="n">
        <f aca="false">Python_Ref!E45</f>
        <v>1E-009</v>
      </c>
      <c r="F45" s="0" t="n">
        <f aca="false">IF(D45&lt;=E45,1,0)</f>
        <v>1</v>
      </c>
    </row>
    <row r="46" customFormat="false" ht="15" hidden="false" customHeight="false" outlineLevel="0" collapsed="false">
      <c r="A46" s="0" t="str">
        <f aca="false">Python_Ref!B46</f>
        <v>ws IR GBP 2y</v>
      </c>
      <c r="B46" s="0" t="n">
        <f aca="false">SIMM_Delta!D88</f>
        <v>-2493.34449401354</v>
      </c>
      <c r="C46" s="0" t="n">
        <f aca="false">Python_Ref!C46</f>
        <v>-2493.34449401355</v>
      </c>
      <c r="D46" s="0" t="n">
        <f aca="false">IF(Python_Ref!D46="text",IF(B46=C46,0,1),IF(Python_Ref!D46="rel",ABS(B46-C46)/MAX(1,ABS(C46)),ABS(B46-C46)))</f>
        <v>0</v>
      </c>
      <c r="E46" s="0" t="n">
        <f aca="false">Python_Ref!E46</f>
        <v>1E-009</v>
      </c>
      <c r="F46" s="0" t="n">
        <f aca="false">IF(D46&lt;=E46,1,0)</f>
        <v>1</v>
      </c>
    </row>
    <row r="47" customFormat="false" ht="15" hidden="false" customHeight="false" outlineLevel="0" collapsed="false">
      <c r="A47" s="0" t="str">
        <f aca="false">Python_Ref!B47</f>
        <v>ws IR GBP 3y</v>
      </c>
      <c r="B47" s="0" t="n">
        <f aca="false">SIMM_Delta!D89</f>
        <v>-6141.67989212524</v>
      </c>
      <c r="C47" s="0" t="n">
        <f aca="false">Python_Ref!C47</f>
        <v>-6141.67989212524</v>
      </c>
      <c r="D47" s="0" t="n">
        <f aca="false">IF(Python_Ref!D47="text",IF(B47=C47,0,1),IF(Python_Ref!D47="rel",ABS(B47-C47)/MAX(1,ABS(C47)),ABS(B47-C47)))</f>
        <v>0</v>
      </c>
      <c r="E47" s="0" t="n">
        <f aca="false">Python_Ref!E47</f>
        <v>1E-009</v>
      </c>
      <c r="F47" s="0" t="n">
        <f aca="false">IF(D47&lt;=E47,1,0)</f>
        <v>1</v>
      </c>
    </row>
    <row r="48" customFormat="false" ht="15" hidden="false" customHeight="false" outlineLevel="0" collapsed="false">
      <c r="A48" s="0" t="str">
        <f aca="false">Python_Ref!B48</f>
        <v>ws IR GBP 5y</v>
      </c>
      <c r="B48" s="0" t="n">
        <f aca="false">SIMM_Delta!D90</f>
        <v>1144206.70602616</v>
      </c>
      <c r="C48" s="0" t="n">
        <f aca="false">Python_Ref!C48</f>
        <v>1144206.70602617</v>
      </c>
      <c r="D48" s="0" t="n">
        <f aca="false">IF(Python_Ref!D48="text",IF(B48=C48,0,1),IF(Python_Ref!D48="rel",ABS(B48-C48)/MAX(1,ABS(C48)),ABS(B48-C48)))</f>
        <v>0</v>
      </c>
      <c r="E48" s="0" t="n">
        <f aca="false">Python_Ref!E48</f>
        <v>1E-009</v>
      </c>
      <c r="F48" s="0" t="n">
        <f aca="false">IF(D48&lt;=E48,1,0)</f>
        <v>1</v>
      </c>
    </row>
    <row r="49" customFormat="false" ht="15" hidden="false" customHeight="false" outlineLevel="0" collapsed="false">
      <c r="A49" s="0" t="str">
        <f aca="false">Python_Ref!B49</f>
        <v>ws IR GBP 10y</v>
      </c>
      <c r="B49" s="0" t="n">
        <f aca="false">SIMM_Delta!D91</f>
        <v>-275131.001462749</v>
      </c>
      <c r="C49" s="0" t="n">
        <f aca="false">Python_Ref!C49</f>
        <v>-275131.001462749</v>
      </c>
      <c r="D49" s="0" t="n">
        <f aca="false">IF(Python_Ref!D49="text",IF(B49=C49,0,1),IF(Python_Ref!D49="rel",ABS(B49-C49)/MAX(1,ABS(C49)),ABS(B49-C49)))</f>
        <v>0</v>
      </c>
      <c r="E49" s="0" t="n">
        <f aca="false">Python_Ref!E49</f>
        <v>1E-009</v>
      </c>
      <c r="F49" s="0" t="n">
        <f aca="false">IF(D49&lt;=E49,1,0)</f>
        <v>1</v>
      </c>
    </row>
    <row r="50" customFormat="false" ht="15" hidden="false" customHeight="false" outlineLevel="0" collapsed="false">
      <c r="A50" s="0" t="str">
        <f aca="false">Python_Ref!B50</f>
        <v>ws IR GBP 15y</v>
      </c>
      <c r="B50" s="0" t="n">
        <f aca="false">SIMM_Delta!D92</f>
        <v>0</v>
      </c>
      <c r="C50" s="0" t="n">
        <f aca="false">Python_Ref!C50</f>
        <v>0</v>
      </c>
      <c r="D50" s="0" t="n">
        <f aca="false">IF(Python_Ref!D50="text",IF(B50=C50,0,1),IF(Python_Ref!D50="rel",ABS(B50-C50)/MAX(1,ABS(C50)),ABS(B50-C50)))</f>
        <v>0</v>
      </c>
      <c r="E50" s="0" t="n">
        <f aca="false">Python_Ref!E50</f>
        <v>1E-009</v>
      </c>
      <c r="F50" s="0" t="n">
        <f aca="false">IF(D50&lt;=E50,1,0)</f>
        <v>1</v>
      </c>
    </row>
    <row r="51" customFormat="false" ht="15" hidden="false" customHeight="false" outlineLevel="0" collapsed="false">
      <c r="A51" s="0" t="str">
        <f aca="false">Python_Ref!B51</f>
        <v>ws IR GBP 20y</v>
      </c>
      <c r="B51" s="0" t="n">
        <f aca="false">SIMM_Delta!D93</f>
        <v>0</v>
      </c>
      <c r="C51" s="0" t="n">
        <f aca="false">Python_Ref!C51</f>
        <v>0</v>
      </c>
      <c r="D51" s="0" t="n">
        <f aca="false">IF(Python_Ref!D51="text",IF(B51=C51,0,1),IF(Python_Ref!D51="rel",ABS(B51-C51)/MAX(1,ABS(C51)),ABS(B51-C51)))</f>
        <v>0</v>
      </c>
      <c r="E51" s="0" t="n">
        <f aca="false">Python_Ref!E51</f>
        <v>1E-009</v>
      </c>
      <c r="F51" s="0" t="n">
        <f aca="false">IF(D51&lt;=E51,1,0)</f>
        <v>1</v>
      </c>
    </row>
    <row r="52" customFormat="false" ht="15" hidden="false" customHeight="false" outlineLevel="0" collapsed="false">
      <c r="A52" s="0" t="str">
        <f aca="false">Python_Ref!B52</f>
        <v>ws IR GBP 30y</v>
      </c>
      <c r="B52" s="0" t="n">
        <f aca="false">SIMM_Delta!D94</f>
        <v>0</v>
      </c>
      <c r="C52" s="0" t="n">
        <f aca="false">Python_Ref!C52</f>
        <v>0</v>
      </c>
      <c r="D52" s="0" t="n">
        <f aca="false">IF(Python_Ref!D52="text",IF(B52=C52,0,1),IF(Python_Ref!D52="rel",ABS(B52-C52)/MAX(1,ABS(C52)),ABS(B52-C52)))</f>
        <v>0</v>
      </c>
      <c r="E52" s="0" t="n">
        <f aca="false">Python_Ref!E52</f>
        <v>1E-009</v>
      </c>
      <c r="F52" s="0" t="n">
        <f aca="false">IF(D52&lt;=E52,1,0)</f>
        <v>1</v>
      </c>
    </row>
    <row r="53" customFormat="false" ht="15" hidden="false" customHeight="false" outlineLevel="0" collapsed="false">
      <c r="A53" s="0" t="str">
        <f aca="false">Python_Ref!B53</f>
        <v>cr IR Delta GBP</v>
      </c>
      <c r="B53" s="0" t="n">
        <f aca="false">SIMM_Delta!B78</f>
        <v>1</v>
      </c>
      <c r="C53" s="0" t="n">
        <f aca="false">Python_Ref!C53</f>
        <v>1</v>
      </c>
      <c r="D53" s="0" t="n">
        <f aca="false">IF(Python_Ref!D53="text",IF(B53=C53,0,1),IF(Python_Ref!D53="rel",ABS(B53-C53)/MAX(1,ABS(C53)),ABS(B53-C53)))</f>
        <v>0</v>
      </c>
      <c r="E53" s="0" t="n">
        <f aca="false">Python_Ref!E53</f>
        <v>1E-009</v>
      </c>
      <c r="F53" s="0" t="n">
        <f aca="false">IF(D53&lt;=E53,1,0)</f>
        <v>1</v>
      </c>
    </row>
    <row r="54" customFormat="false" ht="15" hidden="false" customHeight="false" outlineLevel="0" collapsed="false">
      <c r="A54" s="0" t="str">
        <f aca="false">Python_Ref!B54</f>
        <v>k IR Delta GBP</v>
      </c>
      <c r="B54" s="0" t="n">
        <f aca="false">SIMM_Delta!B79</f>
        <v>971143.530279385</v>
      </c>
      <c r="C54" s="0" t="n">
        <f aca="false">Python_Ref!C54</f>
        <v>971143.530279385</v>
      </c>
      <c r="D54" s="0" t="n">
        <f aca="false">IF(Python_Ref!D54="text",IF(B54=C54,0,1),IF(Python_Ref!D54="rel",ABS(B54-C54)/MAX(1,ABS(C54)),ABS(B54-C54)))</f>
        <v>0</v>
      </c>
      <c r="E54" s="0" t="n">
        <f aca="false">Python_Ref!E54</f>
        <v>1E-009</v>
      </c>
      <c r="F54" s="0" t="n">
        <f aca="false">IF(D54&lt;=E54,1,0)</f>
        <v>1</v>
      </c>
    </row>
    <row r="55" customFormat="false" ht="15" hidden="false" customHeight="false" outlineLevel="0" collapsed="false">
      <c r="A55" s="0" t="str">
        <f aca="false">Python_Ref!B55</f>
        <v>s IR Delta GBP</v>
      </c>
      <c r="B55" s="0" t="n">
        <f aca="false">SIMM_Delta!B81</f>
        <v>971143.530279385</v>
      </c>
      <c r="C55" s="0" t="n">
        <f aca="false">Python_Ref!C55</f>
        <v>971143.530279385</v>
      </c>
      <c r="D55" s="0" t="n">
        <f aca="false">IF(Python_Ref!D55="text",IF(B55=C55,0,1),IF(Python_Ref!D55="rel",ABS(B55-C55)/MAX(1,ABS(C55)),ABS(B55-C55)))</f>
        <v>0</v>
      </c>
      <c r="E55" s="0" t="n">
        <f aca="false">Python_Ref!E55</f>
        <v>1E-009</v>
      </c>
      <c r="F55" s="0" t="n">
        <f aca="false">IF(D55&lt;=E55,1,0)</f>
        <v>1</v>
      </c>
    </row>
    <row r="56" customFormat="false" ht="15" hidden="false" customHeight="false" outlineLevel="0" collapsed="false">
      <c r="A56" s="0" t="str">
        <f aca="false">Python_Ref!B56</f>
        <v>ws IR JPY 2w</v>
      </c>
      <c r="B56" s="0" t="n">
        <f aca="false">SIMM_Delta!D108</f>
        <v>0</v>
      </c>
      <c r="C56" s="0" t="n">
        <f aca="false">Python_Ref!C56</f>
        <v>0</v>
      </c>
      <c r="D56" s="0" t="n">
        <f aca="false">IF(Python_Ref!D56="text",IF(B56=C56,0,1),IF(Python_Ref!D56="rel",ABS(B56-C56)/MAX(1,ABS(C56)),ABS(B56-C56)))</f>
        <v>0</v>
      </c>
      <c r="E56" s="0" t="n">
        <f aca="false">Python_Ref!E56</f>
        <v>1E-009</v>
      </c>
      <c r="F56" s="0" t="n">
        <f aca="false">IF(D56&lt;=E56,1,0)</f>
        <v>1</v>
      </c>
    </row>
    <row r="57" customFormat="false" ht="15" hidden="false" customHeight="false" outlineLevel="0" collapsed="false">
      <c r="A57" s="0" t="str">
        <f aca="false">Python_Ref!B57</f>
        <v>ws IR JPY 1m</v>
      </c>
      <c r="B57" s="0" t="n">
        <f aca="false">SIMM_Delta!D109</f>
        <v>0</v>
      </c>
      <c r="C57" s="0" t="n">
        <f aca="false">Python_Ref!C57</f>
        <v>0</v>
      </c>
      <c r="D57" s="0" t="n">
        <f aca="false">IF(Python_Ref!D57="text",IF(B57=C57,0,1),IF(Python_Ref!D57="rel",ABS(B57-C57)/MAX(1,ABS(C57)),ABS(B57-C57)))</f>
        <v>0</v>
      </c>
      <c r="E57" s="0" t="n">
        <f aca="false">Python_Ref!E57</f>
        <v>1E-009</v>
      </c>
      <c r="F57" s="0" t="n">
        <f aca="false">IF(D57&lt;=E57,1,0)</f>
        <v>1</v>
      </c>
    </row>
    <row r="58" customFormat="false" ht="15" hidden="false" customHeight="false" outlineLevel="0" collapsed="false">
      <c r="A58" s="0" t="str">
        <f aca="false">Python_Ref!B58</f>
        <v>ws IR JPY 3m</v>
      </c>
      <c r="B58" s="0" t="n">
        <f aca="false">SIMM_Delta!D110</f>
        <v>6000.36390414283</v>
      </c>
      <c r="C58" s="0" t="n">
        <f aca="false">Python_Ref!C58</f>
        <v>6000.36390414283</v>
      </c>
      <c r="D58" s="0" t="n">
        <f aca="false">IF(Python_Ref!D58="text",IF(B58=C58,0,1),IF(Python_Ref!D58="rel",ABS(B58-C58)/MAX(1,ABS(C58)),ABS(B58-C58)))</f>
        <v>0</v>
      </c>
      <c r="E58" s="0" t="n">
        <f aca="false">Python_Ref!E58</f>
        <v>1E-009</v>
      </c>
      <c r="F58" s="0" t="n">
        <f aca="false">IF(D58&lt;=E58,1,0)</f>
        <v>1</v>
      </c>
    </row>
    <row r="59" customFormat="false" ht="15" hidden="false" customHeight="false" outlineLevel="0" collapsed="false">
      <c r="A59" s="0" t="str">
        <f aca="false">Python_Ref!B59</f>
        <v>ws IR JPY 6m</v>
      </c>
      <c r="B59" s="0" t="n">
        <f aca="false">SIMM_Delta!D111</f>
        <v>0</v>
      </c>
      <c r="C59" s="0" t="n">
        <f aca="false">Python_Ref!C59</f>
        <v>0</v>
      </c>
      <c r="D59" s="0" t="n">
        <f aca="false">IF(Python_Ref!D59="text",IF(B59=C59,0,1),IF(Python_Ref!D59="rel",ABS(B59-C59)/MAX(1,ABS(C59)),ABS(B59-C59)))</f>
        <v>0</v>
      </c>
      <c r="E59" s="0" t="n">
        <f aca="false">Python_Ref!E59</f>
        <v>1E-009</v>
      </c>
      <c r="F59" s="0" t="n">
        <f aca="false">IF(D59&lt;=E59,1,0)</f>
        <v>1</v>
      </c>
    </row>
    <row r="60" customFormat="false" ht="15" hidden="false" customHeight="false" outlineLevel="0" collapsed="false">
      <c r="A60" s="0" t="str">
        <f aca="false">Python_Ref!B60</f>
        <v>ws IR JPY 1y</v>
      </c>
      <c r="B60" s="0" t="n">
        <f aca="false">SIMM_Delta!D112</f>
        <v>120.516526521404</v>
      </c>
      <c r="C60" s="0" t="n">
        <f aca="false">Python_Ref!C60</f>
        <v>120.516526521404</v>
      </c>
      <c r="D60" s="0" t="n">
        <f aca="false">IF(Python_Ref!D60="text",IF(B60=C60,0,1),IF(Python_Ref!D60="rel",ABS(B60-C60)/MAX(1,ABS(C60)),ABS(B60-C60)))</f>
        <v>0</v>
      </c>
      <c r="E60" s="0" t="n">
        <f aca="false">Python_Ref!E60</f>
        <v>1E-009</v>
      </c>
      <c r="F60" s="0" t="n">
        <f aca="false">IF(D60&lt;=E60,1,0)</f>
        <v>1</v>
      </c>
    </row>
    <row r="61" customFormat="false" ht="15" hidden="false" customHeight="false" outlineLevel="0" collapsed="false">
      <c r="A61" s="0" t="str">
        <f aca="false">Python_Ref!B61</f>
        <v>ws IR JPY 2y</v>
      </c>
      <c r="B61" s="0" t="n">
        <f aca="false">SIMM_Delta!D113</f>
        <v>338.623289595895</v>
      </c>
      <c r="C61" s="0" t="n">
        <f aca="false">Python_Ref!C61</f>
        <v>338.623289595895</v>
      </c>
      <c r="D61" s="0" t="n">
        <f aca="false">IF(Python_Ref!D61="text",IF(B61=C61,0,1),IF(Python_Ref!D61="rel",ABS(B61-C61)/MAX(1,ABS(C61)),ABS(B61-C61)))</f>
        <v>0</v>
      </c>
      <c r="E61" s="0" t="n">
        <f aca="false">Python_Ref!E61</f>
        <v>1E-009</v>
      </c>
      <c r="F61" s="0" t="n">
        <f aca="false">IF(D61&lt;=E61,1,0)</f>
        <v>1</v>
      </c>
    </row>
    <row r="62" customFormat="false" ht="15" hidden="false" customHeight="false" outlineLevel="0" collapsed="false">
      <c r="A62" s="0" t="str">
        <f aca="false">Python_Ref!B62</f>
        <v>ws IR JPY 3y</v>
      </c>
      <c r="B62" s="0" t="n">
        <f aca="false">SIMM_Delta!D114</f>
        <v>932.934696259528</v>
      </c>
      <c r="C62" s="0" t="n">
        <f aca="false">Python_Ref!C62</f>
        <v>932.934696259528</v>
      </c>
      <c r="D62" s="0" t="n">
        <f aca="false">IF(Python_Ref!D62="text",IF(B62=C62,0,1),IF(Python_Ref!D62="rel",ABS(B62-C62)/MAX(1,ABS(C62)),ABS(B62-C62)))</f>
        <v>0</v>
      </c>
      <c r="E62" s="0" t="n">
        <f aca="false">Python_Ref!E62</f>
        <v>1E-009</v>
      </c>
      <c r="F62" s="0" t="n">
        <f aca="false">IF(D62&lt;=E62,1,0)</f>
        <v>1</v>
      </c>
    </row>
    <row r="63" customFormat="false" ht="15" hidden="false" customHeight="false" outlineLevel="0" collapsed="false">
      <c r="A63" s="0" t="str">
        <f aca="false">Python_Ref!B63</f>
        <v>ws IR JPY 5y</v>
      </c>
      <c r="B63" s="0" t="n">
        <f aca="false">SIMM_Delta!D115</f>
        <v>4338.85151411879</v>
      </c>
      <c r="C63" s="0" t="n">
        <f aca="false">Python_Ref!C63</f>
        <v>4338.85151411879</v>
      </c>
      <c r="D63" s="0" t="n">
        <f aca="false">IF(Python_Ref!D63="text",IF(B63=C63,0,1),IF(Python_Ref!D63="rel",ABS(B63-C63)/MAX(1,ABS(C63)),ABS(B63-C63)))</f>
        <v>0</v>
      </c>
      <c r="E63" s="0" t="n">
        <f aca="false">Python_Ref!E63</f>
        <v>1E-009</v>
      </c>
      <c r="F63" s="0" t="n">
        <f aca="false">IF(D63&lt;=E63,1,0)</f>
        <v>1</v>
      </c>
    </row>
    <row r="64" customFormat="false" ht="15" hidden="false" customHeight="false" outlineLevel="0" collapsed="false">
      <c r="A64" s="0" t="str">
        <f aca="false">Python_Ref!B64</f>
        <v>ws IR JPY 10y</v>
      </c>
      <c r="B64" s="0" t="n">
        <f aca="false">SIMM_Delta!D116</f>
        <v>-715624.825126412</v>
      </c>
      <c r="C64" s="0" t="n">
        <f aca="false">Python_Ref!C64</f>
        <v>-715624.825126412</v>
      </c>
      <c r="D64" s="0" t="n">
        <f aca="false">IF(Python_Ref!D64="text",IF(B64=C64,0,1),IF(Python_Ref!D64="rel",ABS(B64-C64)/MAX(1,ABS(C64)),ABS(B64-C64)))</f>
        <v>0</v>
      </c>
      <c r="E64" s="0" t="n">
        <f aca="false">Python_Ref!E64</f>
        <v>1E-009</v>
      </c>
      <c r="F64" s="0" t="n">
        <f aca="false">IF(D64&lt;=E64,1,0)</f>
        <v>1</v>
      </c>
    </row>
    <row r="65" customFormat="false" ht="15" hidden="false" customHeight="false" outlineLevel="0" collapsed="false">
      <c r="A65" s="0" t="str">
        <f aca="false">Python_Ref!B65</f>
        <v>ws IR JPY 15y</v>
      </c>
      <c r="B65" s="0" t="n">
        <f aca="false">SIMM_Delta!D117</f>
        <v>0</v>
      </c>
      <c r="C65" s="0" t="n">
        <f aca="false">Python_Ref!C65</f>
        <v>0</v>
      </c>
      <c r="D65" s="0" t="n">
        <f aca="false">IF(Python_Ref!D65="text",IF(B65=C65,0,1),IF(Python_Ref!D65="rel",ABS(B65-C65)/MAX(1,ABS(C65)),ABS(B65-C65)))</f>
        <v>0</v>
      </c>
      <c r="E65" s="0" t="n">
        <f aca="false">Python_Ref!E65</f>
        <v>1E-009</v>
      </c>
      <c r="F65" s="0" t="n">
        <f aca="false">IF(D65&lt;=E65,1,0)</f>
        <v>1</v>
      </c>
    </row>
    <row r="66" customFormat="false" ht="15" hidden="false" customHeight="false" outlineLevel="0" collapsed="false">
      <c r="A66" s="0" t="str">
        <f aca="false">Python_Ref!B66</f>
        <v>ws IR JPY 20y</v>
      </c>
      <c r="B66" s="0" t="n">
        <f aca="false">SIMM_Delta!D118</f>
        <v>0</v>
      </c>
      <c r="C66" s="0" t="n">
        <f aca="false">Python_Ref!C66</f>
        <v>0</v>
      </c>
      <c r="D66" s="0" t="n">
        <f aca="false">IF(Python_Ref!D66="text",IF(B66=C66,0,1),IF(Python_Ref!D66="rel",ABS(B66-C66)/MAX(1,ABS(C66)),ABS(B66-C66)))</f>
        <v>0</v>
      </c>
      <c r="E66" s="0" t="n">
        <f aca="false">Python_Ref!E66</f>
        <v>1E-009</v>
      </c>
      <c r="F66" s="0" t="n">
        <f aca="false">IF(D66&lt;=E66,1,0)</f>
        <v>1</v>
      </c>
    </row>
    <row r="67" customFormat="false" ht="15" hidden="false" customHeight="false" outlineLevel="0" collapsed="false">
      <c r="A67" s="0" t="str">
        <f aca="false">Python_Ref!B67</f>
        <v>ws IR JPY 30y</v>
      </c>
      <c r="B67" s="0" t="n">
        <f aca="false">SIMM_Delta!D119</f>
        <v>0</v>
      </c>
      <c r="C67" s="0" t="n">
        <f aca="false">Python_Ref!C67</f>
        <v>0</v>
      </c>
      <c r="D67" s="0" t="n">
        <f aca="false">IF(Python_Ref!D67="text",IF(B67=C67,0,1),IF(Python_Ref!D67="rel",ABS(B67-C67)/MAX(1,ABS(C67)),ABS(B67-C67)))</f>
        <v>0</v>
      </c>
      <c r="E67" s="0" t="n">
        <f aca="false">Python_Ref!E67</f>
        <v>1E-009</v>
      </c>
      <c r="F67" s="0" t="n">
        <f aca="false">IF(D67&lt;=E67,1,0)</f>
        <v>1</v>
      </c>
    </row>
    <row r="68" customFormat="false" ht="15" hidden="false" customHeight="false" outlineLevel="0" collapsed="false">
      <c r="A68" s="0" t="str">
        <f aca="false">Python_Ref!B68</f>
        <v>cr IR Delta JPY</v>
      </c>
      <c r="B68" s="0" t="n">
        <f aca="false">SIMM_Delta!B103</f>
        <v>1</v>
      </c>
      <c r="C68" s="0" t="n">
        <f aca="false">Python_Ref!C68</f>
        <v>1</v>
      </c>
      <c r="D68" s="0" t="n">
        <f aca="false">IF(Python_Ref!D68="text",IF(B68=C68,0,1),IF(Python_Ref!D68="rel",ABS(B68-C68)/MAX(1,ABS(C68)),ABS(B68-C68)))</f>
        <v>0</v>
      </c>
      <c r="E68" s="0" t="n">
        <f aca="false">Python_Ref!E68</f>
        <v>1E-009</v>
      </c>
      <c r="F68" s="0" t="n">
        <f aca="false">IF(D68&lt;=E68,1,0)</f>
        <v>1</v>
      </c>
    </row>
    <row r="69" customFormat="false" ht="15" hidden="false" customHeight="false" outlineLevel="0" collapsed="false">
      <c r="A69" s="0" t="str">
        <f aca="false">Python_Ref!B69</f>
        <v>k IR Delta JPY</v>
      </c>
      <c r="B69" s="0" t="n">
        <f aca="false">SIMM_Delta!B104</f>
        <v>708220.885275296</v>
      </c>
      <c r="C69" s="0" t="n">
        <f aca="false">Python_Ref!C69</f>
        <v>708220.885275296</v>
      </c>
      <c r="D69" s="0" t="n">
        <f aca="false">IF(Python_Ref!D69="text",IF(B69=C69,0,1),IF(Python_Ref!D69="rel",ABS(B69-C69)/MAX(1,ABS(C69)),ABS(B69-C69)))</f>
        <v>0</v>
      </c>
      <c r="E69" s="0" t="n">
        <f aca="false">Python_Ref!E69</f>
        <v>1E-009</v>
      </c>
      <c r="F69" s="0" t="n">
        <f aca="false">IF(D69&lt;=E69,1,0)</f>
        <v>1</v>
      </c>
    </row>
    <row r="70" customFormat="false" ht="15" hidden="false" customHeight="false" outlineLevel="0" collapsed="false">
      <c r="A70" s="0" t="str">
        <f aca="false">Python_Ref!B70</f>
        <v>s IR Delta JPY</v>
      </c>
      <c r="B70" s="0" t="n">
        <f aca="false">SIMM_Delta!B106</f>
        <v>-703893.535195773</v>
      </c>
      <c r="C70" s="0" t="n">
        <f aca="false">Python_Ref!C70</f>
        <v>-703893.535195773</v>
      </c>
      <c r="D70" s="0" t="n">
        <f aca="false">IF(Python_Ref!D70="text",IF(B70=C70,0,1),IF(Python_Ref!D70="rel",ABS(B70-C70)/MAX(1,ABS(C70)),ABS(B70-C70)))</f>
        <v>0</v>
      </c>
      <c r="E70" s="0" t="n">
        <f aca="false">Python_Ref!E70</f>
        <v>1E-009</v>
      </c>
      <c r="F70" s="0" t="n">
        <f aca="false">IF(D70&lt;=E70,1,0)</f>
        <v>1</v>
      </c>
    </row>
    <row r="71" customFormat="false" ht="15" hidden="false" customHeight="false" outlineLevel="0" collapsed="false">
      <c r="A71" s="0" t="str">
        <f aca="false">Python_Ref!B71</f>
        <v>ws IR MXN 2w</v>
      </c>
      <c r="B71" s="0" t="n">
        <f aca="false">SIMM_Delta!D133</f>
        <v>0</v>
      </c>
      <c r="C71" s="0" t="n">
        <f aca="false">Python_Ref!C71</f>
        <v>0</v>
      </c>
      <c r="D71" s="0" t="n">
        <f aca="false">IF(Python_Ref!D71="text",IF(B71=C71,0,1),IF(Python_Ref!D71="rel",ABS(B71-C71)/MAX(1,ABS(C71)),ABS(B71-C71)))</f>
        <v>0</v>
      </c>
      <c r="E71" s="0" t="n">
        <f aca="false">Python_Ref!E71</f>
        <v>1E-009</v>
      </c>
      <c r="F71" s="0" t="n">
        <f aca="false">IF(D71&lt;=E71,1,0)</f>
        <v>1</v>
      </c>
    </row>
    <row r="72" customFormat="false" ht="15" hidden="false" customHeight="false" outlineLevel="0" collapsed="false">
      <c r="A72" s="0" t="str">
        <f aca="false">Python_Ref!B72</f>
        <v>ws IR MXN 1m</v>
      </c>
      <c r="B72" s="0" t="n">
        <f aca="false">SIMM_Delta!D134</f>
        <v>0</v>
      </c>
      <c r="C72" s="0" t="n">
        <f aca="false">Python_Ref!C72</f>
        <v>0</v>
      </c>
      <c r="D72" s="0" t="n">
        <f aca="false">IF(Python_Ref!D72="text",IF(B72=C72,0,1),IF(Python_Ref!D72="rel",ABS(B72-C72)/MAX(1,ABS(C72)),ABS(B72-C72)))</f>
        <v>0</v>
      </c>
      <c r="E72" s="0" t="n">
        <f aca="false">Python_Ref!E72</f>
        <v>1E-009</v>
      </c>
      <c r="F72" s="0" t="n">
        <f aca="false">IF(D72&lt;=E72,1,0)</f>
        <v>1</v>
      </c>
    </row>
    <row r="73" customFormat="false" ht="15" hidden="false" customHeight="false" outlineLevel="0" collapsed="false">
      <c r="A73" s="0" t="str">
        <f aca="false">Python_Ref!B73</f>
        <v>ws IR MXN 3m</v>
      </c>
      <c r="B73" s="0" t="n">
        <f aca="false">SIMM_Delta!D135</f>
        <v>0</v>
      </c>
      <c r="C73" s="0" t="n">
        <f aca="false">Python_Ref!C73</f>
        <v>0</v>
      </c>
      <c r="D73" s="0" t="n">
        <f aca="false">IF(Python_Ref!D73="text",IF(B73=C73,0,1),IF(Python_Ref!D73="rel",ABS(B73-C73)/MAX(1,ABS(C73)),ABS(B73-C73)))</f>
        <v>0</v>
      </c>
      <c r="E73" s="0" t="n">
        <f aca="false">Python_Ref!E73</f>
        <v>1E-009</v>
      </c>
      <c r="F73" s="0" t="n">
        <f aca="false">IF(D73&lt;=E73,1,0)</f>
        <v>1</v>
      </c>
    </row>
    <row r="74" customFormat="false" ht="15" hidden="false" customHeight="false" outlineLevel="0" collapsed="false">
      <c r="A74" s="0" t="str">
        <f aca="false">Python_Ref!B74</f>
        <v>ws IR MXN 6m</v>
      </c>
      <c r="B74" s="0" t="n">
        <f aca="false">SIMM_Delta!D136</f>
        <v>-41611.3581964407</v>
      </c>
      <c r="C74" s="0" t="n">
        <f aca="false">Python_Ref!C74</f>
        <v>-41611.3581964407</v>
      </c>
      <c r="D74" s="0" t="n">
        <f aca="false">IF(Python_Ref!D74="text",IF(B74=C74,0,1),IF(Python_Ref!D74="rel",ABS(B74-C74)/MAX(1,ABS(C74)),ABS(B74-C74)))</f>
        <v>0</v>
      </c>
      <c r="E74" s="0" t="n">
        <f aca="false">Python_Ref!E74</f>
        <v>1E-009</v>
      </c>
      <c r="F74" s="0" t="n">
        <f aca="false">IF(D74&lt;=E74,1,0)</f>
        <v>1</v>
      </c>
    </row>
    <row r="75" customFormat="false" ht="15" hidden="false" customHeight="false" outlineLevel="0" collapsed="false">
      <c r="A75" s="0" t="str">
        <f aca="false">Python_Ref!B75</f>
        <v>ws IR MXN 1y</v>
      </c>
      <c r="B75" s="0" t="n">
        <f aca="false">SIMM_Delta!D137</f>
        <v>12714.448473094</v>
      </c>
      <c r="C75" s="0" t="n">
        <f aca="false">Python_Ref!C75</f>
        <v>12714.448473094</v>
      </c>
      <c r="D75" s="0" t="n">
        <f aca="false">IF(Python_Ref!D75="text",IF(B75=C75,0,1),IF(Python_Ref!D75="rel",ABS(B75-C75)/MAX(1,ABS(C75)),ABS(B75-C75)))</f>
        <v>0</v>
      </c>
      <c r="E75" s="0" t="n">
        <f aca="false">Python_Ref!E75</f>
        <v>1E-009</v>
      </c>
      <c r="F75" s="0" t="n">
        <f aca="false">IF(D75&lt;=E75,1,0)</f>
        <v>1</v>
      </c>
    </row>
    <row r="76" customFormat="false" ht="15" hidden="false" customHeight="false" outlineLevel="0" collapsed="false">
      <c r="A76" s="0" t="str">
        <f aca="false">Python_Ref!B76</f>
        <v>ws IR MXN 2y</v>
      </c>
      <c r="B76" s="0" t="n">
        <f aca="false">SIMM_Delta!D138</f>
        <v>-9959.56025085361</v>
      </c>
      <c r="C76" s="0" t="n">
        <f aca="false">Python_Ref!C76</f>
        <v>-9959.56025085361</v>
      </c>
      <c r="D76" s="0" t="n">
        <f aca="false">IF(Python_Ref!D76="text",IF(B76=C76,0,1),IF(Python_Ref!D76="rel",ABS(B76-C76)/MAX(1,ABS(C76)),ABS(B76-C76)))</f>
        <v>0</v>
      </c>
      <c r="E76" s="0" t="n">
        <f aca="false">Python_Ref!E76</f>
        <v>1E-009</v>
      </c>
      <c r="F76" s="0" t="n">
        <f aca="false">IF(D76&lt;=E76,1,0)</f>
        <v>1</v>
      </c>
    </row>
    <row r="77" customFormat="false" ht="15" hidden="false" customHeight="false" outlineLevel="0" collapsed="false">
      <c r="A77" s="0" t="str">
        <f aca="false">Python_Ref!B77</f>
        <v>ws IR MXN 3y</v>
      </c>
      <c r="B77" s="0" t="n">
        <f aca="false">SIMM_Delta!D139</f>
        <v>662241.586620976</v>
      </c>
      <c r="C77" s="0" t="n">
        <f aca="false">Python_Ref!C77</f>
        <v>662241.586620976</v>
      </c>
      <c r="D77" s="0" t="n">
        <f aca="false">IF(Python_Ref!D77="text",IF(B77=C77,0,1),IF(Python_Ref!D77="rel",ABS(B77-C77)/MAX(1,ABS(C77)),ABS(B77-C77)))</f>
        <v>0</v>
      </c>
      <c r="E77" s="0" t="n">
        <f aca="false">Python_Ref!E77</f>
        <v>1E-009</v>
      </c>
      <c r="F77" s="0" t="n">
        <f aca="false">IF(D77&lt;=E77,1,0)</f>
        <v>1</v>
      </c>
    </row>
    <row r="78" customFormat="false" ht="15" hidden="false" customHeight="false" outlineLevel="0" collapsed="false">
      <c r="A78" s="0" t="str">
        <f aca="false">Python_Ref!B78</f>
        <v>ws IR MXN 5y</v>
      </c>
      <c r="B78" s="0" t="n">
        <f aca="false">SIMM_Delta!D140</f>
        <v>0</v>
      </c>
      <c r="C78" s="0" t="n">
        <f aca="false">Python_Ref!C78</f>
        <v>0</v>
      </c>
      <c r="D78" s="0" t="n">
        <f aca="false">IF(Python_Ref!D78="text",IF(B78=C78,0,1),IF(Python_Ref!D78="rel",ABS(B78-C78)/MAX(1,ABS(C78)),ABS(B78-C78)))</f>
        <v>0</v>
      </c>
      <c r="E78" s="0" t="n">
        <f aca="false">Python_Ref!E78</f>
        <v>1E-009</v>
      </c>
      <c r="F78" s="0" t="n">
        <f aca="false">IF(D78&lt;=E78,1,0)</f>
        <v>1</v>
      </c>
    </row>
    <row r="79" customFormat="false" ht="15" hidden="false" customHeight="false" outlineLevel="0" collapsed="false">
      <c r="A79" s="0" t="str">
        <f aca="false">Python_Ref!B79</f>
        <v>ws IR MXN 10y</v>
      </c>
      <c r="B79" s="0" t="n">
        <f aca="false">SIMM_Delta!D141</f>
        <v>0</v>
      </c>
      <c r="C79" s="0" t="n">
        <f aca="false">Python_Ref!C79</f>
        <v>0</v>
      </c>
      <c r="D79" s="0" t="n">
        <f aca="false">IF(Python_Ref!D79="text",IF(B79=C79,0,1),IF(Python_Ref!D79="rel",ABS(B79-C79)/MAX(1,ABS(C79)),ABS(B79-C79)))</f>
        <v>0</v>
      </c>
      <c r="E79" s="0" t="n">
        <f aca="false">Python_Ref!E79</f>
        <v>1E-009</v>
      </c>
      <c r="F79" s="0" t="n">
        <f aca="false">IF(D79&lt;=E79,1,0)</f>
        <v>1</v>
      </c>
    </row>
    <row r="80" customFormat="false" ht="15" hidden="false" customHeight="false" outlineLevel="0" collapsed="false">
      <c r="A80" s="0" t="str">
        <f aca="false">Python_Ref!B80</f>
        <v>ws IR MXN 15y</v>
      </c>
      <c r="B80" s="0" t="n">
        <f aca="false">SIMM_Delta!D142</f>
        <v>0</v>
      </c>
      <c r="C80" s="0" t="n">
        <f aca="false">Python_Ref!C80</f>
        <v>0</v>
      </c>
      <c r="D80" s="0" t="n">
        <f aca="false">IF(Python_Ref!D80="text",IF(B80=C80,0,1),IF(Python_Ref!D80="rel",ABS(B80-C80)/MAX(1,ABS(C80)),ABS(B80-C80)))</f>
        <v>0</v>
      </c>
      <c r="E80" s="0" t="n">
        <f aca="false">Python_Ref!E80</f>
        <v>1E-009</v>
      </c>
      <c r="F80" s="0" t="n">
        <f aca="false">IF(D80&lt;=E80,1,0)</f>
        <v>1</v>
      </c>
    </row>
    <row r="81" customFormat="false" ht="15" hidden="false" customHeight="false" outlineLevel="0" collapsed="false">
      <c r="A81" s="0" t="str">
        <f aca="false">Python_Ref!B81</f>
        <v>ws IR MXN 20y</v>
      </c>
      <c r="B81" s="0" t="n">
        <f aca="false">SIMM_Delta!D143</f>
        <v>0</v>
      </c>
      <c r="C81" s="0" t="n">
        <f aca="false">Python_Ref!C81</f>
        <v>0</v>
      </c>
      <c r="D81" s="0" t="n">
        <f aca="false">IF(Python_Ref!D81="text",IF(B81=C81,0,1),IF(Python_Ref!D81="rel",ABS(B81-C81)/MAX(1,ABS(C81)),ABS(B81-C81)))</f>
        <v>0</v>
      </c>
      <c r="E81" s="0" t="n">
        <f aca="false">Python_Ref!E81</f>
        <v>1E-009</v>
      </c>
      <c r="F81" s="0" t="n">
        <f aca="false">IF(D81&lt;=E81,1,0)</f>
        <v>1</v>
      </c>
    </row>
    <row r="82" customFormat="false" ht="15" hidden="false" customHeight="false" outlineLevel="0" collapsed="false">
      <c r="A82" s="0" t="str">
        <f aca="false">Python_Ref!B82</f>
        <v>ws IR MXN 30y</v>
      </c>
      <c r="B82" s="0" t="n">
        <f aca="false">SIMM_Delta!D144</f>
        <v>0</v>
      </c>
      <c r="C82" s="0" t="n">
        <f aca="false">Python_Ref!C82</f>
        <v>0</v>
      </c>
      <c r="D82" s="0" t="n">
        <f aca="false">IF(Python_Ref!D82="text",IF(B82=C82,0,1),IF(Python_Ref!D82="rel",ABS(B82-C82)/MAX(1,ABS(C82)),ABS(B82-C82)))</f>
        <v>0</v>
      </c>
      <c r="E82" s="0" t="n">
        <f aca="false">Python_Ref!E82</f>
        <v>1E-009</v>
      </c>
      <c r="F82" s="0" t="n">
        <f aca="false">IF(D82&lt;=E82,1,0)</f>
        <v>1</v>
      </c>
    </row>
    <row r="83" customFormat="false" ht="15" hidden="false" customHeight="false" outlineLevel="0" collapsed="false">
      <c r="A83" s="0" t="str">
        <f aca="false">Python_Ref!B83</f>
        <v>cr IR Delta MXN</v>
      </c>
      <c r="B83" s="0" t="n">
        <f aca="false">SIMM_Delta!B128</f>
        <v>1</v>
      </c>
      <c r="C83" s="0" t="n">
        <f aca="false">Python_Ref!C83</f>
        <v>1</v>
      </c>
      <c r="D83" s="0" t="n">
        <f aca="false">IF(Python_Ref!D83="text",IF(B83=C83,0,1),IF(Python_Ref!D83="rel",ABS(B83-C83)/MAX(1,ABS(C83)),ABS(B83-C83)))</f>
        <v>0</v>
      </c>
      <c r="E83" s="0" t="n">
        <f aca="false">Python_Ref!E83</f>
        <v>1E-009</v>
      </c>
      <c r="F83" s="0" t="n">
        <f aca="false">IF(D83&lt;=E83,1,0)</f>
        <v>1</v>
      </c>
    </row>
    <row r="84" customFormat="false" ht="15" hidden="false" customHeight="false" outlineLevel="0" collapsed="false">
      <c r="A84" s="0" t="str">
        <f aca="false">Python_Ref!B84</f>
        <v>k IR Delta MXN</v>
      </c>
      <c r="B84" s="0" t="n">
        <f aca="false">SIMM_Delta!B129</f>
        <v>637216.457642944</v>
      </c>
      <c r="C84" s="0" t="n">
        <f aca="false">Python_Ref!C84</f>
        <v>637216.457642944</v>
      </c>
      <c r="D84" s="0" t="n">
        <f aca="false">IF(Python_Ref!D84="text",IF(B84=C84,0,1),IF(Python_Ref!D84="rel",ABS(B84-C84)/MAX(1,ABS(C84)),ABS(B84-C84)))</f>
        <v>0</v>
      </c>
      <c r="E84" s="0" t="n">
        <f aca="false">Python_Ref!E84</f>
        <v>1E-009</v>
      </c>
      <c r="F84" s="0" t="n">
        <f aca="false">IF(D84&lt;=E84,1,0)</f>
        <v>1</v>
      </c>
    </row>
    <row r="85" customFormat="false" ht="15" hidden="false" customHeight="false" outlineLevel="0" collapsed="false">
      <c r="A85" s="0" t="str">
        <f aca="false">Python_Ref!B85</f>
        <v>s IR Delta MXN</v>
      </c>
      <c r="B85" s="0" t="n">
        <f aca="false">SIMM_Delta!B131</f>
        <v>623385.116646776</v>
      </c>
      <c r="C85" s="0" t="n">
        <f aca="false">Python_Ref!C85</f>
        <v>623385.116646776</v>
      </c>
      <c r="D85" s="0" t="n">
        <f aca="false">IF(Python_Ref!D85="text",IF(B85=C85,0,1),IF(Python_Ref!D85="rel",ABS(B85-C85)/MAX(1,ABS(C85)),ABS(B85-C85)))</f>
        <v>0</v>
      </c>
      <c r="E85" s="0" t="n">
        <f aca="false">Python_Ref!E85</f>
        <v>1E-009</v>
      </c>
      <c r="F85" s="0" t="n">
        <f aca="false">IF(D85&lt;=E85,1,0)</f>
        <v>1</v>
      </c>
    </row>
    <row r="86" customFormat="false" ht="15" hidden="false" customHeight="false" outlineLevel="0" collapsed="false">
      <c r="A86" s="0" t="str">
        <f aca="false">Python_Ref!B86</f>
        <v>margin IR Delta</v>
      </c>
      <c r="B86" s="0" t="n">
        <f aca="false">SIMM_Delta!B163</f>
        <v>1718578.18010253</v>
      </c>
      <c r="C86" s="0" t="n">
        <f aca="false">Python_Ref!C86</f>
        <v>1718578.18010253</v>
      </c>
      <c r="D86" s="0" t="n">
        <f aca="false">IF(Python_Ref!D86="text",IF(B86=C86,0,1),IF(Python_Ref!D86="rel",ABS(B86-C86)/MAX(1,ABS(C86)),ABS(B86-C86)))</f>
        <v>0</v>
      </c>
      <c r="E86" s="0" t="n">
        <f aca="false">Python_Ref!E86</f>
        <v>1E-009</v>
      </c>
      <c r="F86" s="0" t="n">
        <f aca="false">IF(D86&lt;=E86,1,0)</f>
        <v>1</v>
      </c>
    </row>
    <row r="87" customFormat="false" ht="15" hidden="false" customHeight="false" outlineLevel="0" collapsed="false">
      <c r="A87" s="0" t="str">
        <f aca="false">Python_Ref!B87</f>
        <v>ws FX EUR</v>
      </c>
      <c r="B87" s="0" t="n">
        <f aca="false">SIMM_Delta!H171</f>
        <v>4213017.09337968</v>
      </c>
      <c r="C87" s="0" t="n">
        <f aca="false">Python_Ref!C87</f>
        <v>4213017.09337968</v>
      </c>
      <c r="D87" s="0" t="n">
        <f aca="false">IF(Python_Ref!D87="text",IF(B87=C87,0,1),IF(Python_Ref!D87="rel",ABS(B87-C87)/MAX(1,ABS(C87)),ABS(B87-C87)))</f>
        <v>0</v>
      </c>
      <c r="E87" s="0" t="n">
        <f aca="false">Python_Ref!E87</f>
        <v>1E-009</v>
      </c>
      <c r="F87" s="0" t="n">
        <f aca="false">IF(D87&lt;=E87,1,0)</f>
        <v>1</v>
      </c>
    </row>
    <row r="88" customFormat="false" ht="15" hidden="false" customHeight="false" outlineLevel="0" collapsed="false">
      <c r="A88" s="0" t="str">
        <f aca="false">Python_Ref!B88</f>
        <v>cr FX Delta EUR</v>
      </c>
      <c r="B88" s="0" t="n">
        <f aca="false">SIMM_Delta!G171</f>
        <v>1</v>
      </c>
      <c r="C88" s="0" t="n">
        <f aca="false">Python_Ref!C88</f>
        <v>1</v>
      </c>
      <c r="D88" s="0" t="n">
        <f aca="false">IF(Python_Ref!D88="text",IF(B88=C88,0,1),IF(Python_Ref!D88="rel",ABS(B88-C88)/MAX(1,ABS(C88)),ABS(B88-C88)))</f>
        <v>0</v>
      </c>
      <c r="E88" s="0" t="n">
        <f aca="false">Python_Ref!E88</f>
        <v>1E-009</v>
      </c>
      <c r="F88" s="0" t="n">
        <f aca="false">IF(D88&lt;=E88,1,0)</f>
        <v>1</v>
      </c>
    </row>
    <row r="89" customFormat="false" ht="15" hidden="false" customHeight="false" outlineLevel="0" collapsed="false">
      <c r="A89" s="0" t="str">
        <f aca="false">Python_Ref!B89</f>
        <v>ws FX GBP</v>
      </c>
      <c r="B89" s="0" t="n">
        <f aca="false">SIMM_Delta!H172</f>
        <v>-1273876.30867023</v>
      </c>
      <c r="C89" s="0" t="n">
        <f aca="false">Python_Ref!C89</f>
        <v>-1273876.30867023</v>
      </c>
      <c r="D89" s="0" t="n">
        <f aca="false">IF(Python_Ref!D89="text",IF(B89=C89,0,1),IF(Python_Ref!D89="rel",ABS(B89-C89)/MAX(1,ABS(C89)),ABS(B89-C89)))</f>
        <v>0</v>
      </c>
      <c r="E89" s="0" t="n">
        <f aca="false">Python_Ref!E89</f>
        <v>1E-009</v>
      </c>
      <c r="F89" s="0" t="n">
        <f aca="false">IF(D89&lt;=E89,1,0)</f>
        <v>1</v>
      </c>
    </row>
    <row r="90" customFormat="false" ht="15" hidden="false" customHeight="false" outlineLevel="0" collapsed="false">
      <c r="A90" s="0" t="str">
        <f aca="false">Python_Ref!B90</f>
        <v>cr FX Delta GBP</v>
      </c>
      <c r="B90" s="0" t="n">
        <f aca="false">SIMM_Delta!G172</f>
        <v>1</v>
      </c>
      <c r="C90" s="0" t="n">
        <f aca="false">Python_Ref!C90</f>
        <v>1</v>
      </c>
      <c r="D90" s="0" t="n">
        <f aca="false">IF(Python_Ref!D90="text",IF(B90=C90,0,1),IF(Python_Ref!D90="rel",ABS(B90-C90)/MAX(1,ABS(C90)),ABS(B90-C90)))</f>
        <v>0</v>
      </c>
      <c r="E90" s="0" t="n">
        <f aca="false">Python_Ref!E90</f>
        <v>1E-009</v>
      </c>
      <c r="F90" s="0" t="n">
        <f aca="false">IF(D90&lt;=E90,1,0)</f>
        <v>1</v>
      </c>
    </row>
    <row r="91" customFormat="false" ht="15" hidden="false" customHeight="false" outlineLevel="0" collapsed="false">
      <c r="A91" s="0" t="str">
        <f aca="false">Python_Ref!B91</f>
        <v>ws FX JPY</v>
      </c>
      <c r="B91" s="0" t="n">
        <f aca="false">SIMM_Delta!H173</f>
        <v>-1547288.08164743</v>
      </c>
      <c r="C91" s="0" t="n">
        <f aca="false">Python_Ref!C91</f>
        <v>-1547288.08164743</v>
      </c>
      <c r="D91" s="0" t="n">
        <f aca="false">IF(Python_Ref!D91="text",IF(B91=C91,0,1),IF(Python_Ref!D91="rel",ABS(B91-C91)/MAX(1,ABS(C91)),ABS(B91-C91)))</f>
        <v>0</v>
      </c>
      <c r="E91" s="0" t="n">
        <f aca="false">Python_Ref!E91</f>
        <v>1E-009</v>
      </c>
      <c r="F91" s="0" t="n">
        <f aca="false">IF(D91&lt;=E91,1,0)</f>
        <v>1</v>
      </c>
    </row>
    <row r="92" customFormat="false" ht="15" hidden="false" customHeight="false" outlineLevel="0" collapsed="false">
      <c r="A92" s="0" t="str">
        <f aca="false">Python_Ref!B92</f>
        <v>cr FX Delta JPY</v>
      </c>
      <c r="B92" s="0" t="n">
        <f aca="false">SIMM_Delta!G173</f>
        <v>1</v>
      </c>
      <c r="C92" s="0" t="n">
        <f aca="false">Python_Ref!C92</f>
        <v>1</v>
      </c>
      <c r="D92" s="0" t="n">
        <f aca="false">IF(Python_Ref!D92="text",IF(B92=C92,0,1),IF(Python_Ref!D92="rel",ABS(B92-C92)/MAX(1,ABS(C92)),ABS(B92-C92)))</f>
        <v>0</v>
      </c>
      <c r="E92" s="0" t="n">
        <f aca="false">Python_Ref!E92</f>
        <v>1E-009</v>
      </c>
      <c r="F92" s="0" t="n">
        <f aca="false">IF(D92&lt;=E92,1,0)</f>
        <v>1</v>
      </c>
    </row>
    <row r="93" customFormat="false" ht="15" hidden="false" customHeight="false" outlineLevel="0" collapsed="false">
      <c r="A93" s="0" t="str">
        <f aca="false">Python_Ref!B93</f>
        <v>ws FX MXN</v>
      </c>
      <c r="B93" s="0" t="n">
        <f aca="false">SIMM_Delta!H174</f>
        <v>774535.689920938</v>
      </c>
      <c r="C93" s="0" t="n">
        <f aca="false">Python_Ref!C93</f>
        <v>774535.689920938</v>
      </c>
      <c r="D93" s="0" t="n">
        <f aca="false">IF(Python_Ref!D93="text",IF(B93=C93,0,1),IF(Python_Ref!D93="rel",ABS(B93-C93)/MAX(1,ABS(C93)),ABS(B93-C93)))</f>
        <v>0</v>
      </c>
      <c r="E93" s="0" t="n">
        <f aca="false">Python_Ref!E93</f>
        <v>1E-009</v>
      </c>
      <c r="F93" s="0" t="n">
        <f aca="false">IF(D93&lt;=E93,1,0)</f>
        <v>1</v>
      </c>
    </row>
    <row r="94" customFormat="false" ht="15" hidden="false" customHeight="false" outlineLevel="0" collapsed="false">
      <c r="A94" s="0" t="str">
        <f aca="false">Python_Ref!B94</f>
        <v>cr FX Delta MXN</v>
      </c>
      <c r="B94" s="0" t="n">
        <f aca="false">SIMM_Delta!G174</f>
        <v>1</v>
      </c>
      <c r="C94" s="0" t="n">
        <f aca="false">Python_Ref!C94</f>
        <v>1</v>
      </c>
      <c r="D94" s="0" t="n">
        <f aca="false">IF(Python_Ref!D94="text",IF(B94=C94,0,1),IF(Python_Ref!D94="rel",ABS(B94-C94)/MAX(1,ABS(C94)),ABS(B94-C94)))</f>
        <v>0</v>
      </c>
      <c r="E94" s="0" t="n">
        <f aca="false">Python_Ref!E94</f>
        <v>1E-009</v>
      </c>
      <c r="F94" s="0" t="n">
        <f aca="false">IF(D94&lt;=E94,1,0)</f>
        <v>1</v>
      </c>
    </row>
    <row r="95" customFormat="false" ht="15" hidden="false" customHeight="false" outlineLevel="0" collapsed="false">
      <c r="A95" s="0" t="str">
        <f aca="false">Python_Ref!B95</f>
        <v>k FX Delta</v>
      </c>
      <c r="B95" s="0" t="n">
        <f aca="false">SIMM_Delta!B175</f>
        <v>3678282.10518996</v>
      </c>
      <c r="C95" s="0" t="n">
        <f aca="false">Python_Ref!C95</f>
        <v>3678282.10518996</v>
      </c>
      <c r="D95" s="0" t="n">
        <f aca="false">IF(Python_Ref!D95="text",IF(B95=C95,0,1),IF(Python_Ref!D95="rel",ABS(B95-C95)/MAX(1,ABS(C95)),ABS(B95-C95)))</f>
        <v>0</v>
      </c>
      <c r="E95" s="0" t="n">
        <f aca="false">Python_Ref!E95</f>
        <v>1E-009</v>
      </c>
      <c r="F95" s="0" t="n">
        <f aca="false">IF(D95&lt;=E95,1,0)</f>
        <v>1</v>
      </c>
    </row>
    <row r="96" customFormat="false" ht="15" hidden="false" customHeight="false" outlineLevel="0" collapsed="false">
      <c r="A96" s="0" t="str">
        <f aca="false">Python_Ref!B96</f>
        <v>margin FX Delta</v>
      </c>
      <c r="B96" s="0" t="n">
        <f aca="false">SIMM_Delta!B175</f>
        <v>3678282.10518996</v>
      </c>
      <c r="C96" s="0" t="n">
        <f aca="false">Python_Ref!C96</f>
        <v>3678282.10518996</v>
      </c>
      <c r="D96" s="0" t="n">
        <f aca="false">IF(Python_Ref!D96="text",IF(B96=C96,0,1),IF(Python_Ref!D96="rel",ABS(B96-C96)/MAX(1,ABS(C96)),ABS(B96-C96)))</f>
        <v>0</v>
      </c>
      <c r="E96" s="0" t="n">
        <f aca="false">Python_Ref!E96</f>
        <v>1E-009</v>
      </c>
      <c r="F96" s="0" t="n">
        <f aca="false">IF(D96&lt;=E96,1,0)</f>
        <v>1</v>
      </c>
    </row>
    <row r="97" customFormat="false" ht="15" hidden="false" customHeight="false" outlineLevel="0" collapsed="false">
      <c r="A97" s="0" t="str">
        <f aca="false">Python_Ref!B97</f>
        <v>vr IR USD 2w</v>
      </c>
      <c r="B97" s="0" t="n">
        <f aca="false">SIMM_Vega!C17</f>
        <v>0</v>
      </c>
      <c r="C97" s="0" t="n">
        <f aca="false">Python_Ref!C97</f>
        <v>0</v>
      </c>
      <c r="D97" s="0" t="n">
        <f aca="false">IF(Python_Ref!D97="text",IF(B97=C97,0,1),IF(Python_Ref!D97="rel",ABS(B97-C97)/MAX(1,ABS(C97)),ABS(B97-C97)))</f>
        <v>0</v>
      </c>
      <c r="E97" s="0" t="n">
        <f aca="false">Python_Ref!E97</f>
        <v>1E-009</v>
      </c>
      <c r="F97" s="0" t="n">
        <f aca="false">IF(D97&lt;=E97,1,0)</f>
        <v>1</v>
      </c>
    </row>
    <row r="98" customFormat="false" ht="15" hidden="false" customHeight="false" outlineLevel="0" collapsed="false">
      <c r="A98" s="0" t="str">
        <f aca="false">Python_Ref!B98</f>
        <v>vr IR USD 1m</v>
      </c>
      <c r="B98" s="0" t="n">
        <f aca="false">SIMM_Vega!C18</f>
        <v>0</v>
      </c>
      <c r="C98" s="0" t="n">
        <f aca="false">Python_Ref!C98</f>
        <v>0</v>
      </c>
      <c r="D98" s="0" t="n">
        <f aca="false">IF(Python_Ref!D98="text",IF(B98=C98,0,1),IF(Python_Ref!D98="rel",ABS(B98-C98)/MAX(1,ABS(C98)),ABS(B98-C98)))</f>
        <v>0</v>
      </c>
      <c r="E98" s="0" t="n">
        <f aca="false">Python_Ref!E98</f>
        <v>1E-009</v>
      </c>
      <c r="F98" s="0" t="n">
        <f aca="false">IF(D98&lt;=E98,1,0)</f>
        <v>1</v>
      </c>
    </row>
    <row r="99" customFormat="false" ht="15" hidden="false" customHeight="false" outlineLevel="0" collapsed="false">
      <c r="A99" s="0" t="str">
        <f aca="false">Python_Ref!B99</f>
        <v>vr IR USD 3m</v>
      </c>
      <c r="B99" s="0" t="n">
        <f aca="false">SIMM_Vega!C19</f>
        <v>0</v>
      </c>
      <c r="C99" s="0" t="n">
        <f aca="false">Python_Ref!C99</f>
        <v>0</v>
      </c>
      <c r="D99" s="0" t="n">
        <f aca="false">IF(Python_Ref!D99="text",IF(B99=C99,0,1),IF(Python_Ref!D99="rel",ABS(B99-C99)/MAX(1,ABS(C99)),ABS(B99-C99)))</f>
        <v>0</v>
      </c>
      <c r="E99" s="0" t="n">
        <f aca="false">Python_Ref!E99</f>
        <v>1E-009</v>
      </c>
      <c r="F99" s="0" t="n">
        <f aca="false">IF(D99&lt;=E99,1,0)</f>
        <v>1</v>
      </c>
    </row>
    <row r="100" customFormat="false" ht="15" hidden="false" customHeight="false" outlineLevel="0" collapsed="false">
      <c r="A100" s="0" t="str">
        <f aca="false">Python_Ref!B100</f>
        <v>vr IR USD 6m</v>
      </c>
      <c r="B100" s="0" t="n">
        <f aca="false">SIMM_Vega!C20</f>
        <v>0</v>
      </c>
      <c r="C100" s="0" t="n">
        <f aca="false">Python_Ref!C100</f>
        <v>0</v>
      </c>
      <c r="D100" s="0" t="n">
        <f aca="false">IF(Python_Ref!D100="text",IF(B100=C100,0,1),IF(Python_Ref!D100="rel",ABS(B100-C100)/MAX(1,ABS(C100)),ABS(B100-C100)))</f>
        <v>0</v>
      </c>
      <c r="E100" s="0" t="n">
        <f aca="false">Python_Ref!E100</f>
        <v>1E-009</v>
      </c>
      <c r="F100" s="0" t="n">
        <f aca="false">IF(D100&lt;=E100,1,0)</f>
        <v>1</v>
      </c>
    </row>
    <row r="101" customFormat="false" ht="15" hidden="false" customHeight="false" outlineLevel="0" collapsed="false">
      <c r="A101" s="0" t="str">
        <f aca="false">Python_Ref!B101</f>
        <v>vr IR USD 1y</v>
      </c>
      <c r="B101" s="0" t="n">
        <f aca="false">SIMM_Vega!C21</f>
        <v>127729.554203872</v>
      </c>
      <c r="C101" s="0" t="n">
        <f aca="false">Python_Ref!C101</f>
        <v>127729.554203872</v>
      </c>
      <c r="D101" s="0" t="n">
        <f aca="false">IF(Python_Ref!D101="text",IF(B101=C101,0,1),IF(Python_Ref!D101="rel",ABS(B101-C101)/MAX(1,ABS(C101)),ABS(B101-C101)))</f>
        <v>0</v>
      </c>
      <c r="E101" s="0" t="n">
        <f aca="false">Python_Ref!E101</f>
        <v>1E-009</v>
      </c>
      <c r="F101" s="0" t="n">
        <f aca="false">IF(D101&lt;=E101,1,0)</f>
        <v>1</v>
      </c>
    </row>
    <row r="102" customFormat="false" ht="15" hidden="false" customHeight="false" outlineLevel="0" collapsed="false">
      <c r="A102" s="0" t="str">
        <f aca="false">Python_Ref!B102</f>
        <v>vr IR USD 2y</v>
      </c>
      <c r="B102" s="0" t="n">
        <f aca="false">SIMM_Vega!C22</f>
        <v>0</v>
      </c>
      <c r="C102" s="0" t="n">
        <f aca="false">Python_Ref!C102</f>
        <v>0</v>
      </c>
      <c r="D102" s="0" t="n">
        <f aca="false">IF(Python_Ref!D102="text",IF(B102=C102,0,1),IF(Python_Ref!D102="rel",ABS(B102-C102)/MAX(1,ABS(C102)),ABS(B102-C102)))</f>
        <v>0</v>
      </c>
      <c r="E102" s="0" t="n">
        <f aca="false">Python_Ref!E102</f>
        <v>1E-009</v>
      </c>
      <c r="F102" s="0" t="n">
        <f aca="false">IF(D102&lt;=E102,1,0)</f>
        <v>1</v>
      </c>
    </row>
    <row r="103" customFormat="false" ht="15" hidden="false" customHeight="false" outlineLevel="0" collapsed="false">
      <c r="A103" s="0" t="str">
        <f aca="false">Python_Ref!B103</f>
        <v>vr IR USD 3y</v>
      </c>
      <c r="B103" s="0" t="n">
        <f aca="false">SIMM_Vega!C23</f>
        <v>0</v>
      </c>
      <c r="C103" s="0" t="n">
        <f aca="false">Python_Ref!C103</f>
        <v>0</v>
      </c>
      <c r="D103" s="0" t="n">
        <f aca="false">IF(Python_Ref!D103="text",IF(B103=C103,0,1),IF(Python_Ref!D103="rel",ABS(B103-C103)/MAX(1,ABS(C103)),ABS(B103-C103)))</f>
        <v>0</v>
      </c>
      <c r="E103" s="0" t="n">
        <f aca="false">Python_Ref!E103</f>
        <v>1E-009</v>
      </c>
      <c r="F103" s="0" t="n">
        <f aca="false">IF(D103&lt;=E103,1,0)</f>
        <v>1</v>
      </c>
    </row>
    <row r="104" customFormat="false" ht="15" hidden="false" customHeight="false" outlineLevel="0" collapsed="false">
      <c r="A104" s="0" t="str">
        <f aca="false">Python_Ref!B104</f>
        <v>vr IR USD 5y</v>
      </c>
      <c r="B104" s="0" t="n">
        <f aca="false">SIMM_Vega!C24</f>
        <v>0</v>
      </c>
      <c r="C104" s="0" t="n">
        <f aca="false">Python_Ref!C104</f>
        <v>0</v>
      </c>
      <c r="D104" s="0" t="n">
        <f aca="false">IF(Python_Ref!D104="text",IF(B104=C104,0,1),IF(Python_Ref!D104="rel",ABS(B104-C104)/MAX(1,ABS(C104)),ABS(B104-C104)))</f>
        <v>0</v>
      </c>
      <c r="E104" s="0" t="n">
        <f aca="false">Python_Ref!E104</f>
        <v>1E-009</v>
      </c>
      <c r="F104" s="0" t="n">
        <f aca="false">IF(D104&lt;=E104,1,0)</f>
        <v>1</v>
      </c>
    </row>
    <row r="105" customFormat="false" ht="15" hidden="false" customHeight="false" outlineLevel="0" collapsed="false">
      <c r="A105" s="0" t="str">
        <f aca="false">Python_Ref!B105</f>
        <v>vr IR USD 10y</v>
      </c>
      <c r="B105" s="0" t="n">
        <f aca="false">SIMM_Vega!C25</f>
        <v>0</v>
      </c>
      <c r="C105" s="0" t="n">
        <f aca="false">Python_Ref!C105</f>
        <v>0</v>
      </c>
      <c r="D105" s="0" t="n">
        <f aca="false">IF(Python_Ref!D105="text",IF(B105=C105,0,1),IF(Python_Ref!D105="rel",ABS(B105-C105)/MAX(1,ABS(C105)),ABS(B105-C105)))</f>
        <v>0</v>
      </c>
      <c r="E105" s="0" t="n">
        <f aca="false">Python_Ref!E105</f>
        <v>1E-009</v>
      </c>
      <c r="F105" s="0" t="n">
        <f aca="false">IF(D105&lt;=E105,1,0)</f>
        <v>1</v>
      </c>
    </row>
    <row r="106" customFormat="false" ht="15" hidden="false" customHeight="false" outlineLevel="0" collapsed="false">
      <c r="A106" s="0" t="str">
        <f aca="false">Python_Ref!B106</f>
        <v>vr IR USD 15y</v>
      </c>
      <c r="B106" s="0" t="n">
        <f aca="false">SIMM_Vega!C26</f>
        <v>0</v>
      </c>
      <c r="C106" s="0" t="n">
        <f aca="false">Python_Ref!C106</f>
        <v>0</v>
      </c>
      <c r="D106" s="0" t="n">
        <f aca="false">IF(Python_Ref!D106="text",IF(B106=C106,0,1),IF(Python_Ref!D106="rel",ABS(B106-C106)/MAX(1,ABS(C106)),ABS(B106-C106)))</f>
        <v>0</v>
      </c>
      <c r="E106" s="0" t="n">
        <f aca="false">Python_Ref!E106</f>
        <v>1E-009</v>
      </c>
      <c r="F106" s="0" t="n">
        <f aca="false">IF(D106&lt;=E106,1,0)</f>
        <v>1</v>
      </c>
    </row>
    <row r="107" customFormat="false" ht="15" hidden="false" customHeight="false" outlineLevel="0" collapsed="false">
      <c r="A107" s="0" t="str">
        <f aca="false">Python_Ref!B107</f>
        <v>vr IR USD 20y</v>
      </c>
      <c r="B107" s="0" t="n">
        <f aca="false">SIMM_Vega!C27</f>
        <v>0</v>
      </c>
      <c r="C107" s="0" t="n">
        <f aca="false">Python_Ref!C107</f>
        <v>0</v>
      </c>
      <c r="D107" s="0" t="n">
        <f aca="false">IF(Python_Ref!D107="text",IF(B107=C107,0,1),IF(Python_Ref!D107="rel",ABS(B107-C107)/MAX(1,ABS(C107)),ABS(B107-C107)))</f>
        <v>0</v>
      </c>
      <c r="E107" s="0" t="n">
        <f aca="false">Python_Ref!E107</f>
        <v>1E-009</v>
      </c>
      <c r="F107" s="0" t="n">
        <f aca="false">IF(D107&lt;=E107,1,0)</f>
        <v>1</v>
      </c>
    </row>
    <row r="108" customFormat="false" ht="15" hidden="false" customHeight="false" outlineLevel="0" collapsed="false">
      <c r="A108" s="0" t="str">
        <f aca="false">Python_Ref!B108</f>
        <v>vr IR USD 30y</v>
      </c>
      <c r="B108" s="0" t="n">
        <f aca="false">SIMM_Vega!C28</f>
        <v>0</v>
      </c>
      <c r="C108" s="0" t="n">
        <f aca="false">Python_Ref!C108</f>
        <v>0</v>
      </c>
      <c r="D108" s="0" t="n">
        <f aca="false">IF(Python_Ref!D108="text",IF(B108=C108,0,1),IF(Python_Ref!D108="rel",ABS(B108-C108)/MAX(1,ABS(C108)),ABS(B108-C108)))</f>
        <v>0</v>
      </c>
      <c r="E108" s="0" t="n">
        <f aca="false">Python_Ref!E108</f>
        <v>1E-009</v>
      </c>
      <c r="F108" s="0" t="n">
        <f aca="false">IF(D108&lt;=E108,1,0)</f>
        <v>1</v>
      </c>
    </row>
    <row r="109" customFormat="false" ht="15" hidden="false" customHeight="false" outlineLevel="0" collapsed="false">
      <c r="A109" s="0" t="str">
        <f aca="false">Python_Ref!B109</f>
        <v>cr IR Vega USD</v>
      </c>
      <c r="B109" s="0" t="n">
        <f aca="false">SIMM_Vega!B12</f>
        <v>1</v>
      </c>
      <c r="C109" s="0" t="n">
        <f aca="false">Python_Ref!C109</f>
        <v>1</v>
      </c>
      <c r="D109" s="0" t="n">
        <f aca="false">IF(Python_Ref!D109="text",IF(B109=C109,0,1),IF(Python_Ref!D109="rel",ABS(B109-C109)/MAX(1,ABS(C109)),ABS(B109-C109)))</f>
        <v>0</v>
      </c>
      <c r="E109" s="0" t="n">
        <f aca="false">Python_Ref!E109</f>
        <v>1E-009</v>
      </c>
      <c r="F109" s="0" t="n">
        <f aca="false">IF(D109&lt;=E109,1,0)</f>
        <v>1</v>
      </c>
    </row>
    <row r="110" customFormat="false" ht="15" hidden="false" customHeight="false" outlineLevel="0" collapsed="false">
      <c r="A110" s="0" t="str">
        <f aca="false">Python_Ref!B110</f>
        <v>k IR Vega USD</v>
      </c>
      <c r="B110" s="0" t="n">
        <f aca="false">SIMM_Vega!B13</f>
        <v>127729.554203872</v>
      </c>
      <c r="C110" s="0" t="n">
        <f aca="false">Python_Ref!C110</f>
        <v>127729.554203872</v>
      </c>
      <c r="D110" s="0" t="n">
        <f aca="false">IF(Python_Ref!D110="text",IF(B110=C110,0,1),IF(Python_Ref!D110="rel",ABS(B110-C110)/MAX(1,ABS(C110)),ABS(B110-C110)))</f>
        <v>0</v>
      </c>
      <c r="E110" s="0" t="n">
        <f aca="false">Python_Ref!E110</f>
        <v>1E-009</v>
      </c>
      <c r="F110" s="0" t="n">
        <f aca="false">IF(D110&lt;=E110,1,0)</f>
        <v>1</v>
      </c>
    </row>
    <row r="111" customFormat="false" ht="15" hidden="false" customHeight="false" outlineLevel="0" collapsed="false">
      <c r="A111" s="0" t="str">
        <f aca="false">Python_Ref!B111</f>
        <v>s IR Vega USD</v>
      </c>
      <c r="B111" s="0" t="n">
        <f aca="false">SIMM_Vega!B15</f>
        <v>127729.554203872</v>
      </c>
      <c r="C111" s="0" t="n">
        <f aca="false">Python_Ref!C111</f>
        <v>127729.554203872</v>
      </c>
      <c r="D111" s="0" t="n">
        <f aca="false">IF(Python_Ref!D111="text",IF(B111=C111,0,1),IF(Python_Ref!D111="rel",ABS(B111-C111)/MAX(1,ABS(C111)),ABS(B111-C111)))</f>
        <v>0</v>
      </c>
      <c r="E111" s="0" t="n">
        <f aca="false">Python_Ref!E111</f>
        <v>1E-009</v>
      </c>
      <c r="F111" s="0" t="n">
        <f aca="false">IF(D111&lt;=E111,1,0)</f>
        <v>1</v>
      </c>
    </row>
    <row r="112" customFormat="false" ht="15" hidden="false" customHeight="false" outlineLevel="0" collapsed="false">
      <c r="A112" s="0" t="str">
        <f aca="false">Python_Ref!B112</f>
        <v>vr IR EUR 2w</v>
      </c>
      <c r="B112" s="0" t="n">
        <f aca="false">SIMM_Vega!C41</f>
        <v>0</v>
      </c>
      <c r="C112" s="0" t="n">
        <f aca="false">Python_Ref!C112</f>
        <v>0</v>
      </c>
      <c r="D112" s="0" t="n">
        <f aca="false">IF(Python_Ref!D112="text",IF(B112=C112,0,1),IF(Python_Ref!D112="rel",ABS(B112-C112)/MAX(1,ABS(C112)),ABS(B112-C112)))</f>
        <v>0</v>
      </c>
      <c r="E112" s="0" t="n">
        <f aca="false">Python_Ref!E112</f>
        <v>1E-009</v>
      </c>
      <c r="F112" s="0" t="n">
        <f aca="false">IF(D112&lt;=E112,1,0)</f>
        <v>1</v>
      </c>
    </row>
    <row r="113" customFormat="false" ht="15" hidden="false" customHeight="false" outlineLevel="0" collapsed="false">
      <c r="A113" s="0" t="str">
        <f aca="false">Python_Ref!B113</f>
        <v>vr IR EUR 1m</v>
      </c>
      <c r="B113" s="0" t="n">
        <f aca="false">SIMM_Vega!C42</f>
        <v>0</v>
      </c>
      <c r="C113" s="0" t="n">
        <f aca="false">Python_Ref!C113</f>
        <v>0</v>
      </c>
      <c r="D113" s="0" t="n">
        <f aca="false">IF(Python_Ref!D113="text",IF(B113=C113,0,1),IF(Python_Ref!D113="rel",ABS(B113-C113)/MAX(1,ABS(C113)),ABS(B113-C113)))</f>
        <v>0</v>
      </c>
      <c r="E113" s="0" t="n">
        <f aca="false">Python_Ref!E113</f>
        <v>1E-009</v>
      </c>
      <c r="F113" s="0" t="n">
        <f aca="false">IF(D113&lt;=E113,1,0)</f>
        <v>1</v>
      </c>
    </row>
    <row r="114" customFormat="false" ht="15" hidden="false" customHeight="false" outlineLevel="0" collapsed="false">
      <c r="A114" s="0" t="str">
        <f aca="false">Python_Ref!B114</f>
        <v>vr IR EUR 3m</v>
      </c>
      <c r="B114" s="0" t="n">
        <f aca="false">SIMM_Vega!C43</f>
        <v>0</v>
      </c>
      <c r="C114" s="0" t="n">
        <f aca="false">Python_Ref!C114</f>
        <v>0</v>
      </c>
      <c r="D114" s="0" t="n">
        <f aca="false">IF(Python_Ref!D114="text",IF(B114=C114,0,1),IF(Python_Ref!D114="rel",ABS(B114-C114)/MAX(1,ABS(C114)),ABS(B114-C114)))</f>
        <v>0</v>
      </c>
      <c r="E114" s="0" t="n">
        <f aca="false">Python_Ref!E114</f>
        <v>1E-009</v>
      </c>
      <c r="F114" s="0" t="n">
        <f aca="false">IF(D114&lt;=E114,1,0)</f>
        <v>1</v>
      </c>
    </row>
    <row r="115" customFormat="false" ht="15" hidden="false" customHeight="false" outlineLevel="0" collapsed="false">
      <c r="A115" s="0" t="str">
        <f aca="false">Python_Ref!B115</f>
        <v>vr IR EUR 6m</v>
      </c>
      <c r="B115" s="0" t="n">
        <f aca="false">SIMM_Vega!C44</f>
        <v>0</v>
      </c>
      <c r="C115" s="0" t="n">
        <f aca="false">Python_Ref!C115</f>
        <v>0</v>
      </c>
      <c r="D115" s="0" t="n">
        <f aca="false">IF(Python_Ref!D115="text",IF(B115=C115,0,1),IF(Python_Ref!D115="rel",ABS(B115-C115)/MAX(1,ABS(C115)),ABS(B115-C115)))</f>
        <v>0</v>
      </c>
      <c r="E115" s="0" t="n">
        <f aca="false">Python_Ref!E115</f>
        <v>1E-009</v>
      </c>
      <c r="F115" s="0" t="n">
        <f aca="false">IF(D115&lt;=E115,1,0)</f>
        <v>1</v>
      </c>
    </row>
    <row r="116" customFormat="false" ht="15" hidden="false" customHeight="false" outlineLevel="0" collapsed="false">
      <c r="A116" s="0" t="str">
        <f aca="false">Python_Ref!B116</f>
        <v>vr IR EUR 1y</v>
      </c>
      <c r="B116" s="0" t="n">
        <f aca="false">SIMM_Vega!C45</f>
        <v>0</v>
      </c>
      <c r="C116" s="0" t="n">
        <f aca="false">Python_Ref!C116</f>
        <v>0</v>
      </c>
      <c r="D116" s="0" t="n">
        <f aca="false">IF(Python_Ref!D116="text",IF(B116=C116,0,1),IF(Python_Ref!D116="rel",ABS(B116-C116)/MAX(1,ABS(C116)),ABS(B116-C116)))</f>
        <v>0</v>
      </c>
      <c r="E116" s="0" t="n">
        <f aca="false">Python_Ref!E116</f>
        <v>1E-009</v>
      </c>
      <c r="F116" s="0" t="n">
        <f aca="false">IF(D116&lt;=E116,1,0)</f>
        <v>1</v>
      </c>
    </row>
    <row r="117" customFormat="false" ht="15" hidden="false" customHeight="false" outlineLevel="0" collapsed="false">
      <c r="A117" s="0" t="str">
        <f aca="false">Python_Ref!B117</f>
        <v>vr IR EUR 2y</v>
      </c>
      <c r="B117" s="0" t="n">
        <f aca="false">SIMM_Vega!C46</f>
        <v>0</v>
      </c>
      <c r="C117" s="0" t="n">
        <f aca="false">Python_Ref!C117</f>
        <v>0</v>
      </c>
      <c r="D117" s="0" t="n">
        <f aca="false">IF(Python_Ref!D117="text",IF(B117=C117,0,1),IF(Python_Ref!D117="rel",ABS(B117-C117)/MAX(1,ABS(C117)),ABS(B117-C117)))</f>
        <v>0</v>
      </c>
      <c r="E117" s="0" t="n">
        <f aca="false">Python_Ref!E117</f>
        <v>1E-009</v>
      </c>
      <c r="F117" s="0" t="n">
        <f aca="false">IF(D117&lt;=E117,1,0)</f>
        <v>1</v>
      </c>
    </row>
    <row r="118" customFormat="false" ht="15" hidden="false" customHeight="false" outlineLevel="0" collapsed="false">
      <c r="A118" s="0" t="str">
        <f aca="false">Python_Ref!B118</f>
        <v>vr IR EUR 3y</v>
      </c>
      <c r="B118" s="0" t="n">
        <f aca="false">SIMM_Vega!C47</f>
        <v>211591.201731549</v>
      </c>
      <c r="C118" s="0" t="n">
        <f aca="false">Python_Ref!C118</f>
        <v>211591.201731549</v>
      </c>
      <c r="D118" s="0" t="n">
        <f aca="false">IF(Python_Ref!D118="text",IF(B118=C118,0,1),IF(Python_Ref!D118="rel",ABS(B118-C118)/MAX(1,ABS(C118)),ABS(B118-C118)))</f>
        <v>0</v>
      </c>
      <c r="E118" s="0" t="n">
        <f aca="false">Python_Ref!E118</f>
        <v>1E-009</v>
      </c>
      <c r="F118" s="0" t="n">
        <f aca="false">IF(D118&lt;=E118,1,0)</f>
        <v>1</v>
      </c>
    </row>
    <row r="119" customFormat="false" ht="15" hidden="false" customHeight="false" outlineLevel="0" collapsed="false">
      <c r="A119" s="0" t="str">
        <f aca="false">Python_Ref!B119</f>
        <v>vr IR EUR 5y</v>
      </c>
      <c r="B119" s="0" t="n">
        <f aca="false">SIMM_Vega!C48</f>
        <v>211591.201731549</v>
      </c>
      <c r="C119" s="0" t="n">
        <f aca="false">Python_Ref!C119</f>
        <v>211591.201731549</v>
      </c>
      <c r="D119" s="0" t="n">
        <f aca="false">IF(Python_Ref!D119="text",IF(B119=C119,0,1),IF(Python_Ref!D119="rel",ABS(B119-C119)/MAX(1,ABS(C119)),ABS(B119-C119)))</f>
        <v>0</v>
      </c>
      <c r="E119" s="0" t="n">
        <f aca="false">Python_Ref!E119</f>
        <v>1E-009</v>
      </c>
      <c r="F119" s="0" t="n">
        <f aca="false">IF(D119&lt;=E119,1,0)</f>
        <v>1</v>
      </c>
    </row>
    <row r="120" customFormat="false" ht="15" hidden="false" customHeight="false" outlineLevel="0" collapsed="false">
      <c r="A120" s="0" t="str">
        <f aca="false">Python_Ref!B120</f>
        <v>vr IR EUR 10y</v>
      </c>
      <c r="B120" s="0" t="n">
        <f aca="false">SIMM_Vega!C49</f>
        <v>0</v>
      </c>
      <c r="C120" s="0" t="n">
        <f aca="false">Python_Ref!C120</f>
        <v>0</v>
      </c>
      <c r="D120" s="0" t="n">
        <f aca="false">IF(Python_Ref!D120="text",IF(B120=C120,0,1),IF(Python_Ref!D120="rel",ABS(B120-C120)/MAX(1,ABS(C120)),ABS(B120-C120)))</f>
        <v>0</v>
      </c>
      <c r="E120" s="0" t="n">
        <f aca="false">Python_Ref!E120</f>
        <v>1E-009</v>
      </c>
      <c r="F120" s="0" t="n">
        <f aca="false">IF(D120&lt;=E120,1,0)</f>
        <v>1</v>
      </c>
    </row>
    <row r="121" customFormat="false" ht="15" hidden="false" customHeight="false" outlineLevel="0" collapsed="false">
      <c r="A121" s="0" t="str">
        <f aca="false">Python_Ref!B121</f>
        <v>vr IR EUR 15y</v>
      </c>
      <c r="B121" s="0" t="n">
        <f aca="false">SIMM_Vega!C50</f>
        <v>0</v>
      </c>
      <c r="C121" s="0" t="n">
        <f aca="false">Python_Ref!C121</f>
        <v>0</v>
      </c>
      <c r="D121" s="0" t="n">
        <f aca="false">IF(Python_Ref!D121="text",IF(B121=C121,0,1),IF(Python_Ref!D121="rel",ABS(B121-C121)/MAX(1,ABS(C121)),ABS(B121-C121)))</f>
        <v>0</v>
      </c>
      <c r="E121" s="0" t="n">
        <f aca="false">Python_Ref!E121</f>
        <v>1E-009</v>
      </c>
      <c r="F121" s="0" t="n">
        <f aca="false">IF(D121&lt;=E121,1,0)</f>
        <v>1</v>
      </c>
    </row>
    <row r="122" customFormat="false" ht="15" hidden="false" customHeight="false" outlineLevel="0" collapsed="false">
      <c r="A122" s="0" t="str">
        <f aca="false">Python_Ref!B122</f>
        <v>vr IR EUR 20y</v>
      </c>
      <c r="B122" s="0" t="n">
        <f aca="false">SIMM_Vega!C51</f>
        <v>0</v>
      </c>
      <c r="C122" s="0" t="n">
        <f aca="false">Python_Ref!C122</f>
        <v>0</v>
      </c>
      <c r="D122" s="0" t="n">
        <f aca="false">IF(Python_Ref!D122="text",IF(B122=C122,0,1),IF(Python_Ref!D122="rel",ABS(B122-C122)/MAX(1,ABS(C122)),ABS(B122-C122)))</f>
        <v>0</v>
      </c>
      <c r="E122" s="0" t="n">
        <f aca="false">Python_Ref!E122</f>
        <v>1E-009</v>
      </c>
      <c r="F122" s="0" t="n">
        <f aca="false">IF(D122&lt;=E122,1,0)</f>
        <v>1</v>
      </c>
    </row>
    <row r="123" customFormat="false" ht="15" hidden="false" customHeight="false" outlineLevel="0" collapsed="false">
      <c r="A123" s="0" t="str">
        <f aca="false">Python_Ref!B123</f>
        <v>vr IR EUR 30y</v>
      </c>
      <c r="B123" s="0" t="n">
        <f aca="false">SIMM_Vega!C52</f>
        <v>0</v>
      </c>
      <c r="C123" s="0" t="n">
        <f aca="false">Python_Ref!C123</f>
        <v>0</v>
      </c>
      <c r="D123" s="0" t="n">
        <f aca="false">IF(Python_Ref!D123="text",IF(B123=C123,0,1),IF(Python_Ref!D123="rel",ABS(B123-C123)/MAX(1,ABS(C123)),ABS(B123-C123)))</f>
        <v>0</v>
      </c>
      <c r="E123" s="0" t="n">
        <f aca="false">Python_Ref!E123</f>
        <v>1E-009</v>
      </c>
      <c r="F123" s="0" t="n">
        <f aca="false">IF(D123&lt;=E123,1,0)</f>
        <v>1</v>
      </c>
    </row>
    <row r="124" customFormat="false" ht="15" hidden="false" customHeight="false" outlineLevel="0" collapsed="false">
      <c r="A124" s="0" t="str">
        <f aca="false">Python_Ref!B124</f>
        <v>cr IR Vega EUR</v>
      </c>
      <c r="B124" s="0" t="n">
        <f aca="false">SIMM_Vega!B36</f>
        <v>1</v>
      </c>
      <c r="C124" s="0" t="n">
        <f aca="false">Python_Ref!C124</f>
        <v>1</v>
      </c>
      <c r="D124" s="0" t="n">
        <f aca="false">IF(Python_Ref!D124="text",IF(B124=C124,0,1),IF(Python_Ref!D124="rel",ABS(B124-C124)/MAX(1,ABS(C124)),ABS(B124-C124)))</f>
        <v>0</v>
      </c>
      <c r="E124" s="0" t="n">
        <f aca="false">Python_Ref!E124</f>
        <v>1E-009</v>
      </c>
      <c r="F124" s="0" t="n">
        <f aca="false">IF(D124&lt;=E124,1,0)</f>
        <v>1</v>
      </c>
    </row>
    <row r="125" customFormat="false" ht="15" hidden="false" customHeight="false" outlineLevel="0" collapsed="false">
      <c r="A125" s="0" t="str">
        <f aca="false">Python_Ref!B125</f>
        <v>k IR Vega EUR</v>
      </c>
      <c r="B125" s="0" t="n">
        <f aca="false">SIMM_Vega!B37</f>
        <v>419996.543321242</v>
      </c>
      <c r="C125" s="0" t="n">
        <f aca="false">Python_Ref!C125</f>
        <v>419996.543321242</v>
      </c>
      <c r="D125" s="0" t="n">
        <f aca="false">IF(Python_Ref!D125="text",IF(B125=C125,0,1),IF(Python_Ref!D125="rel",ABS(B125-C125)/MAX(1,ABS(C125)),ABS(B125-C125)))</f>
        <v>0</v>
      </c>
      <c r="E125" s="0" t="n">
        <f aca="false">Python_Ref!E125</f>
        <v>1E-009</v>
      </c>
      <c r="F125" s="0" t="n">
        <f aca="false">IF(D125&lt;=E125,1,0)</f>
        <v>1</v>
      </c>
    </row>
    <row r="126" customFormat="false" ht="15" hidden="false" customHeight="false" outlineLevel="0" collapsed="false">
      <c r="A126" s="0" t="str">
        <f aca="false">Python_Ref!B126</f>
        <v>s IR Vega EUR</v>
      </c>
      <c r="B126" s="0" t="n">
        <f aca="false">SIMM_Vega!B39</f>
        <v>419996.543321242</v>
      </c>
      <c r="C126" s="0" t="n">
        <f aca="false">Python_Ref!C126</f>
        <v>419996.543321242</v>
      </c>
      <c r="D126" s="0" t="n">
        <f aca="false">IF(Python_Ref!D126="text",IF(B126=C126,0,1),IF(Python_Ref!D126="rel",ABS(B126-C126)/MAX(1,ABS(C126)),ABS(B126-C126)))</f>
        <v>0</v>
      </c>
      <c r="E126" s="0" t="n">
        <f aca="false">Python_Ref!E126</f>
        <v>1E-009</v>
      </c>
      <c r="F126" s="0" t="n">
        <f aca="false">IF(D126&lt;=E126,1,0)</f>
        <v>1</v>
      </c>
    </row>
    <row r="127" customFormat="false" ht="15" hidden="false" customHeight="false" outlineLevel="0" collapsed="false">
      <c r="A127" s="0" t="str">
        <f aca="false">Python_Ref!B127</f>
        <v>vr IR GBP 2w</v>
      </c>
      <c r="B127" s="0" t="n">
        <f aca="false">SIMM_Vega!C65</f>
        <v>0</v>
      </c>
      <c r="C127" s="0" t="n">
        <f aca="false">Python_Ref!C127</f>
        <v>0</v>
      </c>
      <c r="D127" s="0" t="n">
        <f aca="false">IF(Python_Ref!D127="text",IF(B127=C127,0,1),IF(Python_Ref!D127="rel",ABS(B127-C127)/MAX(1,ABS(C127)),ABS(B127-C127)))</f>
        <v>0</v>
      </c>
      <c r="E127" s="0" t="n">
        <f aca="false">Python_Ref!E127</f>
        <v>1E-009</v>
      </c>
      <c r="F127" s="0" t="n">
        <f aca="false">IF(D127&lt;=E127,1,0)</f>
        <v>1</v>
      </c>
    </row>
    <row r="128" customFormat="false" ht="15" hidden="false" customHeight="false" outlineLevel="0" collapsed="false">
      <c r="A128" s="0" t="str">
        <f aca="false">Python_Ref!B128</f>
        <v>vr IR GBP 1m</v>
      </c>
      <c r="B128" s="0" t="n">
        <f aca="false">SIMM_Vega!C66</f>
        <v>0</v>
      </c>
      <c r="C128" s="0" t="n">
        <f aca="false">Python_Ref!C128</f>
        <v>0</v>
      </c>
      <c r="D128" s="0" t="n">
        <f aca="false">IF(Python_Ref!D128="text",IF(B128=C128,0,1),IF(Python_Ref!D128="rel",ABS(B128-C128)/MAX(1,ABS(C128)),ABS(B128-C128)))</f>
        <v>0</v>
      </c>
      <c r="E128" s="0" t="n">
        <f aca="false">Python_Ref!E128</f>
        <v>1E-009</v>
      </c>
      <c r="F128" s="0" t="n">
        <f aca="false">IF(D128&lt;=E128,1,0)</f>
        <v>1</v>
      </c>
    </row>
    <row r="129" customFormat="false" ht="15" hidden="false" customHeight="false" outlineLevel="0" collapsed="false">
      <c r="A129" s="0" t="str">
        <f aca="false">Python_Ref!B129</f>
        <v>vr IR GBP 3m</v>
      </c>
      <c r="B129" s="0" t="n">
        <f aca="false">SIMM_Vega!C67</f>
        <v>0</v>
      </c>
      <c r="C129" s="0" t="n">
        <f aca="false">Python_Ref!C129</f>
        <v>0</v>
      </c>
      <c r="D129" s="0" t="n">
        <f aca="false">IF(Python_Ref!D129="text",IF(B129=C129,0,1),IF(Python_Ref!D129="rel",ABS(B129-C129)/MAX(1,ABS(C129)),ABS(B129-C129)))</f>
        <v>0</v>
      </c>
      <c r="E129" s="0" t="n">
        <f aca="false">Python_Ref!E129</f>
        <v>1E-009</v>
      </c>
      <c r="F129" s="0" t="n">
        <f aca="false">IF(D129&lt;=E129,1,0)</f>
        <v>1</v>
      </c>
    </row>
    <row r="130" customFormat="false" ht="15" hidden="false" customHeight="false" outlineLevel="0" collapsed="false">
      <c r="A130" s="0" t="str">
        <f aca="false">Python_Ref!B130</f>
        <v>vr IR GBP 6m</v>
      </c>
      <c r="B130" s="0" t="n">
        <f aca="false">SIMM_Vega!C68</f>
        <v>0</v>
      </c>
      <c r="C130" s="0" t="n">
        <f aca="false">Python_Ref!C130</f>
        <v>0</v>
      </c>
      <c r="D130" s="0" t="n">
        <f aca="false">IF(Python_Ref!D130="text",IF(B130=C130,0,1),IF(Python_Ref!D130="rel",ABS(B130-C130)/MAX(1,ABS(C130)),ABS(B130-C130)))</f>
        <v>0</v>
      </c>
      <c r="E130" s="0" t="n">
        <f aca="false">Python_Ref!E130</f>
        <v>1E-009</v>
      </c>
      <c r="F130" s="0" t="n">
        <f aca="false">IF(D130&lt;=E130,1,0)</f>
        <v>1</v>
      </c>
    </row>
    <row r="131" customFormat="false" ht="15" hidden="false" customHeight="false" outlineLevel="0" collapsed="false">
      <c r="A131" s="0" t="str">
        <f aca="false">Python_Ref!B131</f>
        <v>vr IR GBP 1y</v>
      </c>
      <c r="B131" s="0" t="n">
        <f aca="false">SIMM_Vega!C69</f>
        <v>0</v>
      </c>
      <c r="C131" s="0" t="n">
        <f aca="false">Python_Ref!C131</f>
        <v>0</v>
      </c>
      <c r="D131" s="0" t="n">
        <f aca="false">IF(Python_Ref!D131="text",IF(B131=C131,0,1),IF(Python_Ref!D131="rel",ABS(B131-C131)/MAX(1,ABS(C131)),ABS(B131-C131)))</f>
        <v>0</v>
      </c>
      <c r="E131" s="0" t="n">
        <f aca="false">Python_Ref!E131</f>
        <v>1E-009</v>
      </c>
      <c r="F131" s="0" t="n">
        <f aca="false">IF(D131&lt;=E131,1,0)</f>
        <v>1</v>
      </c>
    </row>
    <row r="132" customFormat="false" ht="15" hidden="false" customHeight="false" outlineLevel="0" collapsed="false">
      <c r="A132" s="0" t="str">
        <f aca="false">Python_Ref!B132</f>
        <v>vr IR GBP 2y</v>
      </c>
      <c r="B132" s="0" t="n">
        <f aca="false">SIMM_Vega!C70</f>
        <v>0</v>
      </c>
      <c r="C132" s="0" t="n">
        <f aca="false">Python_Ref!C132</f>
        <v>0</v>
      </c>
      <c r="D132" s="0" t="n">
        <f aca="false">IF(Python_Ref!D132="text",IF(B132=C132,0,1),IF(Python_Ref!D132="rel",ABS(B132-C132)/MAX(1,ABS(C132)),ABS(B132-C132)))</f>
        <v>0</v>
      </c>
      <c r="E132" s="0" t="n">
        <f aca="false">Python_Ref!E132</f>
        <v>1E-009</v>
      </c>
      <c r="F132" s="0" t="n">
        <f aca="false">IF(D132&lt;=E132,1,0)</f>
        <v>1</v>
      </c>
    </row>
    <row r="133" customFormat="false" ht="15" hidden="false" customHeight="false" outlineLevel="0" collapsed="false">
      <c r="A133" s="0" t="str">
        <f aca="false">Python_Ref!B133</f>
        <v>vr IR GBP 3y</v>
      </c>
      <c r="B133" s="0" t="n">
        <f aca="false">SIMM_Vega!C71</f>
        <v>0</v>
      </c>
      <c r="C133" s="0" t="n">
        <f aca="false">Python_Ref!C133</f>
        <v>0</v>
      </c>
      <c r="D133" s="0" t="n">
        <f aca="false">IF(Python_Ref!D133="text",IF(B133=C133,0,1),IF(Python_Ref!D133="rel",ABS(B133-C133)/MAX(1,ABS(C133)),ABS(B133-C133)))</f>
        <v>0</v>
      </c>
      <c r="E133" s="0" t="n">
        <f aca="false">Python_Ref!E133</f>
        <v>1E-009</v>
      </c>
      <c r="F133" s="0" t="n">
        <f aca="false">IF(D133&lt;=E133,1,0)</f>
        <v>1</v>
      </c>
    </row>
    <row r="134" customFormat="false" ht="15" hidden="false" customHeight="false" outlineLevel="0" collapsed="false">
      <c r="A134" s="0" t="str">
        <f aca="false">Python_Ref!B134</f>
        <v>vr IR GBP 5y</v>
      </c>
      <c r="B134" s="0" t="n">
        <f aca="false">SIMM_Vega!C72</f>
        <v>-206285.626146868</v>
      </c>
      <c r="C134" s="0" t="n">
        <f aca="false">Python_Ref!C134</f>
        <v>-206285.626146868</v>
      </c>
      <c r="D134" s="0" t="n">
        <f aca="false">IF(Python_Ref!D134="text",IF(B134=C134,0,1),IF(Python_Ref!D134="rel",ABS(B134-C134)/MAX(1,ABS(C134)),ABS(B134-C134)))</f>
        <v>0</v>
      </c>
      <c r="E134" s="0" t="n">
        <f aca="false">Python_Ref!E134</f>
        <v>1E-009</v>
      </c>
      <c r="F134" s="0" t="n">
        <f aca="false">IF(D134&lt;=E134,1,0)</f>
        <v>1</v>
      </c>
    </row>
    <row r="135" customFormat="false" ht="15" hidden="false" customHeight="false" outlineLevel="0" collapsed="false">
      <c r="A135" s="0" t="str">
        <f aca="false">Python_Ref!B135</f>
        <v>vr IR GBP 10y</v>
      </c>
      <c r="B135" s="0" t="n">
        <f aca="false">SIMM_Vega!C73</f>
        <v>0</v>
      </c>
      <c r="C135" s="0" t="n">
        <f aca="false">Python_Ref!C135</f>
        <v>0</v>
      </c>
      <c r="D135" s="0" t="n">
        <f aca="false">IF(Python_Ref!D135="text",IF(B135=C135,0,1),IF(Python_Ref!D135="rel",ABS(B135-C135)/MAX(1,ABS(C135)),ABS(B135-C135)))</f>
        <v>0</v>
      </c>
      <c r="E135" s="0" t="n">
        <f aca="false">Python_Ref!E135</f>
        <v>1E-009</v>
      </c>
      <c r="F135" s="0" t="n">
        <f aca="false">IF(D135&lt;=E135,1,0)</f>
        <v>1</v>
      </c>
    </row>
    <row r="136" customFormat="false" ht="15" hidden="false" customHeight="false" outlineLevel="0" collapsed="false">
      <c r="A136" s="0" t="str">
        <f aca="false">Python_Ref!B136</f>
        <v>vr IR GBP 15y</v>
      </c>
      <c r="B136" s="0" t="n">
        <f aca="false">SIMM_Vega!C74</f>
        <v>0</v>
      </c>
      <c r="C136" s="0" t="n">
        <f aca="false">Python_Ref!C136</f>
        <v>0</v>
      </c>
      <c r="D136" s="0" t="n">
        <f aca="false">IF(Python_Ref!D136="text",IF(B136=C136,0,1),IF(Python_Ref!D136="rel",ABS(B136-C136)/MAX(1,ABS(C136)),ABS(B136-C136)))</f>
        <v>0</v>
      </c>
      <c r="E136" s="0" t="n">
        <f aca="false">Python_Ref!E136</f>
        <v>1E-009</v>
      </c>
      <c r="F136" s="0" t="n">
        <f aca="false">IF(D136&lt;=E136,1,0)</f>
        <v>1</v>
      </c>
    </row>
    <row r="137" customFormat="false" ht="15" hidden="false" customHeight="false" outlineLevel="0" collapsed="false">
      <c r="A137" s="0" t="str">
        <f aca="false">Python_Ref!B137</f>
        <v>vr IR GBP 20y</v>
      </c>
      <c r="B137" s="0" t="n">
        <f aca="false">SIMM_Vega!C75</f>
        <v>0</v>
      </c>
      <c r="C137" s="0" t="n">
        <f aca="false">Python_Ref!C137</f>
        <v>0</v>
      </c>
      <c r="D137" s="0" t="n">
        <f aca="false">IF(Python_Ref!D137="text",IF(B137=C137,0,1),IF(Python_Ref!D137="rel",ABS(B137-C137)/MAX(1,ABS(C137)),ABS(B137-C137)))</f>
        <v>0</v>
      </c>
      <c r="E137" s="0" t="n">
        <f aca="false">Python_Ref!E137</f>
        <v>1E-009</v>
      </c>
      <c r="F137" s="0" t="n">
        <f aca="false">IF(D137&lt;=E137,1,0)</f>
        <v>1</v>
      </c>
    </row>
    <row r="138" customFormat="false" ht="15" hidden="false" customHeight="false" outlineLevel="0" collapsed="false">
      <c r="A138" s="0" t="str">
        <f aca="false">Python_Ref!B138</f>
        <v>vr IR GBP 30y</v>
      </c>
      <c r="B138" s="0" t="n">
        <f aca="false">SIMM_Vega!C76</f>
        <v>0</v>
      </c>
      <c r="C138" s="0" t="n">
        <f aca="false">Python_Ref!C138</f>
        <v>0</v>
      </c>
      <c r="D138" s="0" t="n">
        <f aca="false">IF(Python_Ref!D138="text",IF(B138=C138,0,1),IF(Python_Ref!D138="rel",ABS(B138-C138)/MAX(1,ABS(C138)),ABS(B138-C138)))</f>
        <v>0</v>
      </c>
      <c r="E138" s="0" t="n">
        <f aca="false">Python_Ref!E138</f>
        <v>1E-009</v>
      </c>
      <c r="F138" s="0" t="n">
        <f aca="false">IF(D138&lt;=E138,1,0)</f>
        <v>1</v>
      </c>
    </row>
    <row r="139" customFormat="false" ht="15" hidden="false" customHeight="false" outlineLevel="0" collapsed="false">
      <c r="A139" s="0" t="str">
        <f aca="false">Python_Ref!B139</f>
        <v>cr IR Vega GBP</v>
      </c>
      <c r="B139" s="0" t="n">
        <f aca="false">SIMM_Vega!B60</f>
        <v>1</v>
      </c>
      <c r="C139" s="0" t="n">
        <f aca="false">Python_Ref!C139</f>
        <v>1</v>
      </c>
      <c r="D139" s="0" t="n">
        <f aca="false">IF(Python_Ref!D139="text",IF(B139=C139,0,1),IF(Python_Ref!D139="rel",ABS(B139-C139)/MAX(1,ABS(C139)),ABS(B139-C139)))</f>
        <v>0</v>
      </c>
      <c r="E139" s="0" t="n">
        <f aca="false">Python_Ref!E139</f>
        <v>1E-009</v>
      </c>
      <c r="F139" s="0" t="n">
        <f aca="false">IF(D139&lt;=E139,1,0)</f>
        <v>1</v>
      </c>
    </row>
    <row r="140" customFormat="false" ht="15" hidden="false" customHeight="false" outlineLevel="0" collapsed="false">
      <c r="A140" s="0" t="str">
        <f aca="false">Python_Ref!B140</f>
        <v>k IR Vega GBP</v>
      </c>
      <c r="B140" s="0" t="n">
        <f aca="false">SIMM_Vega!B61</f>
        <v>206285.626146868</v>
      </c>
      <c r="C140" s="0" t="n">
        <f aca="false">Python_Ref!C140</f>
        <v>206285.626146868</v>
      </c>
      <c r="D140" s="0" t="n">
        <f aca="false">IF(Python_Ref!D140="text",IF(B140=C140,0,1),IF(Python_Ref!D140="rel",ABS(B140-C140)/MAX(1,ABS(C140)),ABS(B140-C140)))</f>
        <v>0</v>
      </c>
      <c r="E140" s="0" t="n">
        <f aca="false">Python_Ref!E140</f>
        <v>1E-009</v>
      </c>
      <c r="F140" s="0" t="n">
        <f aca="false">IF(D140&lt;=E140,1,0)</f>
        <v>1</v>
      </c>
    </row>
    <row r="141" customFormat="false" ht="15" hidden="false" customHeight="false" outlineLevel="0" collapsed="false">
      <c r="A141" s="0" t="str">
        <f aca="false">Python_Ref!B141</f>
        <v>s IR Vega GBP</v>
      </c>
      <c r="B141" s="0" t="n">
        <f aca="false">SIMM_Vega!B63</f>
        <v>-206285.626146868</v>
      </c>
      <c r="C141" s="0" t="n">
        <f aca="false">Python_Ref!C141</f>
        <v>-206285.626146868</v>
      </c>
      <c r="D141" s="0" t="n">
        <f aca="false">IF(Python_Ref!D141="text",IF(B141=C141,0,1),IF(Python_Ref!D141="rel",ABS(B141-C141)/MAX(1,ABS(C141)),ABS(B141-C141)))</f>
        <v>0</v>
      </c>
      <c r="E141" s="0" t="n">
        <f aca="false">Python_Ref!E141</f>
        <v>1E-009</v>
      </c>
      <c r="F141" s="0" t="n">
        <f aca="false">IF(D141&lt;=E141,1,0)</f>
        <v>1</v>
      </c>
    </row>
    <row r="142" customFormat="false" ht="15" hidden="false" customHeight="false" outlineLevel="0" collapsed="false">
      <c r="A142" s="0" t="str">
        <f aca="false">Python_Ref!B142</f>
        <v>vr IR JPY 2w</v>
      </c>
      <c r="B142" s="0" t="n">
        <f aca="false">SIMM_Vega!C89</f>
        <v>0</v>
      </c>
      <c r="C142" s="0" t="n">
        <f aca="false">Python_Ref!C142</f>
        <v>0</v>
      </c>
      <c r="D142" s="0" t="n">
        <f aca="false">IF(Python_Ref!D142="text",IF(B142=C142,0,1),IF(Python_Ref!D142="rel",ABS(B142-C142)/MAX(1,ABS(C142)),ABS(B142-C142)))</f>
        <v>0</v>
      </c>
      <c r="E142" s="0" t="n">
        <f aca="false">Python_Ref!E142</f>
        <v>1E-009</v>
      </c>
      <c r="F142" s="0" t="n">
        <f aca="false">IF(D142&lt;=E142,1,0)</f>
        <v>1</v>
      </c>
    </row>
    <row r="143" customFormat="false" ht="15" hidden="false" customHeight="false" outlineLevel="0" collapsed="false">
      <c r="A143" s="0" t="str">
        <f aca="false">Python_Ref!B143</f>
        <v>vr IR JPY 1m</v>
      </c>
      <c r="B143" s="0" t="n">
        <f aca="false">SIMM_Vega!C90</f>
        <v>0</v>
      </c>
      <c r="C143" s="0" t="n">
        <f aca="false">Python_Ref!C143</f>
        <v>0</v>
      </c>
      <c r="D143" s="0" t="n">
        <f aca="false">IF(Python_Ref!D143="text",IF(B143=C143,0,1),IF(Python_Ref!D143="rel",ABS(B143-C143)/MAX(1,ABS(C143)),ABS(B143-C143)))</f>
        <v>0</v>
      </c>
      <c r="E143" s="0" t="n">
        <f aca="false">Python_Ref!E143</f>
        <v>1E-009</v>
      </c>
      <c r="F143" s="0" t="n">
        <f aca="false">IF(D143&lt;=E143,1,0)</f>
        <v>1</v>
      </c>
    </row>
    <row r="144" customFormat="false" ht="15" hidden="false" customHeight="false" outlineLevel="0" collapsed="false">
      <c r="A144" s="0" t="str">
        <f aca="false">Python_Ref!B144</f>
        <v>vr IR JPY 3m</v>
      </c>
      <c r="B144" s="0" t="n">
        <f aca="false">SIMM_Vega!C91</f>
        <v>0</v>
      </c>
      <c r="C144" s="0" t="n">
        <f aca="false">Python_Ref!C144</f>
        <v>0</v>
      </c>
      <c r="D144" s="0" t="n">
        <f aca="false">IF(Python_Ref!D144="text",IF(B144=C144,0,1),IF(Python_Ref!D144="rel",ABS(B144-C144)/MAX(1,ABS(C144)),ABS(B144-C144)))</f>
        <v>0</v>
      </c>
      <c r="E144" s="0" t="n">
        <f aca="false">Python_Ref!E144</f>
        <v>1E-009</v>
      </c>
      <c r="F144" s="0" t="n">
        <f aca="false">IF(D144&lt;=E144,1,0)</f>
        <v>1</v>
      </c>
    </row>
    <row r="145" customFormat="false" ht="15" hidden="false" customHeight="false" outlineLevel="0" collapsed="false">
      <c r="A145" s="0" t="str">
        <f aca="false">Python_Ref!B145</f>
        <v>vr IR JPY 6m</v>
      </c>
      <c r="B145" s="0" t="n">
        <f aca="false">SIMM_Vega!C92</f>
        <v>0</v>
      </c>
      <c r="C145" s="0" t="n">
        <f aca="false">Python_Ref!C145</f>
        <v>0</v>
      </c>
      <c r="D145" s="0" t="n">
        <f aca="false">IF(Python_Ref!D145="text",IF(B145=C145,0,1),IF(Python_Ref!D145="rel",ABS(B145-C145)/MAX(1,ABS(C145)),ABS(B145-C145)))</f>
        <v>0</v>
      </c>
      <c r="E145" s="0" t="n">
        <f aca="false">Python_Ref!E145</f>
        <v>1E-009</v>
      </c>
      <c r="F145" s="0" t="n">
        <f aca="false">IF(D145&lt;=E145,1,0)</f>
        <v>1</v>
      </c>
    </row>
    <row r="146" customFormat="false" ht="15" hidden="false" customHeight="false" outlineLevel="0" collapsed="false">
      <c r="A146" s="0" t="str">
        <f aca="false">Python_Ref!B146</f>
        <v>vr IR JPY 1y</v>
      </c>
      <c r="B146" s="0" t="n">
        <f aca="false">SIMM_Vega!C93</f>
        <v>0</v>
      </c>
      <c r="C146" s="0" t="n">
        <f aca="false">Python_Ref!C146</f>
        <v>0</v>
      </c>
      <c r="D146" s="0" t="n">
        <f aca="false">IF(Python_Ref!D146="text",IF(B146=C146,0,1),IF(Python_Ref!D146="rel",ABS(B146-C146)/MAX(1,ABS(C146)),ABS(B146-C146)))</f>
        <v>0</v>
      </c>
      <c r="E146" s="0" t="n">
        <f aca="false">Python_Ref!E146</f>
        <v>1E-009</v>
      </c>
      <c r="F146" s="0" t="n">
        <f aca="false">IF(D146&lt;=E146,1,0)</f>
        <v>1</v>
      </c>
    </row>
    <row r="147" customFormat="false" ht="15" hidden="false" customHeight="false" outlineLevel="0" collapsed="false">
      <c r="A147" s="0" t="str">
        <f aca="false">Python_Ref!B147</f>
        <v>vr IR JPY 2y</v>
      </c>
      <c r="B147" s="0" t="n">
        <f aca="false">SIMM_Vega!C94</f>
        <v>0</v>
      </c>
      <c r="C147" s="0" t="n">
        <f aca="false">Python_Ref!C147</f>
        <v>0</v>
      </c>
      <c r="D147" s="0" t="n">
        <f aca="false">IF(Python_Ref!D147="text",IF(B147=C147,0,1),IF(Python_Ref!D147="rel",ABS(B147-C147)/MAX(1,ABS(C147)),ABS(B147-C147)))</f>
        <v>0</v>
      </c>
      <c r="E147" s="0" t="n">
        <f aca="false">Python_Ref!E147</f>
        <v>1E-009</v>
      </c>
      <c r="F147" s="0" t="n">
        <f aca="false">IF(D147&lt;=E147,1,0)</f>
        <v>1</v>
      </c>
    </row>
    <row r="148" customFormat="false" ht="15" hidden="false" customHeight="false" outlineLevel="0" collapsed="false">
      <c r="A148" s="0" t="str">
        <f aca="false">Python_Ref!B148</f>
        <v>vr IR JPY 3y</v>
      </c>
      <c r="B148" s="0" t="n">
        <f aca="false">SIMM_Vega!C95</f>
        <v>0</v>
      </c>
      <c r="C148" s="0" t="n">
        <f aca="false">Python_Ref!C148</f>
        <v>0</v>
      </c>
      <c r="D148" s="0" t="n">
        <f aca="false">IF(Python_Ref!D148="text",IF(B148=C148,0,1),IF(Python_Ref!D148="rel",ABS(B148-C148)/MAX(1,ABS(C148)),ABS(B148-C148)))</f>
        <v>0</v>
      </c>
      <c r="E148" s="0" t="n">
        <f aca="false">Python_Ref!E148</f>
        <v>1E-009</v>
      </c>
      <c r="F148" s="0" t="n">
        <f aca="false">IF(D148&lt;=E148,1,0)</f>
        <v>1</v>
      </c>
    </row>
    <row r="149" customFormat="false" ht="15" hidden="false" customHeight="false" outlineLevel="0" collapsed="false">
      <c r="A149" s="0" t="str">
        <f aca="false">Python_Ref!B149</f>
        <v>vr IR JPY 5y</v>
      </c>
      <c r="B149" s="0" t="n">
        <f aca="false">SIMM_Vega!C96</f>
        <v>0</v>
      </c>
      <c r="C149" s="0" t="n">
        <f aca="false">Python_Ref!C149</f>
        <v>0</v>
      </c>
      <c r="D149" s="0" t="n">
        <f aca="false">IF(Python_Ref!D149="text",IF(B149=C149,0,1),IF(Python_Ref!D149="rel",ABS(B149-C149)/MAX(1,ABS(C149)),ABS(B149-C149)))</f>
        <v>0</v>
      </c>
      <c r="E149" s="0" t="n">
        <f aca="false">Python_Ref!E149</f>
        <v>1E-009</v>
      </c>
      <c r="F149" s="0" t="n">
        <f aca="false">IF(D149&lt;=E149,1,0)</f>
        <v>1</v>
      </c>
    </row>
    <row r="150" customFormat="false" ht="15" hidden="false" customHeight="false" outlineLevel="0" collapsed="false">
      <c r="A150" s="0" t="str">
        <f aca="false">Python_Ref!B150</f>
        <v>vr IR JPY 10y</v>
      </c>
      <c r="B150" s="0" t="n">
        <f aca="false">SIMM_Vega!C97</f>
        <v>0</v>
      </c>
      <c r="C150" s="0" t="n">
        <f aca="false">Python_Ref!C150</f>
        <v>0</v>
      </c>
      <c r="D150" s="0" t="n">
        <f aca="false">IF(Python_Ref!D150="text",IF(B150=C150,0,1),IF(Python_Ref!D150="rel",ABS(B150-C150)/MAX(1,ABS(C150)),ABS(B150-C150)))</f>
        <v>0</v>
      </c>
      <c r="E150" s="0" t="n">
        <f aca="false">Python_Ref!E150</f>
        <v>1E-009</v>
      </c>
      <c r="F150" s="0" t="n">
        <f aca="false">IF(D150&lt;=E150,1,0)</f>
        <v>1</v>
      </c>
    </row>
    <row r="151" customFormat="false" ht="15" hidden="false" customHeight="false" outlineLevel="0" collapsed="false">
      <c r="A151" s="0" t="str">
        <f aca="false">Python_Ref!B151</f>
        <v>vr IR JPY 15y</v>
      </c>
      <c r="B151" s="0" t="n">
        <f aca="false">SIMM_Vega!C98</f>
        <v>0</v>
      </c>
      <c r="C151" s="0" t="n">
        <f aca="false">Python_Ref!C151</f>
        <v>0</v>
      </c>
      <c r="D151" s="0" t="n">
        <f aca="false">IF(Python_Ref!D151="text",IF(B151=C151,0,1),IF(Python_Ref!D151="rel",ABS(B151-C151)/MAX(1,ABS(C151)),ABS(B151-C151)))</f>
        <v>0</v>
      </c>
      <c r="E151" s="0" t="n">
        <f aca="false">Python_Ref!E151</f>
        <v>1E-009</v>
      </c>
      <c r="F151" s="0" t="n">
        <f aca="false">IF(D151&lt;=E151,1,0)</f>
        <v>1</v>
      </c>
    </row>
    <row r="152" customFormat="false" ht="15" hidden="false" customHeight="false" outlineLevel="0" collapsed="false">
      <c r="A152" s="0" t="str">
        <f aca="false">Python_Ref!B152</f>
        <v>vr IR JPY 20y</v>
      </c>
      <c r="B152" s="0" t="n">
        <f aca="false">SIMM_Vega!C99</f>
        <v>0</v>
      </c>
      <c r="C152" s="0" t="n">
        <f aca="false">Python_Ref!C152</f>
        <v>0</v>
      </c>
      <c r="D152" s="0" t="n">
        <f aca="false">IF(Python_Ref!D152="text",IF(B152=C152,0,1),IF(Python_Ref!D152="rel",ABS(B152-C152)/MAX(1,ABS(C152)),ABS(B152-C152)))</f>
        <v>0</v>
      </c>
      <c r="E152" s="0" t="n">
        <f aca="false">Python_Ref!E152</f>
        <v>1E-009</v>
      </c>
      <c r="F152" s="0" t="n">
        <f aca="false">IF(D152&lt;=E152,1,0)</f>
        <v>1</v>
      </c>
    </row>
    <row r="153" customFormat="false" ht="15" hidden="false" customHeight="false" outlineLevel="0" collapsed="false">
      <c r="A153" s="0" t="str">
        <f aca="false">Python_Ref!B153</f>
        <v>vr IR JPY 30y</v>
      </c>
      <c r="B153" s="0" t="n">
        <f aca="false">SIMM_Vega!C100</f>
        <v>0</v>
      </c>
      <c r="C153" s="0" t="n">
        <f aca="false">Python_Ref!C153</f>
        <v>0</v>
      </c>
      <c r="D153" s="0" t="n">
        <f aca="false">IF(Python_Ref!D153="text",IF(B153=C153,0,1),IF(Python_Ref!D153="rel",ABS(B153-C153)/MAX(1,ABS(C153)),ABS(B153-C153)))</f>
        <v>0</v>
      </c>
      <c r="E153" s="0" t="n">
        <f aca="false">Python_Ref!E153</f>
        <v>1E-009</v>
      </c>
      <c r="F153" s="0" t="n">
        <f aca="false">IF(D153&lt;=E153,1,0)</f>
        <v>1</v>
      </c>
    </row>
    <row r="154" customFormat="false" ht="15" hidden="false" customHeight="false" outlineLevel="0" collapsed="false">
      <c r="A154" s="0" t="str">
        <f aca="false">Python_Ref!B154</f>
        <v>cr IR Vega JPY</v>
      </c>
      <c r="B154" s="0" t="n">
        <f aca="false">SIMM_Vega!B84</f>
        <v>1</v>
      </c>
      <c r="C154" s="0" t="n">
        <f aca="false">Python_Ref!C154</f>
        <v>1</v>
      </c>
      <c r="D154" s="0" t="n">
        <f aca="false">IF(Python_Ref!D154="text",IF(B154=C154,0,1),IF(Python_Ref!D154="rel",ABS(B154-C154)/MAX(1,ABS(C154)),ABS(B154-C154)))</f>
        <v>0</v>
      </c>
      <c r="E154" s="0" t="n">
        <f aca="false">Python_Ref!E154</f>
        <v>1E-009</v>
      </c>
      <c r="F154" s="0" t="n">
        <f aca="false">IF(D154&lt;=E154,1,0)</f>
        <v>1</v>
      </c>
    </row>
    <row r="155" customFormat="false" ht="15" hidden="false" customHeight="false" outlineLevel="0" collapsed="false">
      <c r="A155" s="0" t="str">
        <f aca="false">Python_Ref!B155</f>
        <v>k IR Vega JPY</v>
      </c>
      <c r="B155" s="0" t="n">
        <f aca="false">SIMM_Vega!B85</f>
        <v>0</v>
      </c>
      <c r="C155" s="0" t="n">
        <f aca="false">Python_Ref!C155</f>
        <v>0</v>
      </c>
      <c r="D155" s="0" t="n">
        <f aca="false">IF(Python_Ref!D155="text",IF(B155=C155,0,1),IF(Python_Ref!D155="rel",ABS(B155-C155)/MAX(1,ABS(C155)),ABS(B155-C155)))</f>
        <v>0</v>
      </c>
      <c r="E155" s="0" t="n">
        <f aca="false">Python_Ref!E155</f>
        <v>1E-009</v>
      </c>
      <c r="F155" s="0" t="n">
        <f aca="false">IF(D155&lt;=E155,1,0)</f>
        <v>1</v>
      </c>
    </row>
    <row r="156" customFormat="false" ht="15" hidden="false" customHeight="false" outlineLevel="0" collapsed="false">
      <c r="A156" s="0" t="str">
        <f aca="false">Python_Ref!B156</f>
        <v>s IR Vega JPY</v>
      </c>
      <c r="B156" s="0" t="n">
        <f aca="false">SIMM_Vega!B87</f>
        <v>0</v>
      </c>
      <c r="C156" s="0" t="n">
        <f aca="false">Python_Ref!C156</f>
        <v>0</v>
      </c>
      <c r="D156" s="0" t="n">
        <f aca="false">IF(Python_Ref!D156="text",IF(B156=C156,0,1),IF(Python_Ref!D156="rel",ABS(B156-C156)/MAX(1,ABS(C156)),ABS(B156-C156)))</f>
        <v>0</v>
      </c>
      <c r="E156" s="0" t="n">
        <f aca="false">Python_Ref!E156</f>
        <v>1E-009</v>
      </c>
      <c r="F156" s="0" t="n">
        <f aca="false">IF(D156&lt;=E156,1,0)</f>
        <v>1</v>
      </c>
    </row>
    <row r="157" customFormat="false" ht="15" hidden="false" customHeight="false" outlineLevel="0" collapsed="false">
      <c r="A157" s="0" t="str">
        <f aca="false">Python_Ref!B157</f>
        <v>vr IR MXN 2w</v>
      </c>
      <c r="B157" s="0" t="n">
        <f aca="false">SIMM_Vega!C113</f>
        <v>0</v>
      </c>
      <c r="C157" s="0" t="n">
        <f aca="false">Python_Ref!C157</f>
        <v>0</v>
      </c>
      <c r="D157" s="0" t="n">
        <f aca="false">IF(Python_Ref!D157="text",IF(B157=C157,0,1),IF(Python_Ref!D157="rel",ABS(B157-C157)/MAX(1,ABS(C157)),ABS(B157-C157)))</f>
        <v>0</v>
      </c>
      <c r="E157" s="0" t="n">
        <f aca="false">Python_Ref!E157</f>
        <v>1E-009</v>
      </c>
      <c r="F157" s="0" t="n">
        <f aca="false">IF(D157&lt;=E157,1,0)</f>
        <v>1</v>
      </c>
    </row>
    <row r="158" customFormat="false" ht="15" hidden="false" customHeight="false" outlineLevel="0" collapsed="false">
      <c r="A158" s="0" t="str">
        <f aca="false">Python_Ref!B158</f>
        <v>vr IR MXN 1m</v>
      </c>
      <c r="B158" s="0" t="n">
        <f aca="false">SIMM_Vega!C114</f>
        <v>0</v>
      </c>
      <c r="C158" s="0" t="n">
        <f aca="false">Python_Ref!C158</f>
        <v>0</v>
      </c>
      <c r="D158" s="0" t="n">
        <f aca="false">IF(Python_Ref!D158="text",IF(B158=C158,0,1),IF(Python_Ref!D158="rel",ABS(B158-C158)/MAX(1,ABS(C158)),ABS(B158-C158)))</f>
        <v>0</v>
      </c>
      <c r="E158" s="0" t="n">
        <f aca="false">Python_Ref!E158</f>
        <v>1E-009</v>
      </c>
      <c r="F158" s="0" t="n">
        <f aca="false">IF(D158&lt;=E158,1,0)</f>
        <v>1</v>
      </c>
    </row>
    <row r="159" customFormat="false" ht="15" hidden="false" customHeight="false" outlineLevel="0" collapsed="false">
      <c r="A159" s="0" t="str">
        <f aca="false">Python_Ref!B159</f>
        <v>vr IR MXN 3m</v>
      </c>
      <c r="B159" s="0" t="n">
        <f aca="false">SIMM_Vega!C115</f>
        <v>0</v>
      </c>
      <c r="C159" s="0" t="n">
        <f aca="false">Python_Ref!C159</f>
        <v>0</v>
      </c>
      <c r="D159" s="0" t="n">
        <f aca="false">IF(Python_Ref!D159="text",IF(B159=C159,0,1),IF(Python_Ref!D159="rel",ABS(B159-C159)/MAX(1,ABS(C159)),ABS(B159-C159)))</f>
        <v>0</v>
      </c>
      <c r="E159" s="0" t="n">
        <f aca="false">Python_Ref!E159</f>
        <v>1E-009</v>
      </c>
      <c r="F159" s="0" t="n">
        <f aca="false">IF(D159&lt;=E159,1,0)</f>
        <v>1</v>
      </c>
    </row>
    <row r="160" customFormat="false" ht="15" hidden="false" customHeight="false" outlineLevel="0" collapsed="false">
      <c r="A160" s="0" t="str">
        <f aca="false">Python_Ref!B160</f>
        <v>vr IR MXN 6m</v>
      </c>
      <c r="B160" s="0" t="n">
        <f aca="false">SIMM_Vega!C116</f>
        <v>0</v>
      </c>
      <c r="C160" s="0" t="n">
        <f aca="false">Python_Ref!C160</f>
        <v>0</v>
      </c>
      <c r="D160" s="0" t="n">
        <f aca="false">IF(Python_Ref!D160="text",IF(B160=C160,0,1),IF(Python_Ref!D160="rel",ABS(B160-C160)/MAX(1,ABS(C160)),ABS(B160-C160)))</f>
        <v>0</v>
      </c>
      <c r="E160" s="0" t="n">
        <f aca="false">Python_Ref!E160</f>
        <v>1E-009</v>
      </c>
      <c r="F160" s="0" t="n">
        <f aca="false">IF(D160&lt;=E160,1,0)</f>
        <v>1</v>
      </c>
    </row>
    <row r="161" customFormat="false" ht="15" hidden="false" customHeight="false" outlineLevel="0" collapsed="false">
      <c r="A161" s="0" t="str">
        <f aca="false">Python_Ref!B161</f>
        <v>vr IR MXN 1y</v>
      </c>
      <c r="B161" s="0" t="n">
        <f aca="false">SIMM_Vega!C117</f>
        <v>0</v>
      </c>
      <c r="C161" s="0" t="n">
        <f aca="false">Python_Ref!C161</f>
        <v>0</v>
      </c>
      <c r="D161" s="0" t="n">
        <f aca="false">IF(Python_Ref!D161="text",IF(B161=C161,0,1),IF(Python_Ref!D161="rel",ABS(B161-C161)/MAX(1,ABS(C161)),ABS(B161-C161)))</f>
        <v>0</v>
      </c>
      <c r="E161" s="0" t="n">
        <f aca="false">Python_Ref!E161</f>
        <v>1E-009</v>
      </c>
      <c r="F161" s="0" t="n">
        <f aca="false">IF(D161&lt;=E161,1,0)</f>
        <v>1</v>
      </c>
    </row>
    <row r="162" customFormat="false" ht="15" hidden="false" customHeight="false" outlineLevel="0" collapsed="false">
      <c r="A162" s="0" t="str">
        <f aca="false">Python_Ref!B162</f>
        <v>vr IR MXN 2y</v>
      </c>
      <c r="B162" s="0" t="n">
        <f aca="false">SIMM_Vega!C118</f>
        <v>0</v>
      </c>
      <c r="C162" s="0" t="n">
        <f aca="false">Python_Ref!C162</f>
        <v>0</v>
      </c>
      <c r="D162" s="0" t="n">
        <f aca="false">IF(Python_Ref!D162="text",IF(B162=C162,0,1),IF(Python_Ref!D162="rel",ABS(B162-C162)/MAX(1,ABS(C162)),ABS(B162-C162)))</f>
        <v>0</v>
      </c>
      <c r="E162" s="0" t="n">
        <f aca="false">Python_Ref!E162</f>
        <v>1E-009</v>
      </c>
      <c r="F162" s="0" t="n">
        <f aca="false">IF(D162&lt;=E162,1,0)</f>
        <v>1</v>
      </c>
    </row>
    <row r="163" customFormat="false" ht="15" hidden="false" customHeight="false" outlineLevel="0" collapsed="false">
      <c r="A163" s="0" t="str">
        <f aca="false">Python_Ref!B163</f>
        <v>vr IR MXN 3y</v>
      </c>
      <c r="B163" s="0" t="n">
        <f aca="false">SIMM_Vega!C119</f>
        <v>0</v>
      </c>
      <c r="C163" s="0" t="n">
        <f aca="false">Python_Ref!C163</f>
        <v>0</v>
      </c>
      <c r="D163" s="0" t="n">
        <f aca="false">IF(Python_Ref!D163="text",IF(B163=C163,0,1),IF(Python_Ref!D163="rel",ABS(B163-C163)/MAX(1,ABS(C163)),ABS(B163-C163)))</f>
        <v>0</v>
      </c>
      <c r="E163" s="0" t="n">
        <f aca="false">Python_Ref!E163</f>
        <v>1E-009</v>
      </c>
      <c r="F163" s="0" t="n">
        <f aca="false">IF(D163&lt;=E163,1,0)</f>
        <v>1</v>
      </c>
    </row>
    <row r="164" customFormat="false" ht="15" hidden="false" customHeight="false" outlineLevel="0" collapsed="false">
      <c r="A164" s="0" t="str">
        <f aca="false">Python_Ref!B164</f>
        <v>vr IR MXN 5y</v>
      </c>
      <c r="B164" s="0" t="n">
        <f aca="false">SIMM_Vega!C120</f>
        <v>0</v>
      </c>
      <c r="C164" s="0" t="n">
        <f aca="false">Python_Ref!C164</f>
        <v>0</v>
      </c>
      <c r="D164" s="0" t="n">
        <f aca="false">IF(Python_Ref!D164="text",IF(B164=C164,0,1),IF(Python_Ref!D164="rel",ABS(B164-C164)/MAX(1,ABS(C164)),ABS(B164-C164)))</f>
        <v>0</v>
      </c>
      <c r="E164" s="0" t="n">
        <f aca="false">Python_Ref!E164</f>
        <v>1E-009</v>
      </c>
      <c r="F164" s="0" t="n">
        <f aca="false">IF(D164&lt;=E164,1,0)</f>
        <v>1</v>
      </c>
    </row>
    <row r="165" customFormat="false" ht="15" hidden="false" customHeight="false" outlineLevel="0" collapsed="false">
      <c r="A165" s="0" t="str">
        <f aca="false">Python_Ref!B165</f>
        <v>vr IR MXN 10y</v>
      </c>
      <c r="B165" s="0" t="n">
        <f aca="false">SIMM_Vega!C121</f>
        <v>0</v>
      </c>
      <c r="C165" s="0" t="n">
        <f aca="false">Python_Ref!C165</f>
        <v>0</v>
      </c>
      <c r="D165" s="0" t="n">
        <f aca="false">IF(Python_Ref!D165="text",IF(B165=C165,0,1),IF(Python_Ref!D165="rel",ABS(B165-C165)/MAX(1,ABS(C165)),ABS(B165-C165)))</f>
        <v>0</v>
      </c>
      <c r="E165" s="0" t="n">
        <f aca="false">Python_Ref!E165</f>
        <v>1E-009</v>
      </c>
      <c r="F165" s="0" t="n">
        <f aca="false">IF(D165&lt;=E165,1,0)</f>
        <v>1</v>
      </c>
    </row>
    <row r="166" customFormat="false" ht="15" hidden="false" customHeight="false" outlineLevel="0" collapsed="false">
      <c r="A166" s="0" t="str">
        <f aca="false">Python_Ref!B166</f>
        <v>vr IR MXN 15y</v>
      </c>
      <c r="B166" s="0" t="n">
        <f aca="false">SIMM_Vega!C122</f>
        <v>0</v>
      </c>
      <c r="C166" s="0" t="n">
        <f aca="false">Python_Ref!C166</f>
        <v>0</v>
      </c>
      <c r="D166" s="0" t="n">
        <f aca="false">IF(Python_Ref!D166="text",IF(B166=C166,0,1),IF(Python_Ref!D166="rel",ABS(B166-C166)/MAX(1,ABS(C166)),ABS(B166-C166)))</f>
        <v>0</v>
      </c>
      <c r="E166" s="0" t="n">
        <f aca="false">Python_Ref!E166</f>
        <v>1E-009</v>
      </c>
      <c r="F166" s="0" t="n">
        <f aca="false">IF(D166&lt;=E166,1,0)</f>
        <v>1</v>
      </c>
    </row>
    <row r="167" customFormat="false" ht="15" hidden="false" customHeight="false" outlineLevel="0" collapsed="false">
      <c r="A167" s="0" t="str">
        <f aca="false">Python_Ref!B167</f>
        <v>vr IR MXN 20y</v>
      </c>
      <c r="B167" s="0" t="n">
        <f aca="false">SIMM_Vega!C123</f>
        <v>0</v>
      </c>
      <c r="C167" s="0" t="n">
        <f aca="false">Python_Ref!C167</f>
        <v>0</v>
      </c>
      <c r="D167" s="0" t="n">
        <f aca="false">IF(Python_Ref!D167="text",IF(B167=C167,0,1),IF(Python_Ref!D167="rel",ABS(B167-C167)/MAX(1,ABS(C167)),ABS(B167-C167)))</f>
        <v>0</v>
      </c>
      <c r="E167" s="0" t="n">
        <f aca="false">Python_Ref!E167</f>
        <v>1E-009</v>
      </c>
      <c r="F167" s="0" t="n">
        <f aca="false">IF(D167&lt;=E167,1,0)</f>
        <v>1</v>
      </c>
    </row>
    <row r="168" customFormat="false" ht="15" hidden="false" customHeight="false" outlineLevel="0" collapsed="false">
      <c r="A168" s="0" t="str">
        <f aca="false">Python_Ref!B168</f>
        <v>vr IR MXN 30y</v>
      </c>
      <c r="B168" s="0" t="n">
        <f aca="false">SIMM_Vega!C124</f>
        <v>0</v>
      </c>
      <c r="C168" s="0" t="n">
        <f aca="false">Python_Ref!C168</f>
        <v>0</v>
      </c>
      <c r="D168" s="0" t="n">
        <f aca="false">IF(Python_Ref!D168="text",IF(B168=C168,0,1),IF(Python_Ref!D168="rel",ABS(B168-C168)/MAX(1,ABS(C168)),ABS(B168-C168)))</f>
        <v>0</v>
      </c>
      <c r="E168" s="0" t="n">
        <f aca="false">Python_Ref!E168</f>
        <v>1E-009</v>
      </c>
      <c r="F168" s="0" t="n">
        <f aca="false">IF(D168&lt;=E168,1,0)</f>
        <v>1</v>
      </c>
    </row>
    <row r="169" customFormat="false" ht="15" hidden="false" customHeight="false" outlineLevel="0" collapsed="false">
      <c r="A169" s="0" t="str">
        <f aca="false">Python_Ref!B169</f>
        <v>cr IR Vega MXN</v>
      </c>
      <c r="B169" s="0" t="n">
        <f aca="false">SIMM_Vega!B108</f>
        <v>1</v>
      </c>
      <c r="C169" s="0" t="n">
        <f aca="false">Python_Ref!C169</f>
        <v>1</v>
      </c>
      <c r="D169" s="0" t="n">
        <f aca="false">IF(Python_Ref!D169="text",IF(B169=C169,0,1),IF(Python_Ref!D169="rel",ABS(B169-C169)/MAX(1,ABS(C169)),ABS(B169-C169)))</f>
        <v>0</v>
      </c>
      <c r="E169" s="0" t="n">
        <f aca="false">Python_Ref!E169</f>
        <v>1E-009</v>
      </c>
      <c r="F169" s="0" t="n">
        <f aca="false">IF(D169&lt;=E169,1,0)</f>
        <v>1</v>
      </c>
    </row>
    <row r="170" customFormat="false" ht="15" hidden="false" customHeight="false" outlineLevel="0" collapsed="false">
      <c r="A170" s="0" t="str">
        <f aca="false">Python_Ref!B170</f>
        <v>k IR Vega MXN</v>
      </c>
      <c r="B170" s="0" t="n">
        <f aca="false">SIMM_Vega!B109</f>
        <v>0</v>
      </c>
      <c r="C170" s="0" t="n">
        <f aca="false">Python_Ref!C170</f>
        <v>0</v>
      </c>
      <c r="D170" s="0" t="n">
        <f aca="false">IF(Python_Ref!D170="text",IF(B170=C170,0,1),IF(Python_Ref!D170="rel",ABS(B170-C170)/MAX(1,ABS(C170)),ABS(B170-C170)))</f>
        <v>0</v>
      </c>
      <c r="E170" s="0" t="n">
        <f aca="false">Python_Ref!E170</f>
        <v>1E-009</v>
      </c>
      <c r="F170" s="0" t="n">
        <f aca="false">IF(D170&lt;=E170,1,0)</f>
        <v>1</v>
      </c>
    </row>
    <row r="171" customFormat="false" ht="15" hidden="false" customHeight="false" outlineLevel="0" collapsed="false">
      <c r="A171" s="0" t="str">
        <f aca="false">Python_Ref!B171</f>
        <v>s IR Vega MXN</v>
      </c>
      <c r="B171" s="0" t="n">
        <f aca="false">SIMM_Vega!B111</f>
        <v>0</v>
      </c>
      <c r="C171" s="0" t="n">
        <f aca="false">Python_Ref!C171</f>
        <v>0</v>
      </c>
      <c r="D171" s="0" t="n">
        <f aca="false">IF(Python_Ref!D171="text",IF(B171=C171,0,1),IF(Python_Ref!D171="rel",ABS(B171-C171)/MAX(1,ABS(C171)),ABS(B171-C171)))</f>
        <v>0</v>
      </c>
      <c r="E171" s="0" t="n">
        <f aca="false">Python_Ref!E171</f>
        <v>1E-009</v>
      </c>
      <c r="F171" s="0" t="n">
        <f aca="false">IF(D171&lt;=E171,1,0)</f>
        <v>1</v>
      </c>
    </row>
    <row r="172" customFormat="false" ht="15" hidden="false" customHeight="false" outlineLevel="0" collapsed="false">
      <c r="A172" s="0" t="str">
        <f aca="false">Python_Ref!B172</f>
        <v>margin IR Vega</v>
      </c>
      <c r="B172" s="0" t="n">
        <f aca="false">SIMM_Vega!B140</f>
        <v>440143.454064883</v>
      </c>
      <c r="C172" s="0" t="n">
        <f aca="false">Python_Ref!C172</f>
        <v>440143.454064883</v>
      </c>
      <c r="D172" s="0" t="n">
        <f aca="false">IF(Python_Ref!D172="text",IF(B172=C172,0,1),IF(Python_Ref!D172="rel",ABS(B172-C172)/MAX(1,ABS(C172)),ABS(B172-C172)))</f>
        <v>0</v>
      </c>
      <c r="E172" s="0" t="n">
        <f aca="false">Python_Ref!E172</f>
        <v>1E-009</v>
      </c>
      <c r="F172" s="0" t="n">
        <f aca="false">IF(D172&lt;=E172,1,0)</f>
        <v>1</v>
      </c>
    </row>
    <row r="173" customFormat="false" ht="15" hidden="false" customHeight="false" outlineLevel="0" collapsed="false">
      <c r="A173" s="0" t="str">
        <f aca="false">Python_Ref!B173</f>
        <v>sigma EURUSD</v>
      </c>
      <c r="B173" s="0" t="n">
        <f aca="false">SIMM_Vega!G152</f>
        <v>0.162419988712283</v>
      </c>
      <c r="C173" s="0" t="n">
        <f aca="false">Python_Ref!C173</f>
        <v>0.162419988712283</v>
      </c>
      <c r="D173" s="0" t="n">
        <f aca="false">IF(Python_Ref!D173="text",IF(B173=C173,0,1),IF(Python_Ref!D173="rel",ABS(B173-C173)/MAX(1,ABS(C173)),ABS(B173-C173)))</f>
        <v>0</v>
      </c>
      <c r="E173" s="0" t="n">
        <f aca="false">Python_Ref!E173</f>
        <v>1E-009</v>
      </c>
      <c r="F173" s="0" t="n">
        <f aca="false">IF(D173&lt;=E173,1,0)</f>
        <v>1</v>
      </c>
    </row>
    <row r="174" customFormat="false" ht="15" hidden="false" customHeight="false" outlineLevel="0" collapsed="false">
      <c r="A174" s="0" t="str">
        <f aca="false">Python_Ref!B174</f>
        <v>vr FX EURUSD</v>
      </c>
      <c r="B174" s="0" t="n">
        <f aca="false">SIMM_Vega!O152</f>
        <v>2125.72057336867</v>
      </c>
      <c r="C174" s="0" t="n">
        <f aca="false">Python_Ref!C174</f>
        <v>2125.72057336867</v>
      </c>
      <c r="D174" s="0" t="n">
        <f aca="false">IF(Python_Ref!D174="text",IF(B174=C174,0,1),IF(Python_Ref!D174="rel",ABS(B174-C174)/MAX(1,ABS(C174)),ABS(B174-C174)))</f>
        <v>0</v>
      </c>
      <c r="E174" s="0" t="n">
        <f aca="false">Python_Ref!E174</f>
        <v>1E-009</v>
      </c>
      <c r="F174" s="0" t="n">
        <f aca="false">IF(D174&lt;=E174,1,0)</f>
        <v>1</v>
      </c>
    </row>
    <row r="175" customFormat="false" ht="15" hidden="false" customHeight="false" outlineLevel="0" collapsed="false">
      <c r="A175" s="0" t="str">
        <f aca="false">Python_Ref!B175</f>
        <v>sigma GBPUSD</v>
      </c>
      <c r="B175" s="0" t="n">
        <f aca="false">SIMM_Vega!G153</f>
        <v>0.162419988712283</v>
      </c>
      <c r="C175" s="0" t="n">
        <f aca="false">Python_Ref!C175</f>
        <v>0.162419988712283</v>
      </c>
      <c r="D175" s="0" t="n">
        <f aca="false">IF(Python_Ref!D175="text",IF(B175=C175,0,1),IF(Python_Ref!D175="rel",ABS(B175-C175)/MAX(1,ABS(C175)),ABS(B175-C175)))</f>
        <v>0</v>
      </c>
      <c r="E175" s="0" t="n">
        <f aca="false">Python_Ref!E175</f>
        <v>1E-009</v>
      </c>
      <c r="F175" s="0" t="n">
        <f aca="false">IF(D175&lt;=E175,1,0)</f>
        <v>1</v>
      </c>
    </row>
    <row r="176" customFormat="false" ht="15" hidden="false" customHeight="false" outlineLevel="0" collapsed="false">
      <c r="A176" s="0" t="str">
        <f aca="false">Python_Ref!B176</f>
        <v>vr FX GBPUSD</v>
      </c>
      <c r="B176" s="0" t="n">
        <f aca="false">SIMM_Vega!O153</f>
        <v>377702.635369471</v>
      </c>
      <c r="C176" s="0" t="n">
        <f aca="false">Python_Ref!C176</f>
        <v>377702.635369471</v>
      </c>
      <c r="D176" s="0" t="n">
        <f aca="false">IF(Python_Ref!D176="text",IF(B176=C176,0,1),IF(Python_Ref!D176="rel",ABS(B176-C176)/MAX(1,ABS(C176)),ABS(B176-C176)))</f>
        <v>0</v>
      </c>
      <c r="E176" s="0" t="n">
        <f aca="false">Python_Ref!E176</f>
        <v>1E-009</v>
      </c>
      <c r="F176" s="0" t="n">
        <f aca="false">IF(D176&lt;=E176,1,0)</f>
        <v>1</v>
      </c>
    </row>
    <row r="177" customFormat="false" ht="15" hidden="false" customHeight="false" outlineLevel="0" collapsed="false">
      <c r="A177" s="0" t="str">
        <f aca="false">Python_Ref!B177</f>
        <v>sigma USDJPY</v>
      </c>
      <c r="B177" s="0" t="n">
        <f aca="false">SIMM_Vega!G154</f>
        <v>0.162419988712283</v>
      </c>
      <c r="C177" s="0" t="n">
        <f aca="false">Python_Ref!C177</f>
        <v>0.162419988712283</v>
      </c>
      <c r="D177" s="0" t="n">
        <f aca="false">IF(Python_Ref!D177="text",IF(B177=C177,0,1),IF(Python_Ref!D177="rel",ABS(B177-C177)/MAX(1,ABS(C177)),ABS(B177-C177)))</f>
        <v>0</v>
      </c>
      <c r="E177" s="0" t="n">
        <f aca="false">Python_Ref!E177</f>
        <v>1E-009</v>
      </c>
      <c r="F177" s="0" t="n">
        <f aca="false">IF(D177&lt;=E177,1,0)</f>
        <v>1</v>
      </c>
    </row>
    <row r="178" customFormat="false" ht="15" hidden="false" customHeight="false" outlineLevel="0" collapsed="false">
      <c r="A178" s="0" t="str">
        <f aca="false">Python_Ref!B178</f>
        <v>vr FX USDJPY</v>
      </c>
      <c r="B178" s="0" t="n">
        <f aca="false">SIMM_Vega!O154</f>
        <v>0</v>
      </c>
      <c r="C178" s="0" t="n">
        <f aca="false">Python_Ref!C178</f>
        <v>0</v>
      </c>
      <c r="D178" s="0" t="n">
        <f aca="false">IF(Python_Ref!D178="text",IF(B178=C178,0,1),IF(Python_Ref!D178="rel",ABS(B178-C178)/MAX(1,ABS(C178)),ABS(B178-C178)))</f>
        <v>0</v>
      </c>
      <c r="E178" s="0" t="n">
        <f aca="false">Python_Ref!E178</f>
        <v>1E-009</v>
      </c>
      <c r="F178" s="0" t="n">
        <f aca="false">IF(D178&lt;=E178,1,0)</f>
        <v>1</v>
      </c>
    </row>
    <row r="179" customFormat="false" ht="15" hidden="false" customHeight="false" outlineLevel="0" collapsed="false">
      <c r="A179" s="0" t="str">
        <f aca="false">Python_Ref!B179</f>
        <v>sigma USDMXN</v>
      </c>
      <c r="B179" s="0" t="n">
        <f aca="false">SIMM_Vega!G155</f>
        <v>0.162419988712283</v>
      </c>
      <c r="C179" s="0" t="n">
        <f aca="false">Python_Ref!C179</f>
        <v>0.162419988712283</v>
      </c>
      <c r="D179" s="0" t="n">
        <f aca="false">IF(Python_Ref!D179="text",IF(B179=C179,0,1),IF(Python_Ref!D179="rel",ABS(B179-C179)/MAX(1,ABS(C179)),ABS(B179-C179)))</f>
        <v>0</v>
      </c>
      <c r="E179" s="0" t="n">
        <f aca="false">Python_Ref!E179</f>
        <v>1E-009</v>
      </c>
      <c r="F179" s="0" t="n">
        <f aca="false">IF(D179&lt;=E179,1,0)</f>
        <v>1</v>
      </c>
    </row>
    <row r="180" customFormat="false" ht="15" hidden="false" customHeight="false" outlineLevel="0" collapsed="false">
      <c r="A180" s="0" t="str">
        <f aca="false">Python_Ref!B180</f>
        <v>vr FX USDMXN</v>
      </c>
      <c r="B180" s="0" t="n">
        <f aca="false">SIMM_Vega!O155</f>
        <v>107575.514468491</v>
      </c>
      <c r="C180" s="0" t="n">
        <f aca="false">Python_Ref!C180</f>
        <v>107575.514468491</v>
      </c>
      <c r="D180" s="0" t="n">
        <f aca="false">IF(Python_Ref!D180="text",IF(B180=C180,0,1),IF(Python_Ref!D180="rel",ABS(B180-C180)/MAX(1,ABS(C180)),ABS(B180-C180)))</f>
        <v>0</v>
      </c>
      <c r="E180" s="0" t="n">
        <f aca="false">Python_Ref!E180</f>
        <v>1E-009</v>
      </c>
      <c r="F180" s="0" t="n">
        <f aca="false">IF(D180&lt;=E180,1,0)</f>
        <v>1</v>
      </c>
    </row>
    <row r="181" customFormat="false" ht="15" hidden="false" customHeight="false" outlineLevel="0" collapsed="false">
      <c r="A181" s="0" t="str">
        <f aca="false">Python_Ref!B181</f>
        <v>k FX Vega</v>
      </c>
      <c r="B181" s="0" t="n">
        <f aca="false">SIMM_Vega!B156</f>
        <v>442605.255085219</v>
      </c>
      <c r="C181" s="0" t="n">
        <f aca="false">Python_Ref!C181</f>
        <v>442605.25508522</v>
      </c>
      <c r="D181" s="0" t="n">
        <f aca="false">IF(Python_Ref!D181="text",IF(B181=C181,0,1),IF(Python_Ref!D181="rel",ABS(B181-C181)/MAX(1,ABS(C181)),ABS(B181-C181)))</f>
        <v>0</v>
      </c>
      <c r="E181" s="0" t="n">
        <f aca="false">Python_Ref!E181</f>
        <v>1E-009</v>
      </c>
      <c r="F181" s="0" t="n">
        <f aca="false">IF(D181&lt;=E181,1,0)</f>
        <v>1</v>
      </c>
    </row>
    <row r="182" customFormat="false" ht="15" hidden="false" customHeight="false" outlineLevel="0" collapsed="false">
      <c r="A182" s="0" t="str">
        <f aca="false">Python_Ref!B182</f>
        <v>margin FX Vega</v>
      </c>
      <c r="B182" s="0" t="n">
        <f aca="false">SIMM_Vega!B156</f>
        <v>442605.255085219</v>
      </c>
      <c r="C182" s="0" t="n">
        <f aca="false">Python_Ref!C182</f>
        <v>442605.25508522</v>
      </c>
      <c r="D182" s="0" t="n">
        <f aca="false">IF(Python_Ref!D182="text",IF(B182=C182,0,1),IF(Python_Ref!D182="rel",ABS(B182-C182)/MAX(1,ABS(C182)),ABS(B182-C182)))</f>
        <v>0</v>
      </c>
      <c r="E182" s="0" t="n">
        <f aca="false">Python_Ref!E182</f>
        <v>1E-009</v>
      </c>
      <c r="F182" s="0" t="n">
        <f aca="false">IF(D182&lt;=E182,1,0)</f>
        <v>1</v>
      </c>
    </row>
    <row r="183" customFormat="false" ht="15" hidden="false" customHeight="false" outlineLevel="0" collapsed="false">
      <c r="A183" s="0" t="str">
        <f aca="false">Python_Ref!B183</f>
        <v>sf 2w</v>
      </c>
      <c r="B183" s="0" t="n">
        <f aca="false">SIMM_Curvature!D15</f>
        <v>0.5</v>
      </c>
      <c r="C183" s="0" t="n">
        <f aca="false">Python_Ref!C183</f>
        <v>0.5</v>
      </c>
      <c r="D183" s="0" t="n">
        <f aca="false">IF(Python_Ref!D183="text",IF(B183=C183,0,1),IF(Python_Ref!D183="rel",ABS(B183-C183)/MAX(1,ABS(C183)),ABS(B183-C183)))</f>
        <v>0</v>
      </c>
      <c r="E183" s="0" t="n">
        <f aca="false">Python_Ref!E183</f>
        <v>1E-009</v>
      </c>
      <c r="F183" s="0" t="n">
        <f aca="false">IF(D183&lt;=E183,1,0)</f>
        <v>1</v>
      </c>
    </row>
    <row r="184" customFormat="false" ht="15" hidden="false" customHeight="false" outlineLevel="0" collapsed="false">
      <c r="A184" s="0" t="str">
        <f aca="false">Python_Ref!B184</f>
        <v>sf 1m</v>
      </c>
      <c r="B184" s="0" t="n">
        <f aca="false">SIMM_Curvature!D16</f>
        <v>0.23013698630137</v>
      </c>
      <c r="C184" s="0" t="n">
        <f aca="false">Python_Ref!C184</f>
        <v>0.23013698630137</v>
      </c>
      <c r="D184" s="0" t="n">
        <f aca="false">IF(Python_Ref!D184="text",IF(B184=C184,0,1),IF(Python_Ref!D184="rel",ABS(B184-C184)/MAX(1,ABS(C184)),ABS(B184-C184)))</f>
        <v>0</v>
      </c>
      <c r="E184" s="0" t="n">
        <f aca="false">Python_Ref!E184</f>
        <v>1E-009</v>
      </c>
      <c r="F184" s="0" t="n">
        <f aca="false">IF(D184&lt;=E184,1,0)</f>
        <v>1</v>
      </c>
    </row>
    <row r="185" customFormat="false" ht="15" hidden="false" customHeight="false" outlineLevel="0" collapsed="false">
      <c r="A185" s="0" t="str">
        <f aca="false">Python_Ref!B185</f>
        <v>sf 3m</v>
      </c>
      <c r="B185" s="0" t="n">
        <f aca="false">SIMM_Curvature!D17</f>
        <v>0.0767123287671233</v>
      </c>
      <c r="C185" s="0" t="n">
        <f aca="false">Python_Ref!C185</f>
        <v>0.0767123287671233</v>
      </c>
      <c r="D185" s="0" t="n">
        <f aca="false">IF(Python_Ref!D185="text",IF(B185=C185,0,1),IF(Python_Ref!D185="rel",ABS(B185-C185)/MAX(1,ABS(C185)),ABS(B185-C185)))</f>
        <v>0</v>
      </c>
      <c r="E185" s="0" t="n">
        <f aca="false">Python_Ref!E185</f>
        <v>1E-009</v>
      </c>
      <c r="F185" s="0" t="n">
        <f aca="false">IF(D185&lt;=E185,1,0)</f>
        <v>1</v>
      </c>
    </row>
    <row r="186" customFormat="false" ht="15" hidden="false" customHeight="false" outlineLevel="0" collapsed="false">
      <c r="A186" s="0" t="str">
        <f aca="false">Python_Ref!B186</f>
        <v>sf 6m</v>
      </c>
      <c r="B186" s="0" t="n">
        <f aca="false">SIMM_Curvature!D18</f>
        <v>0.0383561643835616</v>
      </c>
      <c r="C186" s="0" t="n">
        <f aca="false">Python_Ref!C186</f>
        <v>0.0383561643835617</v>
      </c>
      <c r="D186" s="0" t="n">
        <f aca="false">IF(Python_Ref!D186="text",IF(B186=C186,0,1),IF(Python_Ref!D186="rel",ABS(B186-C186)/MAX(1,ABS(C186)),ABS(B186-C186)))</f>
        <v>0</v>
      </c>
      <c r="E186" s="0" t="n">
        <f aca="false">Python_Ref!E186</f>
        <v>1E-009</v>
      </c>
      <c r="F186" s="0" t="n">
        <f aca="false">IF(D186&lt;=E186,1,0)</f>
        <v>1</v>
      </c>
    </row>
    <row r="187" customFormat="false" ht="15" hidden="false" customHeight="false" outlineLevel="0" collapsed="false">
      <c r="A187" s="0" t="str">
        <f aca="false">Python_Ref!B187</f>
        <v>sf 1y</v>
      </c>
      <c r="B187" s="0" t="n">
        <f aca="false">SIMM_Curvature!D19</f>
        <v>0.0191780821917808</v>
      </c>
      <c r="C187" s="0" t="n">
        <f aca="false">Python_Ref!C187</f>
        <v>0.0191780821917808</v>
      </c>
      <c r="D187" s="0" t="n">
        <f aca="false">IF(Python_Ref!D187="text",IF(B187=C187,0,1),IF(Python_Ref!D187="rel",ABS(B187-C187)/MAX(1,ABS(C187)),ABS(B187-C187)))</f>
        <v>0</v>
      </c>
      <c r="E187" s="0" t="n">
        <f aca="false">Python_Ref!E187</f>
        <v>1E-009</v>
      </c>
      <c r="F187" s="0" t="n">
        <f aca="false">IF(D187&lt;=E187,1,0)</f>
        <v>1</v>
      </c>
    </row>
    <row r="188" customFormat="false" ht="15" hidden="false" customHeight="false" outlineLevel="0" collapsed="false">
      <c r="A188" s="0" t="str">
        <f aca="false">Python_Ref!B188</f>
        <v>sf 2y</v>
      </c>
      <c r="B188" s="0" t="n">
        <f aca="false">SIMM_Curvature!D20</f>
        <v>0.00958904109589041</v>
      </c>
      <c r="C188" s="0" t="n">
        <f aca="false">Python_Ref!C188</f>
        <v>0.00958904109589041</v>
      </c>
      <c r="D188" s="0" t="n">
        <f aca="false">IF(Python_Ref!D188="text",IF(B188=C188,0,1),IF(Python_Ref!D188="rel",ABS(B188-C188)/MAX(1,ABS(C188)),ABS(B188-C188)))</f>
        <v>0</v>
      </c>
      <c r="E188" s="0" t="n">
        <f aca="false">Python_Ref!E188</f>
        <v>1E-009</v>
      </c>
      <c r="F188" s="0" t="n">
        <f aca="false">IF(D188&lt;=E188,1,0)</f>
        <v>1</v>
      </c>
    </row>
    <row r="189" customFormat="false" ht="15" hidden="false" customHeight="false" outlineLevel="0" collapsed="false">
      <c r="A189" s="0" t="str">
        <f aca="false">Python_Ref!B189</f>
        <v>sf 3y</v>
      </c>
      <c r="B189" s="0" t="n">
        <f aca="false">SIMM_Curvature!D21</f>
        <v>0.00639269406392694</v>
      </c>
      <c r="C189" s="0" t="n">
        <f aca="false">Python_Ref!C189</f>
        <v>0.00639269406392694</v>
      </c>
      <c r="D189" s="0" t="n">
        <f aca="false">IF(Python_Ref!D189="text",IF(B189=C189,0,1),IF(Python_Ref!D189="rel",ABS(B189-C189)/MAX(1,ABS(C189)),ABS(B189-C189)))</f>
        <v>0</v>
      </c>
      <c r="E189" s="0" t="n">
        <f aca="false">Python_Ref!E189</f>
        <v>1E-009</v>
      </c>
      <c r="F189" s="0" t="n">
        <f aca="false">IF(D189&lt;=E189,1,0)</f>
        <v>1</v>
      </c>
    </row>
    <row r="190" customFormat="false" ht="15" hidden="false" customHeight="false" outlineLevel="0" collapsed="false">
      <c r="A190" s="0" t="str">
        <f aca="false">Python_Ref!B190</f>
        <v>sf 5y</v>
      </c>
      <c r="B190" s="0" t="n">
        <f aca="false">SIMM_Curvature!D22</f>
        <v>0.00383561643835616</v>
      </c>
      <c r="C190" s="0" t="n">
        <f aca="false">Python_Ref!C190</f>
        <v>0.00383561643835616</v>
      </c>
      <c r="D190" s="0" t="n">
        <f aca="false">IF(Python_Ref!D190="text",IF(B190=C190,0,1),IF(Python_Ref!D190="rel",ABS(B190-C190)/MAX(1,ABS(C190)),ABS(B190-C190)))</f>
        <v>0</v>
      </c>
      <c r="E190" s="0" t="n">
        <f aca="false">Python_Ref!E190</f>
        <v>1E-009</v>
      </c>
      <c r="F190" s="0" t="n">
        <f aca="false">IF(D190&lt;=E190,1,0)</f>
        <v>1</v>
      </c>
    </row>
    <row r="191" customFormat="false" ht="15" hidden="false" customHeight="false" outlineLevel="0" collapsed="false">
      <c r="A191" s="0" t="str">
        <f aca="false">Python_Ref!B191</f>
        <v>sf 10y</v>
      </c>
      <c r="B191" s="0" t="n">
        <f aca="false">SIMM_Curvature!D23</f>
        <v>0.00191780821917808</v>
      </c>
      <c r="C191" s="0" t="n">
        <f aca="false">Python_Ref!C191</f>
        <v>0.00191780821917808</v>
      </c>
      <c r="D191" s="0" t="n">
        <f aca="false">IF(Python_Ref!D191="text",IF(B191=C191,0,1),IF(Python_Ref!D191="rel",ABS(B191-C191)/MAX(1,ABS(C191)),ABS(B191-C191)))</f>
        <v>0</v>
      </c>
      <c r="E191" s="0" t="n">
        <f aca="false">Python_Ref!E191</f>
        <v>1E-009</v>
      </c>
      <c r="F191" s="0" t="n">
        <f aca="false">IF(D191&lt;=E191,1,0)</f>
        <v>1</v>
      </c>
    </row>
    <row r="192" customFormat="false" ht="15" hidden="false" customHeight="false" outlineLevel="0" collapsed="false">
      <c r="A192" s="0" t="str">
        <f aca="false">Python_Ref!B192</f>
        <v>sf 15y</v>
      </c>
      <c r="B192" s="0" t="n">
        <f aca="false">SIMM_Curvature!D24</f>
        <v>0.00127853881278539</v>
      </c>
      <c r="C192" s="0" t="n">
        <f aca="false">Python_Ref!C192</f>
        <v>0.00127853881278539</v>
      </c>
      <c r="D192" s="0" t="n">
        <f aca="false">IF(Python_Ref!D192="text",IF(B192=C192,0,1),IF(Python_Ref!D192="rel",ABS(B192-C192)/MAX(1,ABS(C192)),ABS(B192-C192)))</f>
        <v>0</v>
      </c>
      <c r="E192" s="0" t="n">
        <f aca="false">Python_Ref!E192</f>
        <v>1E-009</v>
      </c>
      <c r="F192" s="0" t="n">
        <f aca="false">IF(D192&lt;=E192,1,0)</f>
        <v>1</v>
      </c>
    </row>
    <row r="193" customFormat="false" ht="15" hidden="false" customHeight="false" outlineLevel="0" collapsed="false">
      <c r="A193" s="0" t="str">
        <f aca="false">Python_Ref!B193</f>
        <v>sf 20y</v>
      </c>
      <c r="B193" s="0" t="n">
        <f aca="false">SIMM_Curvature!D25</f>
        <v>0.000958904109589041</v>
      </c>
      <c r="C193" s="0" t="n">
        <f aca="false">Python_Ref!C193</f>
        <v>0.000958904109589041</v>
      </c>
      <c r="D193" s="0" t="n">
        <f aca="false">IF(Python_Ref!D193="text",IF(B193=C193,0,1),IF(Python_Ref!D193="rel",ABS(B193-C193)/MAX(1,ABS(C193)),ABS(B193-C193)))</f>
        <v>0</v>
      </c>
      <c r="E193" s="0" t="n">
        <f aca="false">Python_Ref!E193</f>
        <v>1E-009</v>
      </c>
      <c r="F193" s="0" t="n">
        <f aca="false">IF(D193&lt;=E193,1,0)</f>
        <v>1</v>
      </c>
    </row>
    <row r="194" customFormat="false" ht="15" hidden="false" customHeight="false" outlineLevel="0" collapsed="false">
      <c r="A194" s="0" t="str">
        <f aca="false">Python_Ref!B194</f>
        <v>sf 30y</v>
      </c>
      <c r="B194" s="0" t="n">
        <f aca="false">SIMM_Curvature!D26</f>
        <v>0.000639269406392694</v>
      </c>
      <c r="C194" s="0" t="n">
        <f aca="false">Python_Ref!C194</f>
        <v>0.000639269406392694</v>
      </c>
      <c r="D194" s="0" t="n">
        <f aca="false">IF(Python_Ref!D194="text",IF(B194=C194,0,1),IF(Python_Ref!D194="rel",ABS(B194-C194)/MAX(1,ABS(C194)),ABS(B194-C194)))</f>
        <v>0</v>
      </c>
      <c r="E194" s="0" t="n">
        <f aca="false">Python_Ref!E194</f>
        <v>1E-009</v>
      </c>
      <c r="F194" s="0" t="n">
        <f aca="false">IF(D194&lt;=E194,1,0)</f>
        <v>1</v>
      </c>
    </row>
    <row r="195" customFormat="false" ht="15" hidden="false" customHeight="false" outlineLevel="0" collapsed="false">
      <c r="A195" s="0" t="str">
        <f aca="false">Python_Ref!B195</f>
        <v>c IR USD 2w</v>
      </c>
      <c r="B195" s="0" t="n">
        <f aca="false">SIMM_Curvature!B30</f>
        <v>0</v>
      </c>
      <c r="C195" s="0" t="n">
        <f aca="false">Python_Ref!C195</f>
        <v>0</v>
      </c>
      <c r="D195" s="0" t="n">
        <f aca="false">IF(Python_Ref!D195="text",IF(B195=C195,0,1),IF(Python_Ref!D195="rel",ABS(B195-C195)/MAX(1,ABS(C195)),ABS(B195-C195)))</f>
        <v>0</v>
      </c>
      <c r="E195" s="0" t="n">
        <f aca="false">Python_Ref!E195</f>
        <v>1E-009</v>
      </c>
      <c r="F195" s="0" t="n">
        <f aca="false">IF(D195&lt;=E195,1,0)</f>
        <v>1</v>
      </c>
    </row>
    <row r="196" customFormat="false" ht="15" hidden="false" customHeight="false" outlineLevel="0" collapsed="false">
      <c r="A196" s="0" t="str">
        <f aca="false">Python_Ref!B196</f>
        <v>c IR EUR 2w</v>
      </c>
      <c r="B196" s="0" t="n">
        <f aca="false">SIMM_Curvature!C30</f>
        <v>0</v>
      </c>
      <c r="C196" s="0" t="n">
        <f aca="false">Python_Ref!C196</f>
        <v>0</v>
      </c>
      <c r="D196" s="0" t="n">
        <f aca="false">IF(Python_Ref!D196="text",IF(B196=C196,0,1),IF(Python_Ref!D196="rel",ABS(B196-C196)/MAX(1,ABS(C196)),ABS(B196-C196)))</f>
        <v>0</v>
      </c>
      <c r="E196" s="0" t="n">
        <f aca="false">Python_Ref!E196</f>
        <v>1E-009</v>
      </c>
      <c r="F196" s="0" t="n">
        <f aca="false">IF(D196&lt;=E196,1,0)</f>
        <v>1</v>
      </c>
    </row>
    <row r="197" customFormat="false" ht="15" hidden="false" customHeight="false" outlineLevel="0" collapsed="false">
      <c r="A197" s="0" t="str">
        <f aca="false">Python_Ref!B197</f>
        <v>c IR GBP 2w</v>
      </c>
      <c r="B197" s="0" t="n">
        <f aca="false">SIMM_Curvature!D30</f>
        <v>0</v>
      </c>
      <c r="C197" s="0" t="n">
        <f aca="false">Python_Ref!C197</f>
        <v>0</v>
      </c>
      <c r="D197" s="0" t="n">
        <f aca="false">IF(Python_Ref!D197="text",IF(B197=C197,0,1),IF(Python_Ref!D197="rel",ABS(B197-C197)/MAX(1,ABS(C197)),ABS(B197-C197)))</f>
        <v>0</v>
      </c>
      <c r="E197" s="0" t="n">
        <f aca="false">Python_Ref!E197</f>
        <v>1E-009</v>
      </c>
      <c r="F197" s="0" t="n">
        <f aca="false">IF(D197&lt;=E197,1,0)</f>
        <v>1</v>
      </c>
    </row>
    <row r="198" customFormat="false" ht="15" hidden="false" customHeight="false" outlineLevel="0" collapsed="false">
      <c r="A198" s="0" t="str">
        <f aca="false">Python_Ref!B198</f>
        <v>c IR JPY 2w</v>
      </c>
      <c r="B198" s="0" t="n">
        <f aca="false">SIMM_Curvature!E30</f>
        <v>0</v>
      </c>
      <c r="C198" s="0" t="n">
        <f aca="false">Python_Ref!C198</f>
        <v>0</v>
      </c>
      <c r="D198" s="0" t="n">
        <f aca="false">IF(Python_Ref!D198="text",IF(B198=C198,0,1),IF(Python_Ref!D198="rel",ABS(B198-C198)/MAX(1,ABS(C198)),ABS(B198-C198)))</f>
        <v>0</v>
      </c>
      <c r="E198" s="0" t="n">
        <f aca="false">Python_Ref!E198</f>
        <v>1E-009</v>
      </c>
      <c r="F198" s="0" t="n">
        <f aca="false">IF(D198&lt;=E198,1,0)</f>
        <v>1</v>
      </c>
    </row>
    <row r="199" customFormat="false" ht="15" hidden="false" customHeight="false" outlineLevel="0" collapsed="false">
      <c r="A199" s="0" t="str">
        <f aca="false">Python_Ref!B199</f>
        <v>c IR MXN 2w</v>
      </c>
      <c r="B199" s="0" t="n">
        <f aca="false">SIMM_Curvature!F30</f>
        <v>0</v>
      </c>
      <c r="C199" s="0" t="n">
        <f aca="false">Python_Ref!C199</f>
        <v>0</v>
      </c>
      <c r="D199" s="0" t="n">
        <f aca="false">IF(Python_Ref!D199="text",IF(B199=C199,0,1),IF(Python_Ref!D199="rel",ABS(B199-C199)/MAX(1,ABS(C199)),ABS(B199-C199)))</f>
        <v>0</v>
      </c>
      <c r="E199" s="0" t="n">
        <f aca="false">Python_Ref!E199</f>
        <v>1E-009</v>
      </c>
      <c r="F199" s="0" t="n">
        <f aca="false">IF(D199&lt;=E199,1,0)</f>
        <v>1</v>
      </c>
    </row>
    <row r="200" customFormat="false" ht="15" hidden="false" customHeight="false" outlineLevel="0" collapsed="false">
      <c r="A200" s="0" t="str">
        <f aca="false">Python_Ref!B200</f>
        <v>c IR USD 1m</v>
      </c>
      <c r="B200" s="0" t="n">
        <f aca="false">SIMM_Curvature!B31</f>
        <v>0</v>
      </c>
      <c r="C200" s="0" t="n">
        <f aca="false">Python_Ref!C200</f>
        <v>0</v>
      </c>
      <c r="D200" s="0" t="n">
        <f aca="false">IF(Python_Ref!D200="text",IF(B200=C200,0,1),IF(Python_Ref!D200="rel",ABS(B200-C200)/MAX(1,ABS(C200)),ABS(B200-C200)))</f>
        <v>0</v>
      </c>
      <c r="E200" s="0" t="n">
        <f aca="false">Python_Ref!E200</f>
        <v>1E-009</v>
      </c>
      <c r="F200" s="0" t="n">
        <f aca="false">IF(D200&lt;=E200,1,0)</f>
        <v>1</v>
      </c>
    </row>
    <row r="201" customFormat="false" ht="15" hidden="false" customHeight="false" outlineLevel="0" collapsed="false">
      <c r="A201" s="0" t="str">
        <f aca="false">Python_Ref!B201</f>
        <v>c IR EUR 1m</v>
      </c>
      <c r="B201" s="0" t="n">
        <f aca="false">SIMM_Curvature!C31</f>
        <v>0</v>
      </c>
      <c r="C201" s="0" t="n">
        <f aca="false">Python_Ref!C201</f>
        <v>0</v>
      </c>
      <c r="D201" s="0" t="n">
        <f aca="false">IF(Python_Ref!D201="text",IF(B201=C201,0,1),IF(Python_Ref!D201="rel",ABS(B201-C201)/MAX(1,ABS(C201)),ABS(B201-C201)))</f>
        <v>0</v>
      </c>
      <c r="E201" s="0" t="n">
        <f aca="false">Python_Ref!E201</f>
        <v>1E-009</v>
      </c>
      <c r="F201" s="0" t="n">
        <f aca="false">IF(D201&lt;=E201,1,0)</f>
        <v>1</v>
      </c>
    </row>
    <row r="202" customFormat="false" ht="15" hidden="false" customHeight="false" outlineLevel="0" collapsed="false">
      <c r="A202" s="0" t="str">
        <f aca="false">Python_Ref!B202</f>
        <v>c IR GBP 1m</v>
      </c>
      <c r="B202" s="0" t="n">
        <f aca="false">SIMM_Curvature!D31</f>
        <v>0</v>
      </c>
      <c r="C202" s="0" t="n">
        <f aca="false">Python_Ref!C202</f>
        <v>0</v>
      </c>
      <c r="D202" s="0" t="n">
        <f aca="false">IF(Python_Ref!D202="text",IF(B202=C202,0,1),IF(Python_Ref!D202="rel",ABS(B202-C202)/MAX(1,ABS(C202)),ABS(B202-C202)))</f>
        <v>0</v>
      </c>
      <c r="E202" s="0" t="n">
        <f aca="false">Python_Ref!E202</f>
        <v>1E-009</v>
      </c>
      <c r="F202" s="0" t="n">
        <f aca="false">IF(D202&lt;=E202,1,0)</f>
        <v>1</v>
      </c>
    </row>
    <row r="203" customFormat="false" ht="15" hidden="false" customHeight="false" outlineLevel="0" collapsed="false">
      <c r="A203" s="0" t="str">
        <f aca="false">Python_Ref!B203</f>
        <v>c IR JPY 1m</v>
      </c>
      <c r="B203" s="0" t="n">
        <f aca="false">SIMM_Curvature!E31</f>
        <v>0</v>
      </c>
      <c r="C203" s="0" t="n">
        <f aca="false">Python_Ref!C203</f>
        <v>0</v>
      </c>
      <c r="D203" s="0" t="n">
        <f aca="false">IF(Python_Ref!D203="text",IF(B203=C203,0,1),IF(Python_Ref!D203="rel",ABS(B203-C203)/MAX(1,ABS(C203)),ABS(B203-C203)))</f>
        <v>0</v>
      </c>
      <c r="E203" s="0" t="n">
        <f aca="false">Python_Ref!E203</f>
        <v>1E-009</v>
      </c>
      <c r="F203" s="0" t="n">
        <f aca="false">IF(D203&lt;=E203,1,0)</f>
        <v>1</v>
      </c>
    </row>
    <row r="204" customFormat="false" ht="15" hidden="false" customHeight="false" outlineLevel="0" collapsed="false">
      <c r="A204" s="0" t="str">
        <f aca="false">Python_Ref!B204</f>
        <v>c IR MXN 1m</v>
      </c>
      <c r="B204" s="0" t="n">
        <f aca="false">SIMM_Curvature!F31</f>
        <v>0</v>
      </c>
      <c r="C204" s="0" t="n">
        <f aca="false">Python_Ref!C204</f>
        <v>0</v>
      </c>
      <c r="D204" s="0" t="n">
        <f aca="false">IF(Python_Ref!D204="text",IF(B204=C204,0,1),IF(Python_Ref!D204="rel",ABS(B204-C204)/MAX(1,ABS(C204)),ABS(B204-C204)))</f>
        <v>0</v>
      </c>
      <c r="E204" s="0" t="n">
        <f aca="false">Python_Ref!E204</f>
        <v>1E-009</v>
      </c>
      <c r="F204" s="0" t="n">
        <f aca="false">IF(D204&lt;=E204,1,0)</f>
        <v>1</v>
      </c>
    </row>
    <row r="205" customFormat="false" ht="15" hidden="false" customHeight="false" outlineLevel="0" collapsed="false">
      <c r="A205" s="0" t="str">
        <f aca="false">Python_Ref!B205</f>
        <v>c IR USD 3m</v>
      </c>
      <c r="B205" s="0" t="n">
        <f aca="false">SIMM_Curvature!B32</f>
        <v>0</v>
      </c>
      <c r="C205" s="0" t="n">
        <f aca="false">Python_Ref!C205</f>
        <v>0</v>
      </c>
      <c r="D205" s="0" t="n">
        <f aca="false">IF(Python_Ref!D205="text",IF(B205=C205,0,1),IF(Python_Ref!D205="rel",ABS(B205-C205)/MAX(1,ABS(C205)),ABS(B205-C205)))</f>
        <v>0</v>
      </c>
      <c r="E205" s="0" t="n">
        <f aca="false">Python_Ref!E205</f>
        <v>1E-009</v>
      </c>
      <c r="F205" s="0" t="n">
        <f aca="false">IF(D205&lt;=E205,1,0)</f>
        <v>1</v>
      </c>
    </row>
    <row r="206" customFormat="false" ht="15" hidden="false" customHeight="false" outlineLevel="0" collapsed="false">
      <c r="A206" s="0" t="str">
        <f aca="false">Python_Ref!B206</f>
        <v>c IR EUR 3m</v>
      </c>
      <c r="B206" s="0" t="n">
        <f aca="false">SIMM_Curvature!C32</f>
        <v>0</v>
      </c>
      <c r="C206" s="0" t="n">
        <f aca="false">Python_Ref!C206</f>
        <v>0</v>
      </c>
      <c r="D206" s="0" t="n">
        <f aca="false">IF(Python_Ref!D206="text",IF(B206=C206,0,1),IF(Python_Ref!D206="rel",ABS(B206-C206)/MAX(1,ABS(C206)),ABS(B206-C206)))</f>
        <v>0</v>
      </c>
      <c r="E206" s="0" t="n">
        <f aca="false">Python_Ref!E206</f>
        <v>1E-009</v>
      </c>
      <c r="F206" s="0" t="n">
        <f aca="false">IF(D206&lt;=E206,1,0)</f>
        <v>1</v>
      </c>
    </row>
    <row r="207" customFormat="false" ht="15" hidden="false" customHeight="false" outlineLevel="0" collapsed="false">
      <c r="A207" s="0" t="str">
        <f aca="false">Python_Ref!B207</f>
        <v>c IR GBP 3m</v>
      </c>
      <c r="B207" s="0" t="n">
        <f aca="false">SIMM_Curvature!D32</f>
        <v>0</v>
      </c>
      <c r="C207" s="0" t="n">
        <f aca="false">Python_Ref!C207</f>
        <v>0</v>
      </c>
      <c r="D207" s="0" t="n">
        <f aca="false">IF(Python_Ref!D207="text",IF(B207=C207,0,1),IF(Python_Ref!D207="rel",ABS(B207-C207)/MAX(1,ABS(C207)),ABS(B207-C207)))</f>
        <v>0</v>
      </c>
      <c r="E207" s="0" t="n">
        <f aca="false">Python_Ref!E207</f>
        <v>1E-009</v>
      </c>
      <c r="F207" s="0" t="n">
        <f aca="false">IF(D207&lt;=E207,1,0)</f>
        <v>1</v>
      </c>
    </row>
    <row r="208" customFormat="false" ht="15" hidden="false" customHeight="false" outlineLevel="0" collapsed="false">
      <c r="A208" s="0" t="str">
        <f aca="false">Python_Ref!B208</f>
        <v>c IR JPY 3m</v>
      </c>
      <c r="B208" s="0" t="n">
        <f aca="false">SIMM_Curvature!E32</f>
        <v>0</v>
      </c>
      <c r="C208" s="0" t="n">
        <f aca="false">Python_Ref!C208</f>
        <v>0</v>
      </c>
      <c r="D208" s="0" t="n">
        <f aca="false">IF(Python_Ref!D208="text",IF(B208=C208,0,1),IF(Python_Ref!D208="rel",ABS(B208-C208)/MAX(1,ABS(C208)),ABS(B208-C208)))</f>
        <v>0</v>
      </c>
      <c r="E208" s="0" t="n">
        <f aca="false">Python_Ref!E208</f>
        <v>1E-009</v>
      </c>
      <c r="F208" s="0" t="n">
        <f aca="false">IF(D208&lt;=E208,1,0)</f>
        <v>1</v>
      </c>
    </row>
    <row r="209" customFormat="false" ht="15" hidden="false" customHeight="false" outlineLevel="0" collapsed="false">
      <c r="A209" s="0" t="str">
        <f aca="false">Python_Ref!B209</f>
        <v>c IR MXN 3m</v>
      </c>
      <c r="B209" s="0" t="n">
        <f aca="false">SIMM_Curvature!F32</f>
        <v>0</v>
      </c>
      <c r="C209" s="0" t="n">
        <f aca="false">Python_Ref!C209</f>
        <v>0</v>
      </c>
      <c r="D209" s="0" t="n">
        <f aca="false">IF(Python_Ref!D209="text",IF(B209=C209,0,1),IF(Python_Ref!D209="rel",ABS(B209-C209)/MAX(1,ABS(C209)),ABS(B209-C209)))</f>
        <v>0</v>
      </c>
      <c r="E209" s="0" t="n">
        <f aca="false">Python_Ref!E209</f>
        <v>1E-009</v>
      </c>
      <c r="F209" s="0" t="n">
        <f aca="false">IF(D209&lt;=E209,1,0)</f>
        <v>1</v>
      </c>
    </row>
    <row r="210" customFormat="false" ht="15" hidden="false" customHeight="false" outlineLevel="0" collapsed="false">
      <c r="A210" s="0" t="str">
        <f aca="false">Python_Ref!B210</f>
        <v>c IR USD 6m</v>
      </c>
      <c r="B210" s="0" t="n">
        <f aca="false">SIMM_Curvature!B33</f>
        <v>0</v>
      </c>
      <c r="C210" s="0" t="n">
        <f aca="false">Python_Ref!C210</f>
        <v>0</v>
      </c>
      <c r="D210" s="0" t="n">
        <f aca="false">IF(Python_Ref!D210="text",IF(B210=C210,0,1),IF(Python_Ref!D210="rel",ABS(B210-C210)/MAX(1,ABS(C210)),ABS(B210-C210)))</f>
        <v>0</v>
      </c>
      <c r="E210" s="0" t="n">
        <f aca="false">Python_Ref!E210</f>
        <v>1E-009</v>
      </c>
      <c r="F210" s="0" t="n">
        <f aca="false">IF(D210&lt;=E210,1,0)</f>
        <v>1</v>
      </c>
    </row>
    <row r="211" customFormat="false" ht="15" hidden="false" customHeight="false" outlineLevel="0" collapsed="false">
      <c r="A211" s="0" t="str">
        <f aca="false">Python_Ref!B211</f>
        <v>c IR EUR 6m</v>
      </c>
      <c r="B211" s="0" t="n">
        <f aca="false">SIMM_Curvature!C33</f>
        <v>0</v>
      </c>
      <c r="C211" s="0" t="n">
        <f aca="false">Python_Ref!C211</f>
        <v>0</v>
      </c>
      <c r="D211" s="0" t="n">
        <f aca="false">IF(Python_Ref!D211="text",IF(B211=C211,0,1),IF(Python_Ref!D211="rel",ABS(B211-C211)/MAX(1,ABS(C211)),ABS(B211-C211)))</f>
        <v>0</v>
      </c>
      <c r="E211" s="0" t="n">
        <f aca="false">Python_Ref!E211</f>
        <v>1E-009</v>
      </c>
      <c r="F211" s="0" t="n">
        <f aca="false">IF(D211&lt;=E211,1,0)</f>
        <v>1</v>
      </c>
    </row>
    <row r="212" customFormat="false" ht="15" hidden="false" customHeight="false" outlineLevel="0" collapsed="false">
      <c r="A212" s="0" t="str">
        <f aca="false">Python_Ref!B212</f>
        <v>c IR GBP 6m</v>
      </c>
      <c r="B212" s="0" t="n">
        <f aca="false">SIMM_Curvature!D33</f>
        <v>0</v>
      </c>
      <c r="C212" s="0" t="n">
        <f aca="false">Python_Ref!C212</f>
        <v>0</v>
      </c>
      <c r="D212" s="0" t="n">
        <f aca="false">IF(Python_Ref!D212="text",IF(B212=C212,0,1),IF(Python_Ref!D212="rel",ABS(B212-C212)/MAX(1,ABS(C212)),ABS(B212-C212)))</f>
        <v>0</v>
      </c>
      <c r="E212" s="0" t="n">
        <f aca="false">Python_Ref!E212</f>
        <v>1E-009</v>
      </c>
      <c r="F212" s="0" t="n">
        <f aca="false">IF(D212&lt;=E212,1,0)</f>
        <v>1</v>
      </c>
    </row>
    <row r="213" customFormat="false" ht="15" hidden="false" customHeight="false" outlineLevel="0" collapsed="false">
      <c r="A213" s="0" t="str">
        <f aca="false">Python_Ref!B213</f>
        <v>c IR JPY 6m</v>
      </c>
      <c r="B213" s="0" t="n">
        <f aca="false">SIMM_Curvature!E33</f>
        <v>0</v>
      </c>
      <c r="C213" s="0" t="n">
        <f aca="false">Python_Ref!C213</f>
        <v>0</v>
      </c>
      <c r="D213" s="0" t="n">
        <f aca="false">IF(Python_Ref!D213="text",IF(B213=C213,0,1),IF(Python_Ref!D213="rel",ABS(B213-C213)/MAX(1,ABS(C213)),ABS(B213-C213)))</f>
        <v>0</v>
      </c>
      <c r="E213" s="0" t="n">
        <f aca="false">Python_Ref!E213</f>
        <v>1E-009</v>
      </c>
      <c r="F213" s="0" t="n">
        <f aca="false">IF(D213&lt;=E213,1,0)</f>
        <v>1</v>
      </c>
    </row>
    <row r="214" customFormat="false" ht="15" hidden="false" customHeight="false" outlineLevel="0" collapsed="false">
      <c r="A214" s="0" t="str">
        <f aca="false">Python_Ref!B214</f>
        <v>c IR MXN 6m</v>
      </c>
      <c r="B214" s="0" t="n">
        <f aca="false">SIMM_Curvature!F33</f>
        <v>0</v>
      </c>
      <c r="C214" s="0" t="n">
        <f aca="false">Python_Ref!C214</f>
        <v>0</v>
      </c>
      <c r="D214" s="0" t="n">
        <f aca="false">IF(Python_Ref!D214="text",IF(B214=C214,0,1),IF(Python_Ref!D214="rel",ABS(B214-C214)/MAX(1,ABS(C214)),ABS(B214-C214)))</f>
        <v>0</v>
      </c>
      <c r="E214" s="0" t="n">
        <f aca="false">Python_Ref!E214</f>
        <v>1E-009</v>
      </c>
      <c r="F214" s="0" t="n">
        <f aca="false">IF(D214&lt;=E214,1,0)</f>
        <v>1</v>
      </c>
    </row>
    <row r="215" customFormat="false" ht="15" hidden="false" customHeight="false" outlineLevel="0" collapsed="false">
      <c r="A215" s="0" t="str">
        <f aca="false">Python_Ref!B215</f>
        <v>c IR USD 1y</v>
      </c>
      <c r="B215" s="0" t="n">
        <f aca="false">SIMM_Curvature!B34</f>
        <v>12248.0394442069</v>
      </c>
      <c r="C215" s="0" t="n">
        <f aca="false">Python_Ref!C215</f>
        <v>12248.0394442069</v>
      </c>
      <c r="D215" s="0" t="n">
        <f aca="false">IF(Python_Ref!D215="text",IF(B215=C215,0,1),IF(Python_Ref!D215="rel",ABS(B215-C215)/MAX(1,ABS(C215)),ABS(B215-C215)))</f>
        <v>0</v>
      </c>
      <c r="E215" s="0" t="n">
        <f aca="false">Python_Ref!E215</f>
        <v>1E-009</v>
      </c>
      <c r="F215" s="0" t="n">
        <f aca="false">IF(D215&lt;=E215,1,0)</f>
        <v>1</v>
      </c>
    </row>
    <row r="216" customFormat="false" ht="15" hidden="false" customHeight="false" outlineLevel="0" collapsed="false">
      <c r="A216" s="0" t="str">
        <f aca="false">Python_Ref!B216</f>
        <v>c IR EUR 1y</v>
      </c>
      <c r="B216" s="0" t="n">
        <f aca="false">SIMM_Curvature!C34</f>
        <v>0</v>
      </c>
      <c r="C216" s="0" t="n">
        <f aca="false">Python_Ref!C216</f>
        <v>0</v>
      </c>
      <c r="D216" s="0" t="n">
        <f aca="false">IF(Python_Ref!D216="text",IF(B216=C216,0,1),IF(Python_Ref!D216="rel",ABS(B216-C216)/MAX(1,ABS(C216)),ABS(B216-C216)))</f>
        <v>0</v>
      </c>
      <c r="E216" s="0" t="n">
        <f aca="false">Python_Ref!E216</f>
        <v>1E-009</v>
      </c>
      <c r="F216" s="0" t="n">
        <f aca="false">IF(D216&lt;=E216,1,0)</f>
        <v>1</v>
      </c>
    </row>
    <row r="217" customFormat="false" ht="15" hidden="false" customHeight="false" outlineLevel="0" collapsed="false">
      <c r="A217" s="0" t="str">
        <f aca="false">Python_Ref!B217</f>
        <v>c IR GBP 1y</v>
      </c>
      <c r="B217" s="0" t="n">
        <f aca="false">SIMM_Curvature!D34</f>
        <v>0</v>
      </c>
      <c r="C217" s="0" t="n">
        <f aca="false">Python_Ref!C217</f>
        <v>0</v>
      </c>
      <c r="D217" s="0" t="n">
        <f aca="false">IF(Python_Ref!D217="text",IF(B217=C217,0,1),IF(Python_Ref!D217="rel",ABS(B217-C217)/MAX(1,ABS(C217)),ABS(B217-C217)))</f>
        <v>0</v>
      </c>
      <c r="E217" s="0" t="n">
        <f aca="false">Python_Ref!E217</f>
        <v>1E-009</v>
      </c>
      <c r="F217" s="0" t="n">
        <f aca="false">IF(D217&lt;=E217,1,0)</f>
        <v>1</v>
      </c>
    </row>
    <row r="218" customFormat="false" ht="15" hidden="false" customHeight="false" outlineLevel="0" collapsed="false">
      <c r="A218" s="0" t="str">
        <f aca="false">Python_Ref!B218</f>
        <v>c IR JPY 1y</v>
      </c>
      <c r="B218" s="0" t="n">
        <f aca="false">SIMM_Curvature!E34</f>
        <v>0</v>
      </c>
      <c r="C218" s="0" t="n">
        <f aca="false">Python_Ref!C218</f>
        <v>0</v>
      </c>
      <c r="D218" s="0" t="n">
        <f aca="false">IF(Python_Ref!D218="text",IF(B218=C218,0,1),IF(Python_Ref!D218="rel",ABS(B218-C218)/MAX(1,ABS(C218)),ABS(B218-C218)))</f>
        <v>0</v>
      </c>
      <c r="E218" s="0" t="n">
        <f aca="false">Python_Ref!E218</f>
        <v>1E-009</v>
      </c>
      <c r="F218" s="0" t="n">
        <f aca="false">IF(D218&lt;=E218,1,0)</f>
        <v>1</v>
      </c>
    </row>
    <row r="219" customFormat="false" ht="15" hidden="false" customHeight="false" outlineLevel="0" collapsed="false">
      <c r="A219" s="0" t="str">
        <f aca="false">Python_Ref!B219</f>
        <v>c IR MXN 1y</v>
      </c>
      <c r="B219" s="0" t="n">
        <f aca="false">SIMM_Curvature!F34</f>
        <v>0</v>
      </c>
      <c r="C219" s="0" t="n">
        <f aca="false">Python_Ref!C219</f>
        <v>0</v>
      </c>
      <c r="D219" s="0" t="n">
        <f aca="false">IF(Python_Ref!D219="text",IF(B219=C219,0,1),IF(Python_Ref!D219="rel",ABS(B219-C219)/MAX(1,ABS(C219)),ABS(B219-C219)))</f>
        <v>0</v>
      </c>
      <c r="E219" s="0" t="n">
        <f aca="false">Python_Ref!E219</f>
        <v>1E-009</v>
      </c>
      <c r="F219" s="0" t="n">
        <f aca="false">IF(D219&lt;=E219,1,0)</f>
        <v>1</v>
      </c>
    </row>
    <row r="220" customFormat="false" ht="15" hidden="false" customHeight="false" outlineLevel="0" collapsed="false">
      <c r="A220" s="0" t="str">
        <f aca="false">Python_Ref!B220</f>
        <v>c IR USD 2y</v>
      </c>
      <c r="B220" s="0" t="n">
        <f aca="false">SIMM_Curvature!B35</f>
        <v>0</v>
      </c>
      <c r="C220" s="0" t="n">
        <f aca="false">Python_Ref!C220</f>
        <v>0</v>
      </c>
      <c r="D220" s="0" t="n">
        <f aca="false">IF(Python_Ref!D220="text",IF(B220=C220,0,1),IF(Python_Ref!D220="rel",ABS(B220-C220)/MAX(1,ABS(C220)),ABS(B220-C220)))</f>
        <v>0</v>
      </c>
      <c r="E220" s="0" t="n">
        <f aca="false">Python_Ref!E220</f>
        <v>1E-009</v>
      </c>
      <c r="F220" s="0" t="n">
        <f aca="false">IF(D220&lt;=E220,1,0)</f>
        <v>1</v>
      </c>
    </row>
    <row r="221" customFormat="false" ht="15" hidden="false" customHeight="false" outlineLevel="0" collapsed="false">
      <c r="A221" s="0" t="str">
        <f aca="false">Python_Ref!B221</f>
        <v>c IR EUR 2y</v>
      </c>
      <c r="B221" s="0" t="n">
        <f aca="false">SIMM_Curvature!C35</f>
        <v>0</v>
      </c>
      <c r="C221" s="0" t="n">
        <f aca="false">Python_Ref!C221</f>
        <v>0</v>
      </c>
      <c r="D221" s="0" t="n">
        <f aca="false">IF(Python_Ref!D221="text",IF(B221=C221,0,1),IF(Python_Ref!D221="rel",ABS(B221-C221)/MAX(1,ABS(C221)),ABS(B221-C221)))</f>
        <v>0</v>
      </c>
      <c r="E221" s="0" t="n">
        <f aca="false">Python_Ref!E221</f>
        <v>1E-009</v>
      </c>
      <c r="F221" s="0" t="n">
        <f aca="false">IF(D221&lt;=E221,1,0)</f>
        <v>1</v>
      </c>
    </row>
    <row r="222" customFormat="false" ht="15" hidden="false" customHeight="false" outlineLevel="0" collapsed="false">
      <c r="A222" s="0" t="str">
        <f aca="false">Python_Ref!B222</f>
        <v>c IR GBP 2y</v>
      </c>
      <c r="B222" s="0" t="n">
        <f aca="false">SIMM_Curvature!D35</f>
        <v>0</v>
      </c>
      <c r="C222" s="0" t="n">
        <f aca="false">Python_Ref!C222</f>
        <v>0</v>
      </c>
      <c r="D222" s="0" t="n">
        <f aca="false">IF(Python_Ref!D222="text",IF(B222=C222,0,1),IF(Python_Ref!D222="rel",ABS(B222-C222)/MAX(1,ABS(C222)),ABS(B222-C222)))</f>
        <v>0</v>
      </c>
      <c r="E222" s="0" t="n">
        <f aca="false">Python_Ref!E222</f>
        <v>1E-009</v>
      </c>
      <c r="F222" s="0" t="n">
        <f aca="false">IF(D222&lt;=E222,1,0)</f>
        <v>1</v>
      </c>
    </row>
    <row r="223" customFormat="false" ht="15" hidden="false" customHeight="false" outlineLevel="0" collapsed="false">
      <c r="A223" s="0" t="str">
        <f aca="false">Python_Ref!B223</f>
        <v>c IR JPY 2y</v>
      </c>
      <c r="B223" s="0" t="n">
        <f aca="false">SIMM_Curvature!E35</f>
        <v>0</v>
      </c>
      <c r="C223" s="0" t="n">
        <f aca="false">Python_Ref!C223</f>
        <v>0</v>
      </c>
      <c r="D223" s="0" t="n">
        <f aca="false">IF(Python_Ref!D223="text",IF(B223=C223,0,1),IF(Python_Ref!D223="rel",ABS(B223-C223)/MAX(1,ABS(C223)),ABS(B223-C223)))</f>
        <v>0</v>
      </c>
      <c r="E223" s="0" t="n">
        <f aca="false">Python_Ref!E223</f>
        <v>1E-009</v>
      </c>
      <c r="F223" s="0" t="n">
        <f aca="false">IF(D223&lt;=E223,1,0)</f>
        <v>1</v>
      </c>
    </row>
    <row r="224" customFormat="false" ht="15" hidden="false" customHeight="false" outlineLevel="0" collapsed="false">
      <c r="A224" s="0" t="str">
        <f aca="false">Python_Ref!B224</f>
        <v>c IR MXN 2y</v>
      </c>
      <c r="B224" s="0" t="n">
        <f aca="false">SIMM_Curvature!F35</f>
        <v>0</v>
      </c>
      <c r="C224" s="0" t="n">
        <f aca="false">Python_Ref!C224</f>
        <v>0</v>
      </c>
      <c r="D224" s="0" t="n">
        <f aca="false">IF(Python_Ref!D224="text",IF(B224=C224,0,1),IF(Python_Ref!D224="rel",ABS(B224-C224)/MAX(1,ABS(C224)),ABS(B224-C224)))</f>
        <v>0</v>
      </c>
      <c r="E224" s="0" t="n">
        <f aca="false">Python_Ref!E224</f>
        <v>1E-009</v>
      </c>
      <c r="F224" s="0" t="n">
        <f aca="false">IF(D224&lt;=E224,1,0)</f>
        <v>1</v>
      </c>
    </row>
    <row r="225" customFormat="false" ht="15" hidden="false" customHeight="false" outlineLevel="0" collapsed="false">
      <c r="A225" s="0" t="str">
        <f aca="false">Python_Ref!B225</f>
        <v>c IR USD 3y</v>
      </c>
      <c r="B225" s="0" t="n">
        <f aca="false">SIMM_Curvature!B36</f>
        <v>0</v>
      </c>
      <c r="C225" s="0" t="n">
        <f aca="false">Python_Ref!C225</f>
        <v>0</v>
      </c>
      <c r="D225" s="0" t="n">
        <f aca="false">IF(Python_Ref!D225="text",IF(B225=C225,0,1),IF(Python_Ref!D225="rel",ABS(B225-C225)/MAX(1,ABS(C225)),ABS(B225-C225)))</f>
        <v>0</v>
      </c>
      <c r="E225" s="0" t="n">
        <f aca="false">Python_Ref!E225</f>
        <v>1E-009</v>
      </c>
      <c r="F225" s="0" t="n">
        <f aca="false">IF(D225&lt;=E225,1,0)</f>
        <v>1</v>
      </c>
    </row>
    <row r="226" customFormat="false" ht="15" hidden="false" customHeight="false" outlineLevel="0" collapsed="false">
      <c r="A226" s="0" t="str">
        <f aca="false">Python_Ref!B226</f>
        <v>c IR EUR 3y</v>
      </c>
      <c r="B226" s="0" t="n">
        <f aca="false">SIMM_Curvature!C36</f>
        <v>6763.1890964422</v>
      </c>
      <c r="C226" s="0" t="n">
        <f aca="false">Python_Ref!C226</f>
        <v>6763.1890964422</v>
      </c>
      <c r="D226" s="0" t="n">
        <f aca="false">IF(Python_Ref!D226="text",IF(B226=C226,0,1),IF(Python_Ref!D226="rel",ABS(B226-C226)/MAX(1,ABS(C226)),ABS(B226-C226)))</f>
        <v>0</v>
      </c>
      <c r="E226" s="0" t="n">
        <f aca="false">Python_Ref!E226</f>
        <v>1E-009</v>
      </c>
      <c r="F226" s="0" t="n">
        <f aca="false">IF(D226&lt;=E226,1,0)</f>
        <v>1</v>
      </c>
    </row>
    <row r="227" customFormat="false" ht="15" hidden="false" customHeight="false" outlineLevel="0" collapsed="false">
      <c r="A227" s="0" t="str">
        <f aca="false">Python_Ref!B227</f>
        <v>c IR GBP 3y</v>
      </c>
      <c r="B227" s="0" t="n">
        <f aca="false">SIMM_Curvature!D36</f>
        <v>0</v>
      </c>
      <c r="C227" s="0" t="n">
        <f aca="false">Python_Ref!C227</f>
        <v>0</v>
      </c>
      <c r="D227" s="0" t="n">
        <f aca="false">IF(Python_Ref!D227="text",IF(B227=C227,0,1),IF(Python_Ref!D227="rel",ABS(B227-C227)/MAX(1,ABS(C227)),ABS(B227-C227)))</f>
        <v>0</v>
      </c>
      <c r="E227" s="0" t="n">
        <f aca="false">Python_Ref!E227</f>
        <v>1E-009</v>
      </c>
      <c r="F227" s="0" t="n">
        <f aca="false">IF(D227&lt;=E227,1,0)</f>
        <v>1</v>
      </c>
    </row>
    <row r="228" customFormat="false" ht="15" hidden="false" customHeight="false" outlineLevel="0" collapsed="false">
      <c r="A228" s="0" t="str">
        <f aca="false">Python_Ref!B228</f>
        <v>c IR JPY 3y</v>
      </c>
      <c r="B228" s="0" t="n">
        <f aca="false">SIMM_Curvature!E36</f>
        <v>0</v>
      </c>
      <c r="C228" s="0" t="n">
        <f aca="false">Python_Ref!C228</f>
        <v>0</v>
      </c>
      <c r="D228" s="0" t="n">
        <f aca="false">IF(Python_Ref!D228="text",IF(B228=C228,0,1),IF(Python_Ref!D228="rel",ABS(B228-C228)/MAX(1,ABS(C228)),ABS(B228-C228)))</f>
        <v>0</v>
      </c>
      <c r="E228" s="0" t="n">
        <f aca="false">Python_Ref!E228</f>
        <v>1E-009</v>
      </c>
      <c r="F228" s="0" t="n">
        <f aca="false">IF(D228&lt;=E228,1,0)</f>
        <v>1</v>
      </c>
    </row>
    <row r="229" customFormat="false" ht="15" hidden="false" customHeight="false" outlineLevel="0" collapsed="false">
      <c r="A229" s="0" t="str">
        <f aca="false">Python_Ref!B229</f>
        <v>c IR MXN 3y</v>
      </c>
      <c r="B229" s="0" t="n">
        <f aca="false">SIMM_Curvature!F36</f>
        <v>0</v>
      </c>
      <c r="C229" s="0" t="n">
        <f aca="false">Python_Ref!C229</f>
        <v>0</v>
      </c>
      <c r="D229" s="0" t="n">
        <f aca="false">IF(Python_Ref!D229="text",IF(B229=C229,0,1),IF(Python_Ref!D229="rel",ABS(B229-C229)/MAX(1,ABS(C229)),ABS(B229-C229)))</f>
        <v>0</v>
      </c>
      <c r="E229" s="0" t="n">
        <f aca="false">Python_Ref!E229</f>
        <v>1E-009</v>
      </c>
      <c r="F229" s="0" t="n">
        <f aca="false">IF(D229&lt;=E229,1,0)</f>
        <v>1</v>
      </c>
    </row>
    <row r="230" customFormat="false" ht="15" hidden="false" customHeight="false" outlineLevel="0" collapsed="false">
      <c r="A230" s="0" t="str">
        <f aca="false">Python_Ref!B230</f>
        <v>c IR USD 5y</v>
      </c>
      <c r="B230" s="0" t="n">
        <f aca="false">SIMM_Curvature!B37</f>
        <v>0</v>
      </c>
      <c r="C230" s="0" t="n">
        <f aca="false">Python_Ref!C230</f>
        <v>0</v>
      </c>
      <c r="D230" s="0" t="n">
        <f aca="false">IF(Python_Ref!D230="text",IF(B230=C230,0,1),IF(Python_Ref!D230="rel",ABS(B230-C230)/MAX(1,ABS(C230)),ABS(B230-C230)))</f>
        <v>0</v>
      </c>
      <c r="E230" s="0" t="n">
        <f aca="false">Python_Ref!E230</f>
        <v>1E-009</v>
      </c>
      <c r="F230" s="0" t="n">
        <f aca="false">IF(D230&lt;=E230,1,0)</f>
        <v>1</v>
      </c>
    </row>
    <row r="231" customFormat="false" ht="15" hidden="false" customHeight="false" outlineLevel="0" collapsed="false">
      <c r="A231" s="0" t="str">
        <f aca="false">Python_Ref!B231</f>
        <v>c IR EUR 5y</v>
      </c>
      <c r="B231" s="0" t="n">
        <f aca="false">SIMM_Curvature!C37</f>
        <v>4057.91345786532</v>
      </c>
      <c r="C231" s="0" t="n">
        <f aca="false">Python_Ref!C231</f>
        <v>4057.91345786532</v>
      </c>
      <c r="D231" s="0" t="n">
        <f aca="false">IF(Python_Ref!D231="text",IF(B231=C231,0,1),IF(Python_Ref!D231="rel",ABS(B231-C231)/MAX(1,ABS(C231)),ABS(B231-C231)))</f>
        <v>0</v>
      </c>
      <c r="E231" s="0" t="n">
        <f aca="false">Python_Ref!E231</f>
        <v>1E-009</v>
      </c>
      <c r="F231" s="0" t="n">
        <f aca="false">IF(D231&lt;=E231,1,0)</f>
        <v>1</v>
      </c>
    </row>
    <row r="232" customFormat="false" ht="15" hidden="false" customHeight="false" outlineLevel="0" collapsed="false">
      <c r="A232" s="0" t="str">
        <f aca="false">Python_Ref!B232</f>
        <v>c IR GBP 5y</v>
      </c>
      <c r="B232" s="0" t="n">
        <f aca="false">SIMM_Curvature!D37</f>
        <v>-3956.16269322761</v>
      </c>
      <c r="C232" s="0" t="n">
        <f aca="false">Python_Ref!C232</f>
        <v>-3956.16269322761</v>
      </c>
      <c r="D232" s="0" t="n">
        <f aca="false">IF(Python_Ref!D232="text",IF(B232=C232,0,1),IF(Python_Ref!D232="rel",ABS(B232-C232)/MAX(1,ABS(C232)),ABS(B232-C232)))</f>
        <v>0</v>
      </c>
      <c r="E232" s="0" t="n">
        <f aca="false">Python_Ref!E232</f>
        <v>1E-009</v>
      </c>
      <c r="F232" s="0" t="n">
        <f aca="false">IF(D232&lt;=E232,1,0)</f>
        <v>1</v>
      </c>
    </row>
    <row r="233" customFormat="false" ht="15" hidden="false" customHeight="false" outlineLevel="0" collapsed="false">
      <c r="A233" s="0" t="str">
        <f aca="false">Python_Ref!B233</f>
        <v>c IR JPY 5y</v>
      </c>
      <c r="B233" s="0" t="n">
        <f aca="false">SIMM_Curvature!E37</f>
        <v>0</v>
      </c>
      <c r="C233" s="0" t="n">
        <f aca="false">Python_Ref!C233</f>
        <v>0</v>
      </c>
      <c r="D233" s="0" t="n">
        <f aca="false">IF(Python_Ref!D233="text",IF(B233=C233,0,1),IF(Python_Ref!D233="rel",ABS(B233-C233)/MAX(1,ABS(C233)),ABS(B233-C233)))</f>
        <v>0</v>
      </c>
      <c r="E233" s="0" t="n">
        <f aca="false">Python_Ref!E233</f>
        <v>1E-009</v>
      </c>
      <c r="F233" s="0" t="n">
        <f aca="false">IF(D233&lt;=E233,1,0)</f>
        <v>1</v>
      </c>
    </row>
    <row r="234" customFormat="false" ht="15" hidden="false" customHeight="false" outlineLevel="0" collapsed="false">
      <c r="A234" s="0" t="str">
        <f aca="false">Python_Ref!B234</f>
        <v>c IR MXN 5y</v>
      </c>
      <c r="B234" s="0" t="n">
        <f aca="false">SIMM_Curvature!F37</f>
        <v>0</v>
      </c>
      <c r="C234" s="0" t="n">
        <f aca="false">Python_Ref!C234</f>
        <v>0</v>
      </c>
      <c r="D234" s="0" t="n">
        <f aca="false">IF(Python_Ref!D234="text",IF(B234=C234,0,1),IF(Python_Ref!D234="rel",ABS(B234-C234)/MAX(1,ABS(C234)),ABS(B234-C234)))</f>
        <v>0</v>
      </c>
      <c r="E234" s="0" t="n">
        <f aca="false">Python_Ref!E234</f>
        <v>1E-009</v>
      </c>
      <c r="F234" s="0" t="n">
        <f aca="false">IF(D234&lt;=E234,1,0)</f>
        <v>1</v>
      </c>
    </row>
    <row r="235" customFormat="false" ht="15" hidden="false" customHeight="false" outlineLevel="0" collapsed="false">
      <c r="A235" s="0" t="str">
        <f aca="false">Python_Ref!B235</f>
        <v>c IR USD 10y</v>
      </c>
      <c r="B235" s="0" t="n">
        <f aca="false">SIMM_Curvature!B38</f>
        <v>0</v>
      </c>
      <c r="C235" s="0" t="n">
        <f aca="false">Python_Ref!C235</f>
        <v>0</v>
      </c>
      <c r="D235" s="0" t="n">
        <f aca="false">IF(Python_Ref!D235="text",IF(B235=C235,0,1),IF(Python_Ref!D235="rel",ABS(B235-C235)/MAX(1,ABS(C235)),ABS(B235-C235)))</f>
        <v>0</v>
      </c>
      <c r="E235" s="0" t="n">
        <f aca="false">Python_Ref!E235</f>
        <v>1E-009</v>
      </c>
      <c r="F235" s="0" t="n">
        <f aca="false">IF(D235&lt;=E235,1,0)</f>
        <v>1</v>
      </c>
    </row>
    <row r="236" customFormat="false" ht="15" hidden="false" customHeight="false" outlineLevel="0" collapsed="false">
      <c r="A236" s="0" t="str">
        <f aca="false">Python_Ref!B236</f>
        <v>c IR EUR 10y</v>
      </c>
      <c r="B236" s="0" t="n">
        <f aca="false">SIMM_Curvature!C38</f>
        <v>0</v>
      </c>
      <c r="C236" s="0" t="n">
        <f aca="false">Python_Ref!C236</f>
        <v>0</v>
      </c>
      <c r="D236" s="0" t="n">
        <f aca="false">IF(Python_Ref!D236="text",IF(B236=C236,0,1),IF(Python_Ref!D236="rel",ABS(B236-C236)/MAX(1,ABS(C236)),ABS(B236-C236)))</f>
        <v>0</v>
      </c>
      <c r="E236" s="0" t="n">
        <f aca="false">Python_Ref!E236</f>
        <v>1E-009</v>
      </c>
      <c r="F236" s="0" t="n">
        <f aca="false">IF(D236&lt;=E236,1,0)</f>
        <v>1</v>
      </c>
    </row>
    <row r="237" customFormat="false" ht="15" hidden="false" customHeight="false" outlineLevel="0" collapsed="false">
      <c r="A237" s="0" t="str">
        <f aca="false">Python_Ref!B237</f>
        <v>c IR GBP 10y</v>
      </c>
      <c r="B237" s="0" t="n">
        <f aca="false">SIMM_Curvature!D38</f>
        <v>0</v>
      </c>
      <c r="C237" s="0" t="n">
        <f aca="false">Python_Ref!C237</f>
        <v>0</v>
      </c>
      <c r="D237" s="0" t="n">
        <f aca="false">IF(Python_Ref!D237="text",IF(B237=C237,0,1),IF(Python_Ref!D237="rel",ABS(B237-C237)/MAX(1,ABS(C237)),ABS(B237-C237)))</f>
        <v>0</v>
      </c>
      <c r="E237" s="0" t="n">
        <f aca="false">Python_Ref!E237</f>
        <v>1E-009</v>
      </c>
      <c r="F237" s="0" t="n">
        <f aca="false">IF(D237&lt;=E237,1,0)</f>
        <v>1</v>
      </c>
    </row>
    <row r="238" customFormat="false" ht="15" hidden="false" customHeight="false" outlineLevel="0" collapsed="false">
      <c r="A238" s="0" t="str">
        <f aca="false">Python_Ref!B238</f>
        <v>c IR JPY 10y</v>
      </c>
      <c r="B238" s="0" t="n">
        <f aca="false">SIMM_Curvature!E38</f>
        <v>0</v>
      </c>
      <c r="C238" s="0" t="n">
        <f aca="false">Python_Ref!C238</f>
        <v>0</v>
      </c>
      <c r="D238" s="0" t="n">
        <f aca="false">IF(Python_Ref!D238="text",IF(B238=C238,0,1),IF(Python_Ref!D238="rel",ABS(B238-C238)/MAX(1,ABS(C238)),ABS(B238-C238)))</f>
        <v>0</v>
      </c>
      <c r="E238" s="0" t="n">
        <f aca="false">Python_Ref!E238</f>
        <v>1E-009</v>
      </c>
      <c r="F238" s="0" t="n">
        <f aca="false">IF(D238&lt;=E238,1,0)</f>
        <v>1</v>
      </c>
    </row>
    <row r="239" customFormat="false" ht="15" hidden="false" customHeight="false" outlineLevel="0" collapsed="false">
      <c r="A239" s="0" t="str">
        <f aca="false">Python_Ref!B239</f>
        <v>c IR MXN 10y</v>
      </c>
      <c r="B239" s="0" t="n">
        <f aca="false">SIMM_Curvature!F38</f>
        <v>0</v>
      </c>
      <c r="C239" s="0" t="n">
        <f aca="false">Python_Ref!C239</f>
        <v>0</v>
      </c>
      <c r="D239" s="0" t="n">
        <f aca="false">IF(Python_Ref!D239="text",IF(B239=C239,0,1),IF(Python_Ref!D239="rel",ABS(B239-C239)/MAX(1,ABS(C239)),ABS(B239-C239)))</f>
        <v>0</v>
      </c>
      <c r="E239" s="0" t="n">
        <f aca="false">Python_Ref!E239</f>
        <v>1E-009</v>
      </c>
      <c r="F239" s="0" t="n">
        <f aca="false">IF(D239&lt;=E239,1,0)</f>
        <v>1</v>
      </c>
    </row>
    <row r="240" customFormat="false" ht="15" hidden="false" customHeight="false" outlineLevel="0" collapsed="false">
      <c r="A240" s="0" t="str">
        <f aca="false">Python_Ref!B240</f>
        <v>c IR USD 15y</v>
      </c>
      <c r="B240" s="0" t="n">
        <f aca="false">SIMM_Curvature!B39</f>
        <v>0</v>
      </c>
      <c r="C240" s="0" t="n">
        <f aca="false">Python_Ref!C240</f>
        <v>0</v>
      </c>
      <c r="D240" s="0" t="n">
        <f aca="false">IF(Python_Ref!D240="text",IF(B240=C240,0,1),IF(Python_Ref!D240="rel",ABS(B240-C240)/MAX(1,ABS(C240)),ABS(B240-C240)))</f>
        <v>0</v>
      </c>
      <c r="E240" s="0" t="n">
        <f aca="false">Python_Ref!E240</f>
        <v>1E-009</v>
      </c>
      <c r="F240" s="0" t="n">
        <f aca="false">IF(D240&lt;=E240,1,0)</f>
        <v>1</v>
      </c>
    </row>
    <row r="241" customFormat="false" ht="15" hidden="false" customHeight="false" outlineLevel="0" collapsed="false">
      <c r="A241" s="0" t="str">
        <f aca="false">Python_Ref!B241</f>
        <v>c IR EUR 15y</v>
      </c>
      <c r="B241" s="0" t="n">
        <f aca="false">SIMM_Curvature!C39</f>
        <v>0</v>
      </c>
      <c r="C241" s="0" t="n">
        <f aca="false">Python_Ref!C241</f>
        <v>0</v>
      </c>
      <c r="D241" s="0" t="n">
        <f aca="false">IF(Python_Ref!D241="text",IF(B241=C241,0,1),IF(Python_Ref!D241="rel",ABS(B241-C241)/MAX(1,ABS(C241)),ABS(B241-C241)))</f>
        <v>0</v>
      </c>
      <c r="E241" s="0" t="n">
        <f aca="false">Python_Ref!E241</f>
        <v>1E-009</v>
      </c>
      <c r="F241" s="0" t="n">
        <f aca="false">IF(D241&lt;=E241,1,0)</f>
        <v>1</v>
      </c>
    </row>
    <row r="242" customFormat="false" ht="15" hidden="false" customHeight="false" outlineLevel="0" collapsed="false">
      <c r="A242" s="0" t="str">
        <f aca="false">Python_Ref!B242</f>
        <v>c IR GBP 15y</v>
      </c>
      <c r="B242" s="0" t="n">
        <f aca="false">SIMM_Curvature!D39</f>
        <v>0</v>
      </c>
      <c r="C242" s="0" t="n">
        <f aca="false">Python_Ref!C242</f>
        <v>0</v>
      </c>
      <c r="D242" s="0" t="n">
        <f aca="false">IF(Python_Ref!D242="text",IF(B242=C242,0,1),IF(Python_Ref!D242="rel",ABS(B242-C242)/MAX(1,ABS(C242)),ABS(B242-C242)))</f>
        <v>0</v>
      </c>
      <c r="E242" s="0" t="n">
        <f aca="false">Python_Ref!E242</f>
        <v>1E-009</v>
      </c>
      <c r="F242" s="0" t="n">
        <f aca="false">IF(D242&lt;=E242,1,0)</f>
        <v>1</v>
      </c>
    </row>
    <row r="243" customFormat="false" ht="15" hidden="false" customHeight="false" outlineLevel="0" collapsed="false">
      <c r="A243" s="0" t="str">
        <f aca="false">Python_Ref!B243</f>
        <v>c IR JPY 15y</v>
      </c>
      <c r="B243" s="0" t="n">
        <f aca="false">SIMM_Curvature!E39</f>
        <v>0</v>
      </c>
      <c r="C243" s="0" t="n">
        <f aca="false">Python_Ref!C243</f>
        <v>0</v>
      </c>
      <c r="D243" s="0" t="n">
        <f aca="false">IF(Python_Ref!D243="text",IF(B243=C243,0,1),IF(Python_Ref!D243="rel",ABS(B243-C243)/MAX(1,ABS(C243)),ABS(B243-C243)))</f>
        <v>0</v>
      </c>
      <c r="E243" s="0" t="n">
        <f aca="false">Python_Ref!E243</f>
        <v>1E-009</v>
      </c>
      <c r="F243" s="0" t="n">
        <f aca="false">IF(D243&lt;=E243,1,0)</f>
        <v>1</v>
      </c>
    </row>
    <row r="244" customFormat="false" ht="15" hidden="false" customHeight="false" outlineLevel="0" collapsed="false">
      <c r="A244" s="0" t="str">
        <f aca="false">Python_Ref!B244</f>
        <v>c IR MXN 15y</v>
      </c>
      <c r="B244" s="0" t="n">
        <f aca="false">SIMM_Curvature!F39</f>
        <v>0</v>
      </c>
      <c r="C244" s="0" t="n">
        <f aca="false">Python_Ref!C244</f>
        <v>0</v>
      </c>
      <c r="D244" s="0" t="n">
        <f aca="false">IF(Python_Ref!D244="text",IF(B244=C244,0,1),IF(Python_Ref!D244="rel",ABS(B244-C244)/MAX(1,ABS(C244)),ABS(B244-C244)))</f>
        <v>0</v>
      </c>
      <c r="E244" s="0" t="n">
        <f aca="false">Python_Ref!E244</f>
        <v>1E-009</v>
      </c>
      <c r="F244" s="0" t="n">
        <f aca="false">IF(D244&lt;=E244,1,0)</f>
        <v>1</v>
      </c>
    </row>
    <row r="245" customFormat="false" ht="15" hidden="false" customHeight="false" outlineLevel="0" collapsed="false">
      <c r="A245" s="0" t="str">
        <f aca="false">Python_Ref!B245</f>
        <v>c IR USD 20y</v>
      </c>
      <c r="B245" s="0" t="n">
        <f aca="false">SIMM_Curvature!B40</f>
        <v>0</v>
      </c>
      <c r="C245" s="0" t="n">
        <f aca="false">Python_Ref!C245</f>
        <v>0</v>
      </c>
      <c r="D245" s="0" t="n">
        <f aca="false">IF(Python_Ref!D245="text",IF(B245=C245,0,1),IF(Python_Ref!D245="rel",ABS(B245-C245)/MAX(1,ABS(C245)),ABS(B245-C245)))</f>
        <v>0</v>
      </c>
      <c r="E245" s="0" t="n">
        <f aca="false">Python_Ref!E245</f>
        <v>1E-009</v>
      </c>
      <c r="F245" s="0" t="n">
        <f aca="false">IF(D245&lt;=E245,1,0)</f>
        <v>1</v>
      </c>
    </row>
    <row r="246" customFormat="false" ht="15" hidden="false" customHeight="false" outlineLevel="0" collapsed="false">
      <c r="A246" s="0" t="str">
        <f aca="false">Python_Ref!B246</f>
        <v>c IR EUR 20y</v>
      </c>
      <c r="B246" s="0" t="n">
        <f aca="false">SIMM_Curvature!C40</f>
        <v>0</v>
      </c>
      <c r="C246" s="0" t="n">
        <f aca="false">Python_Ref!C246</f>
        <v>0</v>
      </c>
      <c r="D246" s="0" t="n">
        <f aca="false">IF(Python_Ref!D246="text",IF(B246=C246,0,1),IF(Python_Ref!D246="rel",ABS(B246-C246)/MAX(1,ABS(C246)),ABS(B246-C246)))</f>
        <v>0</v>
      </c>
      <c r="E246" s="0" t="n">
        <f aca="false">Python_Ref!E246</f>
        <v>1E-009</v>
      </c>
      <c r="F246" s="0" t="n">
        <f aca="false">IF(D246&lt;=E246,1,0)</f>
        <v>1</v>
      </c>
    </row>
    <row r="247" customFormat="false" ht="15" hidden="false" customHeight="false" outlineLevel="0" collapsed="false">
      <c r="A247" s="0" t="str">
        <f aca="false">Python_Ref!B247</f>
        <v>c IR GBP 20y</v>
      </c>
      <c r="B247" s="0" t="n">
        <f aca="false">SIMM_Curvature!D40</f>
        <v>0</v>
      </c>
      <c r="C247" s="0" t="n">
        <f aca="false">Python_Ref!C247</f>
        <v>0</v>
      </c>
      <c r="D247" s="0" t="n">
        <f aca="false">IF(Python_Ref!D247="text",IF(B247=C247,0,1),IF(Python_Ref!D247="rel",ABS(B247-C247)/MAX(1,ABS(C247)),ABS(B247-C247)))</f>
        <v>0</v>
      </c>
      <c r="E247" s="0" t="n">
        <f aca="false">Python_Ref!E247</f>
        <v>1E-009</v>
      </c>
      <c r="F247" s="0" t="n">
        <f aca="false">IF(D247&lt;=E247,1,0)</f>
        <v>1</v>
      </c>
    </row>
    <row r="248" customFormat="false" ht="15" hidden="false" customHeight="false" outlineLevel="0" collapsed="false">
      <c r="A248" s="0" t="str">
        <f aca="false">Python_Ref!B248</f>
        <v>c IR JPY 20y</v>
      </c>
      <c r="B248" s="0" t="n">
        <f aca="false">SIMM_Curvature!E40</f>
        <v>0</v>
      </c>
      <c r="C248" s="0" t="n">
        <f aca="false">Python_Ref!C248</f>
        <v>0</v>
      </c>
      <c r="D248" s="0" t="n">
        <f aca="false">IF(Python_Ref!D248="text",IF(B248=C248,0,1),IF(Python_Ref!D248="rel",ABS(B248-C248)/MAX(1,ABS(C248)),ABS(B248-C248)))</f>
        <v>0</v>
      </c>
      <c r="E248" s="0" t="n">
        <f aca="false">Python_Ref!E248</f>
        <v>1E-009</v>
      </c>
      <c r="F248" s="0" t="n">
        <f aca="false">IF(D248&lt;=E248,1,0)</f>
        <v>1</v>
      </c>
    </row>
    <row r="249" customFormat="false" ht="15" hidden="false" customHeight="false" outlineLevel="0" collapsed="false">
      <c r="A249" s="0" t="str">
        <f aca="false">Python_Ref!B249</f>
        <v>c IR MXN 20y</v>
      </c>
      <c r="B249" s="0" t="n">
        <f aca="false">SIMM_Curvature!F40</f>
        <v>0</v>
      </c>
      <c r="C249" s="0" t="n">
        <f aca="false">Python_Ref!C249</f>
        <v>0</v>
      </c>
      <c r="D249" s="0" t="n">
        <f aca="false">IF(Python_Ref!D249="text",IF(B249=C249,0,1),IF(Python_Ref!D249="rel",ABS(B249-C249)/MAX(1,ABS(C249)),ABS(B249-C249)))</f>
        <v>0</v>
      </c>
      <c r="E249" s="0" t="n">
        <f aca="false">Python_Ref!E249</f>
        <v>1E-009</v>
      </c>
      <c r="F249" s="0" t="n">
        <f aca="false">IF(D249&lt;=E249,1,0)</f>
        <v>1</v>
      </c>
    </row>
    <row r="250" customFormat="false" ht="15" hidden="false" customHeight="false" outlineLevel="0" collapsed="false">
      <c r="A250" s="0" t="str">
        <f aca="false">Python_Ref!B250</f>
        <v>c IR USD 30y</v>
      </c>
      <c r="B250" s="0" t="n">
        <f aca="false">SIMM_Curvature!B41</f>
        <v>0</v>
      </c>
      <c r="C250" s="0" t="n">
        <f aca="false">Python_Ref!C250</f>
        <v>0</v>
      </c>
      <c r="D250" s="0" t="n">
        <f aca="false">IF(Python_Ref!D250="text",IF(B250=C250,0,1),IF(Python_Ref!D250="rel",ABS(B250-C250)/MAX(1,ABS(C250)),ABS(B250-C250)))</f>
        <v>0</v>
      </c>
      <c r="E250" s="0" t="n">
        <f aca="false">Python_Ref!E250</f>
        <v>1E-009</v>
      </c>
      <c r="F250" s="0" t="n">
        <f aca="false">IF(D250&lt;=E250,1,0)</f>
        <v>1</v>
      </c>
    </row>
    <row r="251" customFormat="false" ht="15" hidden="false" customHeight="false" outlineLevel="0" collapsed="false">
      <c r="A251" s="0" t="str">
        <f aca="false">Python_Ref!B251</f>
        <v>c IR EUR 30y</v>
      </c>
      <c r="B251" s="0" t="n">
        <f aca="false">SIMM_Curvature!C41</f>
        <v>0</v>
      </c>
      <c r="C251" s="0" t="n">
        <f aca="false">Python_Ref!C251</f>
        <v>0</v>
      </c>
      <c r="D251" s="0" t="n">
        <f aca="false">IF(Python_Ref!D251="text",IF(B251=C251,0,1),IF(Python_Ref!D251="rel",ABS(B251-C251)/MAX(1,ABS(C251)),ABS(B251-C251)))</f>
        <v>0</v>
      </c>
      <c r="E251" s="0" t="n">
        <f aca="false">Python_Ref!E251</f>
        <v>1E-009</v>
      </c>
      <c r="F251" s="0" t="n">
        <f aca="false">IF(D251&lt;=E251,1,0)</f>
        <v>1</v>
      </c>
    </row>
    <row r="252" customFormat="false" ht="15" hidden="false" customHeight="false" outlineLevel="0" collapsed="false">
      <c r="A252" s="0" t="str">
        <f aca="false">Python_Ref!B252</f>
        <v>c IR GBP 30y</v>
      </c>
      <c r="B252" s="0" t="n">
        <f aca="false">SIMM_Curvature!D41</f>
        <v>0</v>
      </c>
      <c r="C252" s="0" t="n">
        <f aca="false">Python_Ref!C252</f>
        <v>0</v>
      </c>
      <c r="D252" s="0" t="n">
        <f aca="false">IF(Python_Ref!D252="text",IF(B252=C252,0,1),IF(Python_Ref!D252="rel",ABS(B252-C252)/MAX(1,ABS(C252)),ABS(B252-C252)))</f>
        <v>0</v>
      </c>
      <c r="E252" s="0" t="n">
        <f aca="false">Python_Ref!E252</f>
        <v>1E-009</v>
      </c>
      <c r="F252" s="0" t="n">
        <f aca="false">IF(D252&lt;=E252,1,0)</f>
        <v>1</v>
      </c>
    </row>
    <row r="253" customFormat="false" ht="15" hidden="false" customHeight="false" outlineLevel="0" collapsed="false">
      <c r="A253" s="0" t="str">
        <f aca="false">Python_Ref!B253</f>
        <v>c IR JPY 30y</v>
      </c>
      <c r="B253" s="0" t="n">
        <f aca="false">SIMM_Curvature!E41</f>
        <v>0</v>
      </c>
      <c r="C253" s="0" t="n">
        <f aca="false">Python_Ref!C253</f>
        <v>0</v>
      </c>
      <c r="D253" s="0" t="n">
        <f aca="false">IF(Python_Ref!D253="text",IF(B253=C253,0,1),IF(Python_Ref!D253="rel",ABS(B253-C253)/MAX(1,ABS(C253)),ABS(B253-C253)))</f>
        <v>0</v>
      </c>
      <c r="E253" s="0" t="n">
        <f aca="false">Python_Ref!E253</f>
        <v>1E-009</v>
      </c>
      <c r="F253" s="0" t="n">
        <f aca="false">IF(D253&lt;=E253,1,0)</f>
        <v>1</v>
      </c>
    </row>
    <row r="254" customFormat="false" ht="15" hidden="false" customHeight="false" outlineLevel="0" collapsed="false">
      <c r="A254" s="0" t="str">
        <f aca="false">Python_Ref!B254</f>
        <v>c IR MXN 30y</v>
      </c>
      <c r="B254" s="0" t="n">
        <f aca="false">SIMM_Curvature!F41</f>
        <v>0</v>
      </c>
      <c r="C254" s="0" t="n">
        <f aca="false">Python_Ref!C254</f>
        <v>0</v>
      </c>
      <c r="D254" s="0" t="n">
        <f aca="false">IF(Python_Ref!D254="text",IF(B254=C254,0,1),IF(Python_Ref!D254="rel",ABS(B254-C254)/MAX(1,ABS(C254)),ABS(B254-C254)))</f>
        <v>0</v>
      </c>
      <c r="E254" s="0" t="n">
        <f aca="false">Python_Ref!E254</f>
        <v>1E-009</v>
      </c>
      <c r="F254" s="0" t="n">
        <f aca="false">IF(D254&lt;=E254,1,0)</f>
        <v>1</v>
      </c>
    </row>
    <row r="255" customFormat="false" ht="15" hidden="false" customHeight="false" outlineLevel="0" collapsed="false">
      <c r="A255" s="0" t="str">
        <f aca="false">Python_Ref!B255</f>
        <v>theta IR</v>
      </c>
      <c r="B255" s="0" t="n">
        <f aca="false">SIMM_Curvature!B44</f>
        <v>0</v>
      </c>
      <c r="C255" s="0" t="n">
        <f aca="false">Python_Ref!C255</f>
        <v>0</v>
      </c>
      <c r="D255" s="0" t="n">
        <f aca="false">IF(Python_Ref!D255="text",IF(B255=C255,0,1),IF(Python_Ref!D255="rel",ABS(B255-C255)/MAX(1,ABS(C255)),ABS(B255-C255)))</f>
        <v>0</v>
      </c>
      <c r="E255" s="0" t="n">
        <f aca="false">Python_Ref!E255</f>
        <v>1E-009</v>
      </c>
      <c r="F255" s="0" t="n">
        <f aca="false">IF(D255&lt;=E255,1,0)</f>
        <v>1</v>
      </c>
    </row>
    <row r="256" customFormat="false" ht="15" hidden="false" customHeight="false" outlineLevel="0" collapsed="false">
      <c r="A256" s="0" t="str">
        <f aca="false">Python_Ref!B256</f>
        <v>lambda IR</v>
      </c>
      <c r="B256" s="0" t="n">
        <f aca="false">SIMM_Curvature!B45</f>
        <v>5.63489660102121</v>
      </c>
      <c r="C256" s="0" t="n">
        <f aca="false">Python_Ref!C256</f>
        <v>5.63489660102121</v>
      </c>
      <c r="D256" s="0" t="n">
        <f aca="false">IF(Python_Ref!D256="text",IF(B256=C256,0,1),IF(Python_Ref!D256="rel",ABS(B256-C256)/MAX(1,ABS(C256)),ABS(B256-C256)))</f>
        <v>0</v>
      </c>
      <c r="E256" s="0" t="n">
        <f aca="false">Python_Ref!E256</f>
        <v>1E-009</v>
      </c>
      <c r="F256" s="0" t="n">
        <f aca="false">IF(D256&lt;=E256,1,0)</f>
        <v>1</v>
      </c>
    </row>
    <row r="257" customFormat="false" ht="15" hidden="false" customHeight="false" outlineLevel="0" collapsed="false">
      <c r="A257" s="0" t="str">
        <f aca="false">Python_Ref!B257</f>
        <v>k IR Curvature USD</v>
      </c>
      <c r="B257" s="0" t="n">
        <f aca="false">SIMM_Curvature!B50</f>
        <v>12248.0394442069</v>
      </c>
      <c r="C257" s="0" t="n">
        <f aca="false">Python_Ref!C257</f>
        <v>12248.0394442069</v>
      </c>
      <c r="D257" s="0" t="n">
        <f aca="false">IF(Python_Ref!D257="text",IF(B257=C257,0,1),IF(Python_Ref!D257="rel",ABS(B257-C257)/MAX(1,ABS(C257)),ABS(B257-C257)))</f>
        <v>0</v>
      </c>
      <c r="E257" s="0" t="n">
        <f aca="false">Python_Ref!E257</f>
        <v>1E-009</v>
      </c>
      <c r="F257" s="0" t="n">
        <f aca="false">IF(D257&lt;=E257,1,0)</f>
        <v>1</v>
      </c>
    </row>
    <row r="258" customFormat="false" ht="15" hidden="false" customHeight="false" outlineLevel="0" collapsed="false">
      <c r="A258" s="0" t="str">
        <f aca="false">Python_Ref!B258</f>
        <v>s IR Curvature USD</v>
      </c>
      <c r="B258" s="0" t="n">
        <f aca="false">SIMM_Curvature!B51</f>
        <v>12248.0394442069</v>
      </c>
      <c r="C258" s="0" t="n">
        <f aca="false">Python_Ref!C258</f>
        <v>12248.0394442069</v>
      </c>
      <c r="D258" s="0" t="n">
        <f aca="false">IF(Python_Ref!D258="text",IF(B258=C258,0,1),IF(Python_Ref!D258="rel",ABS(B258-C258)/MAX(1,ABS(C258)),ABS(B258-C258)))</f>
        <v>0</v>
      </c>
      <c r="E258" s="0" t="n">
        <f aca="false">Python_Ref!E258</f>
        <v>1E-009</v>
      </c>
      <c r="F258" s="0" t="n">
        <f aca="false">IF(D258&lt;=E258,1,0)</f>
        <v>1</v>
      </c>
    </row>
    <row r="259" customFormat="false" ht="15" hidden="false" customHeight="false" outlineLevel="0" collapsed="false">
      <c r="A259" s="0" t="str">
        <f aca="false">Python_Ref!B259</f>
        <v>k IR Curvature EUR</v>
      </c>
      <c r="B259" s="0" t="n">
        <f aca="false">SIMM_Curvature!B66</f>
        <v>10670.1606430939</v>
      </c>
      <c r="C259" s="0" t="n">
        <f aca="false">Python_Ref!C259</f>
        <v>10670.1606430939</v>
      </c>
      <c r="D259" s="0" t="n">
        <f aca="false">IF(Python_Ref!D259="text",IF(B259=C259,0,1),IF(Python_Ref!D259="rel",ABS(B259-C259)/MAX(1,ABS(C259)),ABS(B259-C259)))</f>
        <v>0</v>
      </c>
      <c r="E259" s="0" t="n">
        <f aca="false">Python_Ref!E259</f>
        <v>1E-009</v>
      </c>
      <c r="F259" s="0" t="n">
        <f aca="false">IF(D259&lt;=E259,1,0)</f>
        <v>1</v>
      </c>
    </row>
    <row r="260" customFormat="false" ht="15" hidden="false" customHeight="false" outlineLevel="0" collapsed="false">
      <c r="A260" s="0" t="str">
        <f aca="false">Python_Ref!B260</f>
        <v>s IR Curvature EUR</v>
      </c>
      <c r="B260" s="0" t="n">
        <f aca="false">SIMM_Curvature!B67</f>
        <v>10670.1606430939</v>
      </c>
      <c r="C260" s="0" t="n">
        <f aca="false">Python_Ref!C260</f>
        <v>10670.1606430939</v>
      </c>
      <c r="D260" s="0" t="n">
        <f aca="false">IF(Python_Ref!D260="text",IF(B260=C260,0,1),IF(Python_Ref!D260="rel",ABS(B260-C260)/MAX(1,ABS(C260)),ABS(B260-C260)))</f>
        <v>0</v>
      </c>
      <c r="E260" s="0" t="n">
        <f aca="false">Python_Ref!E260</f>
        <v>1E-009</v>
      </c>
      <c r="F260" s="0" t="n">
        <f aca="false">IF(D260&lt;=E260,1,0)</f>
        <v>1</v>
      </c>
    </row>
    <row r="261" customFormat="false" ht="15" hidden="false" customHeight="false" outlineLevel="0" collapsed="false">
      <c r="A261" s="0" t="str">
        <f aca="false">Python_Ref!B261</f>
        <v>k IR Curvature GBP</v>
      </c>
      <c r="B261" s="0" t="n">
        <f aca="false">SIMM_Curvature!B82</f>
        <v>3956.16269322761</v>
      </c>
      <c r="C261" s="0" t="n">
        <f aca="false">Python_Ref!C261</f>
        <v>3956.16269322761</v>
      </c>
      <c r="D261" s="0" t="n">
        <f aca="false">IF(Python_Ref!D261="text",IF(B261=C261,0,1),IF(Python_Ref!D261="rel",ABS(B261-C261)/MAX(1,ABS(C261)),ABS(B261-C261)))</f>
        <v>0</v>
      </c>
      <c r="E261" s="0" t="n">
        <f aca="false">Python_Ref!E261</f>
        <v>1E-009</v>
      </c>
      <c r="F261" s="0" t="n">
        <f aca="false">IF(D261&lt;=E261,1,0)</f>
        <v>1</v>
      </c>
    </row>
    <row r="262" customFormat="false" ht="15" hidden="false" customHeight="false" outlineLevel="0" collapsed="false">
      <c r="A262" s="0" t="str">
        <f aca="false">Python_Ref!B262</f>
        <v>s IR Curvature GBP</v>
      </c>
      <c r="B262" s="0" t="n">
        <f aca="false">SIMM_Curvature!B83</f>
        <v>-3956.16269322761</v>
      </c>
      <c r="C262" s="0" t="n">
        <f aca="false">Python_Ref!C262</f>
        <v>-3956.16269322761</v>
      </c>
      <c r="D262" s="0" t="n">
        <f aca="false">IF(Python_Ref!D262="text",IF(B262=C262,0,1),IF(Python_Ref!D262="rel",ABS(B262-C262)/MAX(1,ABS(C262)),ABS(B262-C262)))</f>
        <v>0</v>
      </c>
      <c r="E262" s="0" t="n">
        <f aca="false">Python_Ref!E262</f>
        <v>1E-009</v>
      </c>
      <c r="F262" s="0" t="n">
        <f aca="false">IF(D262&lt;=E262,1,0)</f>
        <v>1</v>
      </c>
    </row>
    <row r="263" customFormat="false" ht="15" hidden="false" customHeight="false" outlineLevel="0" collapsed="false">
      <c r="A263" s="0" t="str">
        <f aca="false">Python_Ref!B263</f>
        <v>k IR Curvature JPY</v>
      </c>
      <c r="B263" s="0" t="n">
        <f aca="false">SIMM_Curvature!B98</f>
        <v>0</v>
      </c>
      <c r="C263" s="0" t="n">
        <f aca="false">Python_Ref!C263</f>
        <v>0</v>
      </c>
      <c r="D263" s="0" t="n">
        <f aca="false">IF(Python_Ref!D263="text",IF(B263=C263,0,1),IF(Python_Ref!D263="rel",ABS(B263-C263)/MAX(1,ABS(C263)),ABS(B263-C263)))</f>
        <v>0</v>
      </c>
      <c r="E263" s="0" t="n">
        <f aca="false">Python_Ref!E263</f>
        <v>1E-009</v>
      </c>
      <c r="F263" s="0" t="n">
        <f aca="false">IF(D263&lt;=E263,1,0)</f>
        <v>1</v>
      </c>
    </row>
    <row r="264" customFormat="false" ht="15" hidden="false" customHeight="false" outlineLevel="0" collapsed="false">
      <c r="A264" s="0" t="str">
        <f aca="false">Python_Ref!B264</f>
        <v>s IR Curvature JPY</v>
      </c>
      <c r="B264" s="0" t="n">
        <f aca="false">SIMM_Curvature!B99</f>
        <v>0</v>
      </c>
      <c r="C264" s="0" t="n">
        <f aca="false">Python_Ref!C264</f>
        <v>0</v>
      </c>
      <c r="D264" s="0" t="n">
        <f aca="false">IF(Python_Ref!D264="text",IF(B264=C264,0,1),IF(Python_Ref!D264="rel",ABS(B264-C264)/MAX(1,ABS(C264)),ABS(B264-C264)))</f>
        <v>0</v>
      </c>
      <c r="E264" s="0" t="n">
        <f aca="false">Python_Ref!E264</f>
        <v>1E-009</v>
      </c>
      <c r="F264" s="0" t="n">
        <f aca="false">IF(D264&lt;=E264,1,0)</f>
        <v>1</v>
      </c>
    </row>
    <row r="265" customFormat="false" ht="15" hidden="false" customHeight="false" outlineLevel="0" collapsed="false">
      <c r="A265" s="0" t="str">
        <f aca="false">Python_Ref!B265</f>
        <v>k IR Curvature MXN</v>
      </c>
      <c r="B265" s="0" t="n">
        <f aca="false">SIMM_Curvature!B114</f>
        <v>0</v>
      </c>
      <c r="C265" s="0" t="n">
        <f aca="false">Python_Ref!C265</f>
        <v>0</v>
      </c>
      <c r="D265" s="0" t="n">
        <f aca="false">IF(Python_Ref!D265="text",IF(B265=C265,0,1),IF(Python_Ref!D265="rel",ABS(B265-C265)/MAX(1,ABS(C265)),ABS(B265-C265)))</f>
        <v>0</v>
      </c>
      <c r="E265" s="0" t="n">
        <f aca="false">Python_Ref!E265</f>
        <v>1E-009</v>
      </c>
      <c r="F265" s="0" t="n">
        <f aca="false">IF(D265&lt;=E265,1,0)</f>
        <v>1</v>
      </c>
    </row>
    <row r="266" customFormat="false" ht="15" hidden="false" customHeight="false" outlineLevel="0" collapsed="false">
      <c r="A266" s="0" t="str">
        <f aca="false">Python_Ref!B266</f>
        <v>s IR Curvature MXN</v>
      </c>
      <c r="B266" s="0" t="n">
        <f aca="false">SIMM_Curvature!B115</f>
        <v>0</v>
      </c>
      <c r="C266" s="0" t="n">
        <f aca="false">Python_Ref!C266</f>
        <v>0</v>
      </c>
      <c r="D266" s="0" t="n">
        <f aca="false">IF(Python_Ref!D266="text",IF(B266=C266,0,1),IF(Python_Ref!D266="rel",ABS(B266-C266)/MAX(1,ABS(C266)),ABS(B266-C266)))</f>
        <v>0</v>
      </c>
      <c r="E266" s="0" t="n">
        <f aca="false">Python_Ref!E266</f>
        <v>1E-009</v>
      </c>
      <c r="F266" s="0" t="n">
        <f aca="false">IF(D266&lt;=E266,1,0)</f>
        <v>1</v>
      </c>
    </row>
    <row r="267" customFormat="false" ht="15" hidden="false" customHeight="false" outlineLevel="0" collapsed="false">
      <c r="A267" s="0" t="str">
        <f aca="false">Python_Ref!B267</f>
        <v>margin IR Curvature</v>
      </c>
      <c r="B267" s="0" t="n">
        <f aca="false">SIMM_Curvature!B139</f>
        <v>209933.787737353</v>
      </c>
      <c r="C267" s="0" t="n">
        <f aca="false">Python_Ref!C267</f>
        <v>209933.787737354</v>
      </c>
      <c r="D267" s="0" t="n">
        <f aca="false">IF(Python_Ref!D267="text",IF(B267=C267,0,1),IF(Python_Ref!D267="rel",ABS(B267-C267)/MAX(1,ABS(C267)),ABS(B267-C267)))</f>
        <v>0</v>
      </c>
      <c r="E267" s="0" t="n">
        <f aca="false">Python_Ref!E267</f>
        <v>1E-009</v>
      </c>
      <c r="F267" s="0" t="n">
        <f aca="false">IF(D267&lt;=E267,1,0)</f>
        <v>1</v>
      </c>
    </row>
    <row r="268" customFormat="false" ht="15" hidden="false" customHeight="false" outlineLevel="0" collapsed="false">
      <c r="A268" s="0" t="str">
        <f aca="false">Python_Ref!B268</f>
        <v>c FX EURUSD</v>
      </c>
      <c r="B268" s="0" t="n">
        <f aca="false">SIMM_Curvature!B145</f>
        <v>737.534941163706</v>
      </c>
      <c r="C268" s="0" t="n">
        <f aca="false">Python_Ref!C268</f>
        <v>737.534941163706</v>
      </c>
      <c r="D268" s="0" t="n">
        <f aca="false">IF(Python_Ref!D268="text",IF(B268=C268,0,1),IF(Python_Ref!D268="rel",ABS(B268-C268)/MAX(1,ABS(C268)),ABS(B268-C268)))</f>
        <v>0</v>
      </c>
      <c r="E268" s="0" t="n">
        <f aca="false">Python_Ref!E268</f>
        <v>1E-009</v>
      </c>
      <c r="F268" s="0" t="n">
        <f aca="false">IF(D268&lt;=E268,1,0)</f>
        <v>1</v>
      </c>
    </row>
    <row r="269" customFormat="false" ht="15" hidden="false" customHeight="false" outlineLevel="0" collapsed="false">
      <c r="A269" s="0" t="str">
        <f aca="false">Python_Ref!B269</f>
        <v>c FX GBPUSD</v>
      </c>
      <c r="B269" s="0" t="n">
        <f aca="false">SIMM_Curvature!B146</f>
        <v>65523.4028509084</v>
      </c>
      <c r="C269" s="0" t="n">
        <f aca="false">Python_Ref!C269</f>
        <v>65523.4028509084</v>
      </c>
      <c r="D269" s="0" t="n">
        <f aca="false">IF(Python_Ref!D269="text",IF(B269=C269,0,1),IF(Python_Ref!D269="rel",ABS(B269-C269)/MAX(1,ABS(C269)),ABS(B269-C269)))</f>
        <v>0</v>
      </c>
      <c r="E269" s="0" t="n">
        <f aca="false">Python_Ref!E269</f>
        <v>1E-009</v>
      </c>
      <c r="F269" s="0" t="n">
        <f aca="false">IF(D269&lt;=E269,1,0)</f>
        <v>1</v>
      </c>
    </row>
    <row r="270" customFormat="false" ht="15" hidden="false" customHeight="false" outlineLevel="0" collapsed="false">
      <c r="A270" s="0" t="str">
        <f aca="false">Python_Ref!B270</f>
        <v>c FX USDJPY</v>
      </c>
      <c r="B270" s="0" t="n">
        <f aca="false">SIMM_Curvature!B147</f>
        <v>0</v>
      </c>
      <c r="C270" s="0" t="n">
        <f aca="false">Python_Ref!C270</f>
        <v>0</v>
      </c>
      <c r="D270" s="0" t="n">
        <f aca="false">IF(Python_Ref!D270="text",IF(B270=C270,0,1),IF(Python_Ref!D270="rel",ABS(B270-C270)/MAX(1,ABS(C270)),ABS(B270-C270)))</f>
        <v>0</v>
      </c>
      <c r="E270" s="0" t="n">
        <f aca="false">Python_Ref!E270</f>
        <v>1E-009</v>
      </c>
      <c r="F270" s="0" t="n">
        <f aca="false">IF(D270&lt;=E270,1,0)</f>
        <v>1</v>
      </c>
    </row>
    <row r="271" customFormat="false" ht="15" hidden="false" customHeight="false" outlineLevel="0" collapsed="false">
      <c r="A271" s="0" t="str">
        <f aca="false">Python_Ref!B271</f>
        <v>c FX USDMXN</v>
      </c>
      <c r="B271" s="0" t="n">
        <f aca="false">SIMM_Curvature!B148</f>
        <v>9331.03599411952</v>
      </c>
      <c r="C271" s="0" t="n">
        <f aca="false">Python_Ref!C271</f>
        <v>9331.03599411952</v>
      </c>
      <c r="D271" s="0" t="n">
        <f aca="false">IF(Python_Ref!D271="text",IF(B271=C271,0,1),IF(Python_Ref!D271="rel",ABS(B271-C271)/MAX(1,ABS(C271)),ABS(B271-C271)))</f>
        <v>0</v>
      </c>
      <c r="E271" s="0" t="n">
        <f aca="false">Python_Ref!E271</f>
        <v>1E-009</v>
      </c>
      <c r="F271" s="0" t="n">
        <f aca="false">IF(D271&lt;=E271,1,0)</f>
        <v>1</v>
      </c>
    </row>
    <row r="272" customFormat="false" ht="15" hidden="false" customHeight="false" outlineLevel="0" collapsed="false">
      <c r="A272" s="0" t="str">
        <f aca="false">Python_Ref!B272</f>
        <v>theta FX</v>
      </c>
      <c r="B272" s="0" t="n">
        <f aca="false">SIMM_Curvature!B151</f>
        <v>0</v>
      </c>
      <c r="C272" s="0" t="n">
        <f aca="false">Python_Ref!C272</f>
        <v>0</v>
      </c>
      <c r="D272" s="0" t="n">
        <f aca="false">IF(Python_Ref!D272="text",IF(B272=C272,0,1),IF(Python_Ref!D272="rel",ABS(B272-C272)/MAX(1,ABS(C272)),ABS(B272-C272)))</f>
        <v>0</v>
      </c>
      <c r="E272" s="0" t="n">
        <f aca="false">Python_Ref!E272</f>
        <v>1E-009</v>
      </c>
      <c r="F272" s="0" t="n">
        <f aca="false">IF(D272&lt;=E272,1,0)</f>
        <v>1</v>
      </c>
    </row>
    <row r="273" customFormat="false" ht="15" hidden="false" customHeight="false" outlineLevel="0" collapsed="false">
      <c r="A273" s="0" t="str">
        <f aca="false">Python_Ref!B273</f>
        <v>lambda FX</v>
      </c>
      <c r="B273" s="0" t="n">
        <f aca="false">SIMM_Curvature!B152</f>
        <v>5.63489660102121</v>
      </c>
      <c r="C273" s="0" t="n">
        <f aca="false">Python_Ref!C273</f>
        <v>5.63489660102121</v>
      </c>
      <c r="D273" s="0" t="n">
        <f aca="false">IF(Python_Ref!D273="text",IF(B273=C273,0,1),IF(Python_Ref!D273="rel",ABS(B273-C273)/MAX(1,ABS(C273)),ABS(B273-C273)))</f>
        <v>0</v>
      </c>
      <c r="E273" s="0" t="n">
        <f aca="false">Python_Ref!E273</f>
        <v>1E-009</v>
      </c>
      <c r="F273" s="0" t="n">
        <f aca="false">IF(D273&lt;=E273,1,0)</f>
        <v>1</v>
      </c>
    </row>
    <row r="274" customFormat="false" ht="15" hidden="false" customHeight="false" outlineLevel="0" collapsed="false">
      <c r="A274" s="0" t="str">
        <f aca="false">Python_Ref!B274</f>
        <v>k FX Curvature</v>
      </c>
      <c r="B274" s="0" t="n">
        <f aca="false">SIMM_Curvature!B153</f>
        <v>68660.2724213911</v>
      </c>
      <c r="C274" s="0" t="n">
        <f aca="false">Python_Ref!C274</f>
        <v>68660.2724213911</v>
      </c>
      <c r="D274" s="0" t="n">
        <f aca="false">IF(Python_Ref!D274="text",IF(B274=C274,0,1),IF(Python_Ref!D274="rel",ABS(B274-C274)/MAX(1,ABS(C274)),ABS(B274-C274)))</f>
        <v>0</v>
      </c>
      <c r="E274" s="0" t="n">
        <f aca="false">Python_Ref!E274</f>
        <v>1E-009</v>
      </c>
      <c r="F274" s="0" t="n">
        <f aca="false">IF(D274&lt;=E274,1,0)</f>
        <v>1</v>
      </c>
    </row>
    <row r="275" customFormat="false" ht="15" hidden="false" customHeight="false" outlineLevel="0" collapsed="false">
      <c r="A275" s="0" t="str">
        <f aca="false">Python_Ref!B275</f>
        <v>margin FX Curvature</v>
      </c>
      <c r="B275" s="0" t="n">
        <f aca="false">SIMM_Curvature!B154</f>
        <v>462485.509478679</v>
      </c>
      <c r="C275" s="0" t="n">
        <f aca="false">Python_Ref!C275</f>
        <v>462485.509478679</v>
      </c>
      <c r="D275" s="0" t="n">
        <f aca="false">IF(Python_Ref!D275="text",IF(B275=C275,0,1),IF(Python_Ref!D275="rel",ABS(B275-C275)/MAX(1,ABS(C275)),ABS(B275-C275)))</f>
        <v>0</v>
      </c>
      <c r="E275" s="0" t="n">
        <f aca="false">Python_Ref!E275</f>
        <v>1E-009</v>
      </c>
      <c r="F275" s="0" t="n">
        <f aca="false">IF(D275&lt;=E275,1,0)</f>
        <v>1</v>
      </c>
    </row>
    <row r="276" customFormat="false" ht="15" hidden="false" customHeight="false" outlineLevel="0" collapsed="false">
      <c r="A276" s="0" t="str">
        <f aca="false">Python_Ref!B276</f>
        <v>im IR</v>
      </c>
      <c r="B276" s="0" t="n">
        <f aca="false">SIMM_Total!B7</f>
        <v>2368655.42190476</v>
      </c>
      <c r="C276" s="0" t="n">
        <f aca="false">Python_Ref!C276</f>
        <v>2368655.42190476</v>
      </c>
      <c r="D276" s="0" t="n">
        <f aca="false">IF(Python_Ref!D276="text",IF(B276=C276,0,1),IF(Python_Ref!D276="rel",ABS(B276-C276)/MAX(1,ABS(C276)),ABS(B276-C276)))</f>
        <v>0</v>
      </c>
      <c r="E276" s="0" t="n">
        <f aca="false">Python_Ref!E276</f>
        <v>0.01</v>
      </c>
      <c r="F276" s="0" t="n">
        <f aca="false">IF(D276&lt;=E276,1,0)</f>
        <v>1</v>
      </c>
    </row>
    <row r="277" customFormat="false" ht="15" hidden="false" customHeight="false" outlineLevel="0" collapsed="false">
      <c r="A277" s="0" t="str">
        <f aca="false">Python_Ref!B277</f>
        <v>im FX</v>
      </c>
      <c r="B277" s="0" t="n">
        <f aca="false">SIMM_Total!C7</f>
        <v>4583372.86975386</v>
      </c>
      <c r="C277" s="0" t="n">
        <f aca="false">Python_Ref!C277</f>
        <v>4583372.86975386</v>
      </c>
      <c r="D277" s="0" t="n">
        <f aca="false">IF(Python_Ref!D277="text",IF(B277=C277,0,1),IF(Python_Ref!D277="rel",ABS(B277-C277)/MAX(1,ABS(C277)),ABS(B277-C277)))</f>
        <v>0</v>
      </c>
      <c r="E277" s="0" t="n">
        <f aca="false">Python_Ref!E277</f>
        <v>0.01</v>
      </c>
      <c r="F277" s="0" t="n">
        <f aca="false">IF(D277&lt;=E277,1,0)</f>
        <v>1</v>
      </c>
    </row>
    <row r="278" customFormat="false" ht="15" hidden="false" customHeight="false" outlineLevel="0" collapsed="false">
      <c r="A278" s="0" t="str">
        <f aca="false">Python_Ref!B278</f>
        <v>total</v>
      </c>
      <c r="B278" s="0" t="n">
        <f aca="false">SIMM_Total!B10</f>
        <v>5465781.24978311</v>
      </c>
      <c r="C278" s="0" t="n">
        <f aca="false">Python_Ref!C278</f>
        <v>5465781.24978311</v>
      </c>
      <c r="D278" s="0" t="n">
        <f aca="false">IF(Python_Ref!D278="text",IF(B278=C278,0,1),IF(Python_Ref!D278="rel",ABS(B278-C278)/MAX(1,ABS(C278)),ABS(B278-C278)))</f>
        <v>0</v>
      </c>
      <c r="E278" s="0" t="n">
        <f aca="false">Python_Ref!E278</f>
        <v>0.01</v>
      </c>
      <c r="F278" s="0" t="n">
        <f aca="false">IF(D278&lt;=E278,1,0)</f>
        <v>1</v>
      </c>
    </row>
    <row r="279" customFormat="false" ht="15" hidden="false" customHeight="false" outlineLevel="0" collapsed="false">
      <c r="A279" s="0" t="str">
        <f aca="false">Python_Ref!B279</f>
        <v>sched rate IRS_USD_2Y</v>
      </c>
      <c r="B279" s="0" t="n">
        <f aca="false">Schedule_IM!F7</f>
        <v>0.02</v>
      </c>
      <c r="C279" s="0" t="n">
        <f aca="false">Python_Ref!C279</f>
        <v>0.02</v>
      </c>
      <c r="D279" s="0" t="n">
        <f aca="false">IF(Python_Ref!D279="text",IF(B279=C279,0,1),IF(Python_Ref!D279="rel",ABS(B279-C279)/MAX(1,ABS(C279)),ABS(B279-C279)))</f>
        <v>0</v>
      </c>
      <c r="E279" s="0" t="n">
        <f aca="false">Python_Ref!E279</f>
        <v>1E-009</v>
      </c>
      <c r="F279" s="0" t="n">
        <f aca="false">IF(D279&lt;=E279,1,0)</f>
        <v>1</v>
      </c>
    </row>
    <row r="280" customFormat="false" ht="15" hidden="false" customHeight="false" outlineLevel="0" collapsed="false">
      <c r="A280" s="0" t="str">
        <f aca="false">Python_Ref!B280</f>
        <v>sched gross_im IRS_USD_2Y</v>
      </c>
      <c r="B280" s="0" t="n">
        <f aca="false">Schedule_IM!G7</f>
        <v>1200000</v>
      </c>
      <c r="C280" s="0" t="n">
        <f aca="false">Python_Ref!C280</f>
        <v>1200000</v>
      </c>
      <c r="D280" s="0" t="n">
        <f aca="false">IF(Python_Ref!D280="text",IF(B280=C280,0,1),IF(Python_Ref!D280="rel",ABS(B280-C280)/MAX(1,ABS(C280)),ABS(B280-C280)))</f>
        <v>0</v>
      </c>
      <c r="E280" s="0" t="n">
        <f aca="false">Python_Ref!E280</f>
        <v>1E-009</v>
      </c>
      <c r="F280" s="0" t="n">
        <f aca="false">IF(D280&lt;=E280,1,0)</f>
        <v>1</v>
      </c>
    </row>
    <row r="281" customFormat="false" ht="15" hidden="false" customHeight="false" outlineLevel="0" collapsed="false">
      <c r="A281" s="0" t="str">
        <f aca="false">Python_Ref!B281</f>
        <v>sched rate IRS_USD_5Y</v>
      </c>
      <c r="B281" s="0" t="n">
        <f aca="false">Schedule_IM!F8</f>
        <v>0.04</v>
      </c>
      <c r="C281" s="0" t="n">
        <f aca="false">Python_Ref!C281</f>
        <v>0.04</v>
      </c>
      <c r="D281" s="0" t="n">
        <f aca="false">IF(Python_Ref!D281="text",IF(B281=C281,0,1),IF(Python_Ref!D281="rel",ABS(B281-C281)/MAX(1,ABS(C281)),ABS(B281-C281)))</f>
        <v>0</v>
      </c>
      <c r="E281" s="0" t="n">
        <f aca="false">Python_Ref!E281</f>
        <v>1E-009</v>
      </c>
      <c r="F281" s="0" t="n">
        <f aca="false">IF(D281&lt;=E281,1,0)</f>
        <v>1</v>
      </c>
    </row>
    <row r="282" customFormat="false" ht="15" hidden="false" customHeight="false" outlineLevel="0" collapsed="false">
      <c r="A282" s="0" t="str">
        <f aca="false">Python_Ref!B282</f>
        <v>sched gross_im IRS_USD_5Y</v>
      </c>
      <c r="B282" s="0" t="n">
        <f aca="false">Schedule_IM!G8</f>
        <v>1600000</v>
      </c>
      <c r="C282" s="0" t="n">
        <f aca="false">Python_Ref!C282</f>
        <v>1600000</v>
      </c>
      <c r="D282" s="0" t="n">
        <f aca="false">IF(Python_Ref!D282="text",IF(B282=C282,0,1),IF(Python_Ref!D282="rel",ABS(B282-C282)/MAX(1,ABS(C282)),ABS(B282-C282)))</f>
        <v>0</v>
      </c>
      <c r="E282" s="0" t="n">
        <f aca="false">Python_Ref!E282</f>
        <v>1E-009</v>
      </c>
      <c r="F282" s="0" t="n">
        <f aca="false">IF(D282&lt;=E282,1,0)</f>
        <v>1</v>
      </c>
    </row>
    <row r="283" customFormat="false" ht="15" hidden="false" customHeight="false" outlineLevel="0" collapsed="false">
      <c r="A283" s="0" t="str">
        <f aca="false">Python_Ref!B283</f>
        <v>sched rate IRS_USD_10Y</v>
      </c>
      <c r="B283" s="0" t="n">
        <f aca="false">Schedule_IM!F9</f>
        <v>0.04</v>
      </c>
      <c r="C283" s="0" t="n">
        <f aca="false">Python_Ref!C283</f>
        <v>0.04</v>
      </c>
      <c r="D283" s="0" t="n">
        <f aca="false">IF(Python_Ref!D283="text",IF(B283=C283,0,1),IF(Python_Ref!D283="rel",ABS(B283-C283)/MAX(1,ABS(C283)),ABS(B283-C283)))</f>
        <v>0</v>
      </c>
      <c r="E283" s="0" t="n">
        <f aca="false">Python_Ref!E283</f>
        <v>1E-009</v>
      </c>
      <c r="F283" s="0" t="n">
        <f aca="false">IF(D283&lt;=E283,1,0)</f>
        <v>1</v>
      </c>
    </row>
    <row r="284" customFormat="false" ht="15" hidden="false" customHeight="false" outlineLevel="0" collapsed="false">
      <c r="A284" s="0" t="str">
        <f aca="false">Python_Ref!B284</f>
        <v>sched gross_im IRS_USD_10Y</v>
      </c>
      <c r="B284" s="0" t="n">
        <f aca="false">Schedule_IM!G9</f>
        <v>1000000</v>
      </c>
      <c r="C284" s="0" t="n">
        <f aca="false">Python_Ref!C284</f>
        <v>1000000</v>
      </c>
      <c r="D284" s="0" t="n">
        <f aca="false">IF(Python_Ref!D284="text",IF(B284=C284,0,1),IF(Python_Ref!D284="rel",ABS(B284-C284)/MAX(1,ABS(C284)),ABS(B284-C284)))</f>
        <v>0</v>
      </c>
      <c r="E284" s="0" t="n">
        <f aca="false">Python_Ref!E284</f>
        <v>1E-009</v>
      </c>
      <c r="F284" s="0" t="n">
        <f aca="false">IF(D284&lt;=E284,1,0)</f>
        <v>1</v>
      </c>
    </row>
    <row r="285" customFormat="false" ht="15" hidden="false" customHeight="false" outlineLevel="0" collapsed="false">
      <c r="A285" s="0" t="str">
        <f aca="false">Python_Ref!B285</f>
        <v>sched rate IRS_USD_30Y</v>
      </c>
      <c r="B285" s="0" t="n">
        <f aca="false">Schedule_IM!F10</f>
        <v>0.04</v>
      </c>
      <c r="C285" s="0" t="n">
        <f aca="false">Python_Ref!C285</f>
        <v>0.04</v>
      </c>
      <c r="D285" s="0" t="n">
        <f aca="false">IF(Python_Ref!D285="text",IF(B285=C285,0,1),IF(Python_Ref!D285="rel",ABS(B285-C285)/MAX(1,ABS(C285)),ABS(B285-C285)))</f>
        <v>0</v>
      </c>
      <c r="E285" s="0" t="n">
        <f aca="false">Python_Ref!E285</f>
        <v>1E-009</v>
      </c>
      <c r="F285" s="0" t="n">
        <f aca="false">IF(D285&lt;=E285,1,0)</f>
        <v>1</v>
      </c>
    </row>
    <row r="286" customFormat="false" ht="15" hidden="false" customHeight="false" outlineLevel="0" collapsed="false">
      <c r="A286" s="0" t="str">
        <f aca="false">Python_Ref!B286</f>
        <v>sched gross_im IRS_USD_30Y</v>
      </c>
      <c r="B286" s="0" t="n">
        <f aca="false">Schedule_IM!G10</f>
        <v>400000</v>
      </c>
      <c r="C286" s="0" t="n">
        <f aca="false">Python_Ref!C286</f>
        <v>400000</v>
      </c>
      <c r="D286" s="0" t="n">
        <f aca="false">IF(Python_Ref!D286="text",IF(B286=C286,0,1),IF(Python_Ref!D286="rel",ABS(B286-C286)/MAX(1,ABS(C286)),ABS(B286-C286)))</f>
        <v>0</v>
      </c>
      <c r="E286" s="0" t="n">
        <f aca="false">Python_Ref!E286</f>
        <v>1E-009</v>
      </c>
      <c r="F286" s="0" t="n">
        <f aca="false">IF(D286&lt;=E286,1,0)</f>
        <v>1</v>
      </c>
    </row>
    <row r="287" customFormat="false" ht="15" hidden="false" customHeight="false" outlineLevel="0" collapsed="false">
      <c r="A287" s="0" t="str">
        <f aca="false">Python_Ref!B287</f>
        <v>sched rate IRS_EUR_5Y</v>
      </c>
      <c r="B287" s="0" t="n">
        <f aca="false">Schedule_IM!F11</f>
        <v>0.04</v>
      </c>
      <c r="C287" s="0" t="n">
        <f aca="false">Python_Ref!C287</f>
        <v>0.04</v>
      </c>
      <c r="D287" s="0" t="n">
        <f aca="false">IF(Python_Ref!D287="text",IF(B287=C287,0,1),IF(Python_Ref!D287="rel",ABS(B287-C287)/MAX(1,ABS(C287)),ABS(B287-C287)))</f>
        <v>0</v>
      </c>
      <c r="E287" s="0" t="n">
        <f aca="false">Python_Ref!E287</f>
        <v>1E-009</v>
      </c>
      <c r="F287" s="0" t="n">
        <f aca="false">IF(D287&lt;=E287,1,0)</f>
        <v>1</v>
      </c>
    </row>
    <row r="288" customFormat="false" ht="15" hidden="false" customHeight="false" outlineLevel="0" collapsed="false">
      <c r="A288" s="0" t="str">
        <f aca="false">Python_Ref!B288</f>
        <v>sched gross_im IRS_EUR_5Y</v>
      </c>
      <c r="B288" s="0" t="n">
        <f aca="false">Schedule_IM!G11</f>
        <v>1296000</v>
      </c>
      <c r="C288" s="0" t="n">
        <f aca="false">Python_Ref!C288</f>
        <v>1296000</v>
      </c>
      <c r="D288" s="0" t="n">
        <f aca="false">IF(Python_Ref!D288="text",IF(B288=C288,0,1),IF(Python_Ref!D288="rel",ABS(B288-C288)/MAX(1,ABS(C288)),ABS(B288-C288)))</f>
        <v>0</v>
      </c>
      <c r="E288" s="0" t="n">
        <f aca="false">Python_Ref!E288</f>
        <v>1E-009</v>
      </c>
      <c r="F288" s="0" t="n">
        <f aca="false">IF(D288&lt;=E288,1,0)</f>
        <v>1</v>
      </c>
    </row>
    <row r="289" customFormat="false" ht="15" hidden="false" customHeight="false" outlineLevel="0" collapsed="false">
      <c r="A289" s="0" t="str">
        <f aca="false">Python_Ref!B289</f>
        <v>sched rate IRS_EUR_10Y</v>
      </c>
      <c r="B289" s="0" t="n">
        <f aca="false">Schedule_IM!F12</f>
        <v>0.04</v>
      </c>
      <c r="C289" s="0" t="n">
        <f aca="false">Python_Ref!C289</f>
        <v>0.04</v>
      </c>
      <c r="D289" s="0" t="n">
        <f aca="false">IF(Python_Ref!D289="text",IF(B289=C289,0,1),IF(Python_Ref!D289="rel",ABS(B289-C289)/MAX(1,ABS(C289)),ABS(B289-C289)))</f>
        <v>0</v>
      </c>
      <c r="E289" s="0" t="n">
        <f aca="false">Python_Ref!E289</f>
        <v>1E-009</v>
      </c>
      <c r="F289" s="0" t="n">
        <f aca="false">IF(D289&lt;=E289,1,0)</f>
        <v>1</v>
      </c>
    </row>
    <row r="290" customFormat="false" ht="15" hidden="false" customHeight="false" outlineLevel="0" collapsed="false">
      <c r="A290" s="0" t="str">
        <f aca="false">Python_Ref!B290</f>
        <v>sched gross_im IRS_EUR_10Y</v>
      </c>
      <c r="B290" s="0" t="n">
        <f aca="false">Schedule_IM!G12</f>
        <v>864000</v>
      </c>
      <c r="C290" s="0" t="n">
        <f aca="false">Python_Ref!C290</f>
        <v>864000</v>
      </c>
      <c r="D290" s="0" t="n">
        <f aca="false">IF(Python_Ref!D290="text",IF(B290=C290,0,1),IF(Python_Ref!D290="rel",ABS(B290-C290)/MAX(1,ABS(C290)),ABS(B290-C290)))</f>
        <v>0</v>
      </c>
      <c r="E290" s="0" t="n">
        <f aca="false">Python_Ref!E290</f>
        <v>1E-009</v>
      </c>
      <c r="F290" s="0" t="n">
        <f aca="false">IF(D290&lt;=E290,1,0)</f>
        <v>1</v>
      </c>
    </row>
    <row r="291" customFormat="false" ht="15" hidden="false" customHeight="false" outlineLevel="0" collapsed="false">
      <c r="A291" s="0" t="str">
        <f aca="false">Python_Ref!B291</f>
        <v>sched rate IRS_GBP_7Y</v>
      </c>
      <c r="B291" s="0" t="n">
        <f aca="false">Schedule_IM!F13</f>
        <v>0.04</v>
      </c>
      <c r="C291" s="0" t="n">
        <f aca="false">Python_Ref!C291</f>
        <v>0.04</v>
      </c>
      <c r="D291" s="0" t="n">
        <f aca="false">IF(Python_Ref!D291="text",IF(B291=C291,0,1),IF(Python_Ref!D291="rel",ABS(B291-C291)/MAX(1,ABS(C291)),ABS(B291-C291)))</f>
        <v>0</v>
      </c>
      <c r="E291" s="0" t="n">
        <f aca="false">Python_Ref!E291</f>
        <v>1E-009</v>
      </c>
      <c r="F291" s="0" t="n">
        <f aca="false">IF(D291&lt;=E291,1,0)</f>
        <v>1</v>
      </c>
    </row>
    <row r="292" customFormat="false" ht="15" hidden="false" customHeight="false" outlineLevel="0" collapsed="false">
      <c r="A292" s="0" t="str">
        <f aca="false">Python_Ref!B292</f>
        <v>sched gross_im IRS_GBP_7Y</v>
      </c>
      <c r="B292" s="0" t="n">
        <f aca="false">Schedule_IM!G13</f>
        <v>1270000</v>
      </c>
      <c r="C292" s="0" t="n">
        <f aca="false">Python_Ref!C292</f>
        <v>1270000</v>
      </c>
      <c r="D292" s="0" t="n">
        <f aca="false">IF(Python_Ref!D292="text",IF(B292=C292,0,1),IF(Python_Ref!D292="rel",ABS(B292-C292)/MAX(1,ABS(C292)),ABS(B292-C292)))</f>
        <v>0</v>
      </c>
      <c r="E292" s="0" t="n">
        <f aca="false">Python_Ref!E292</f>
        <v>1E-009</v>
      </c>
      <c r="F292" s="0" t="n">
        <f aca="false">IF(D292&lt;=E292,1,0)</f>
        <v>1</v>
      </c>
    </row>
    <row r="293" customFormat="false" ht="15" hidden="false" customHeight="false" outlineLevel="0" collapsed="false">
      <c r="A293" s="0" t="str">
        <f aca="false">Python_Ref!B293</f>
        <v>sched rate IRS_JPY_10Y</v>
      </c>
      <c r="B293" s="0" t="n">
        <f aca="false">Schedule_IM!F14</f>
        <v>0.04</v>
      </c>
      <c r="C293" s="0" t="n">
        <f aca="false">Python_Ref!C293</f>
        <v>0.04</v>
      </c>
      <c r="D293" s="0" t="n">
        <f aca="false">IF(Python_Ref!D293="text",IF(B293=C293,0,1),IF(Python_Ref!D293="rel",ABS(B293-C293)/MAX(1,ABS(C293)),ABS(B293-C293)))</f>
        <v>0</v>
      </c>
      <c r="E293" s="0" t="n">
        <f aca="false">Python_Ref!E293</f>
        <v>1E-009</v>
      </c>
      <c r="F293" s="0" t="n">
        <f aca="false">IF(D293&lt;=E293,1,0)</f>
        <v>1</v>
      </c>
    </row>
    <row r="294" customFormat="false" ht="15" hidden="false" customHeight="false" outlineLevel="0" collapsed="false">
      <c r="A294" s="0" t="str">
        <f aca="false">Python_Ref!B294</f>
        <v>sched gross_im IRS_JPY_10Y</v>
      </c>
      <c r="B294" s="0" t="n">
        <f aca="false">Schedule_IM!G14</f>
        <v>1081081.08108108</v>
      </c>
      <c r="C294" s="0" t="n">
        <f aca="false">Python_Ref!C294</f>
        <v>1081081.08108108</v>
      </c>
      <c r="D294" s="0" t="n">
        <f aca="false">IF(Python_Ref!D294="text",IF(B294=C294,0,1),IF(Python_Ref!D294="rel",ABS(B294-C294)/MAX(1,ABS(C294)),ABS(B294-C294)))</f>
        <v>0</v>
      </c>
      <c r="E294" s="0" t="n">
        <f aca="false">Python_Ref!E294</f>
        <v>1E-009</v>
      </c>
      <c r="F294" s="0" t="n">
        <f aca="false">IF(D294&lt;=E294,1,0)</f>
        <v>1</v>
      </c>
    </row>
    <row r="295" customFormat="false" ht="15" hidden="false" customHeight="false" outlineLevel="0" collapsed="false">
      <c r="A295" s="0" t="str">
        <f aca="false">Python_Ref!B295</f>
        <v>sched rate IRS_MXN_3Y</v>
      </c>
      <c r="B295" s="0" t="n">
        <f aca="false">Schedule_IM!F15</f>
        <v>0.02</v>
      </c>
      <c r="C295" s="0" t="n">
        <f aca="false">Python_Ref!C295</f>
        <v>0.02</v>
      </c>
      <c r="D295" s="0" t="n">
        <f aca="false">IF(Python_Ref!D295="text",IF(B295=C295,0,1),IF(Python_Ref!D295="rel",ABS(B295-C295)/MAX(1,ABS(C295)),ABS(B295-C295)))</f>
        <v>0</v>
      </c>
      <c r="E295" s="0" t="n">
        <f aca="false">Python_Ref!E295</f>
        <v>1E-009</v>
      </c>
      <c r="F295" s="0" t="n">
        <f aca="false">IF(D295&lt;=E295,1,0)</f>
        <v>1</v>
      </c>
    </row>
    <row r="296" customFormat="false" ht="15" hidden="false" customHeight="false" outlineLevel="0" collapsed="false">
      <c r="A296" s="0" t="str">
        <f aca="false">Python_Ref!B296</f>
        <v>sched gross_im IRS_MXN_3Y</v>
      </c>
      <c r="B296" s="0" t="n">
        <f aca="false">Schedule_IM!G15</f>
        <v>555555.555555556</v>
      </c>
      <c r="C296" s="0" t="n">
        <f aca="false">Python_Ref!C296</f>
        <v>555555.555555556</v>
      </c>
      <c r="D296" s="0" t="n">
        <f aca="false">IF(Python_Ref!D296="text",IF(B296=C296,0,1),IF(Python_Ref!D296="rel",ABS(B296-C296)/MAX(1,ABS(C296)),ABS(B296-C296)))</f>
        <v>0</v>
      </c>
      <c r="E296" s="0" t="n">
        <f aca="false">Python_Ref!E296</f>
        <v>1E-009</v>
      </c>
      <c r="F296" s="0" t="n">
        <f aca="false">IF(D296&lt;=E296,1,0)</f>
        <v>1</v>
      </c>
    </row>
    <row r="297" customFormat="false" ht="15" hidden="false" customHeight="false" outlineLevel="0" collapsed="false">
      <c r="A297" s="0" t="str">
        <f aca="false">Python_Ref!B297</f>
        <v>sched rate SWPT_USD_1Yx5Y</v>
      </c>
      <c r="B297" s="0" t="n">
        <f aca="false">Schedule_IM!F16</f>
        <v>0.04</v>
      </c>
      <c r="C297" s="0" t="n">
        <f aca="false">Python_Ref!C297</f>
        <v>0.04</v>
      </c>
      <c r="D297" s="0" t="n">
        <f aca="false">IF(Python_Ref!D297="text",IF(B297=C297,0,1),IF(Python_Ref!D297="rel",ABS(B297-C297)/MAX(1,ABS(C297)),ABS(B297-C297)))</f>
        <v>0</v>
      </c>
      <c r="E297" s="0" t="n">
        <f aca="false">Python_Ref!E297</f>
        <v>1E-009</v>
      </c>
      <c r="F297" s="0" t="n">
        <f aca="false">IF(D297&lt;=E297,1,0)</f>
        <v>1</v>
      </c>
    </row>
    <row r="298" customFormat="false" ht="15" hidden="false" customHeight="false" outlineLevel="0" collapsed="false">
      <c r="A298" s="0" t="str">
        <f aca="false">Python_Ref!B298</f>
        <v>sched gross_im SWPT_USD_1Yx5Y</v>
      </c>
      <c r="B298" s="0" t="n">
        <f aca="false">Schedule_IM!G16</f>
        <v>2000000</v>
      </c>
      <c r="C298" s="0" t="n">
        <f aca="false">Python_Ref!C298</f>
        <v>2000000</v>
      </c>
      <c r="D298" s="0" t="n">
        <f aca="false">IF(Python_Ref!D298="text",IF(B298=C298,0,1),IF(Python_Ref!D298="rel",ABS(B298-C298)/MAX(1,ABS(C298)),ABS(B298-C298)))</f>
        <v>0</v>
      </c>
      <c r="E298" s="0" t="n">
        <f aca="false">Python_Ref!E298</f>
        <v>1E-009</v>
      </c>
      <c r="F298" s="0" t="n">
        <f aca="false">IF(D298&lt;=E298,1,0)</f>
        <v>1</v>
      </c>
    </row>
    <row r="299" customFormat="false" ht="15" hidden="false" customHeight="false" outlineLevel="0" collapsed="false">
      <c r="A299" s="0" t="str">
        <f aca="false">Python_Ref!B299</f>
        <v>sched rate SWPT_EUR_4Yx10Y</v>
      </c>
      <c r="B299" s="0" t="n">
        <f aca="false">Schedule_IM!F17</f>
        <v>0.04</v>
      </c>
      <c r="C299" s="0" t="n">
        <f aca="false">Python_Ref!C299</f>
        <v>0.04</v>
      </c>
      <c r="D299" s="0" t="n">
        <f aca="false">IF(Python_Ref!D299="text",IF(B299=C299,0,1),IF(Python_Ref!D299="rel",ABS(B299-C299)/MAX(1,ABS(C299)),ABS(B299-C299)))</f>
        <v>0</v>
      </c>
      <c r="E299" s="0" t="n">
        <f aca="false">Python_Ref!E299</f>
        <v>1E-009</v>
      </c>
      <c r="F299" s="0" t="n">
        <f aca="false">IF(D299&lt;=E299,1,0)</f>
        <v>1</v>
      </c>
    </row>
    <row r="300" customFormat="false" ht="15" hidden="false" customHeight="false" outlineLevel="0" collapsed="false">
      <c r="A300" s="0" t="str">
        <f aca="false">Python_Ref!B300</f>
        <v>sched gross_im SWPT_EUR_4Yx10Y</v>
      </c>
      <c r="B300" s="0" t="n">
        <f aca="false">Schedule_IM!G17</f>
        <v>1296000</v>
      </c>
      <c r="C300" s="0" t="n">
        <f aca="false">Python_Ref!C300</f>
        <v>1296000</v>
      </c>
      <c r="D300" s="0" t="n">
        <f aca="false">IF(Python_Ref!D300="text",IF(B300=C300,0,1),IF(Python_Ref!D300="rel",ABS(B300-C300)/MAX(1,ABS(C300)),ABS(B300-C300)))</f>
        <v>0</v>
      </c>
      <c r="E300" s="0" t="n">
        <f aca="false">Python_Ref!E300</f>
        <v>1E-009</v>
      </c>
      <c r="F300" s="0" t="n">
        <f aca="false">IF(D300&lt;=E300,1,0)</f>
        <v>1</v>
      </c>
    </row>
    <row r="301" customFormat="false" ht="15" hidden="false" customHeight="false" outlineLevel="0" collapsed="false">
      <c r="A301" s="0" t="str">
        <f aca="false">Python_Ref!B301</f>
        <v>sched rate SWPT_GBP_5Yx5Y</v>
      </c>
      <c r="B301" s="0" t="n">
        <f aca="false">Schedule_IM!F18</f>
        <v>0.04</v>
      </c>
      <c r="C301" s="0" t="n">
        <f aca="false">Python_Ref!C301</f>
        <v>0.04</v>
      </c>
      <c r="D301" s="0" t="n">
        <f aca="false">IF(Python_Ref!D301="text",IF(B301=C301,0,1),IF(Python_Ref!D301="rel",ABS(B301-C301)/MAX(1,ABS(C301)),ABS(B301-C301)))</f>
        <v>0</v>
      </c>
      <c r="E301" s="0" t="n">
        <f aca="false">Python_Ref!E301</f>
        <v>1E-009</v>
      </c>
      <c r="F301" s="0" t="n">
        <f aca="false">IF(D301&lt;=E301,1,0)</f>
        <v>1</v>
      </c>
    </row>
    <row r="302" customFormat="false" ht="15" hidden="false" customHeight="false" outlineLevel="0" collapsed="false">
      <c r="A302" s="0" t="str">
        <f aca="false">Python_Ref!B302</f>
        <v>sched gross_im SWPT_GBP_5Yx5Y</v>
      </c>
      <c r="B302" s="0" t="n">
        <f aca="false">Schedule_IM!G18</f>
        <v>1270000</v>
      </c>
      <c r="C302" s="0" t="n">
        <f aca="false">Python_Ref!C302</f>
        <v>1270000</v>
      </c>
      <c r="D302" s="0" t="n">
        <f aca="false">IF(Python_Ref!D302="text",IF(B302=C302,0,1),IF(Python_Ref!D302="rel",ABS(B302-C302)/MAX(1,ABS(C302)),ABS(B302-C302)))</f>
        <v>0</v>
      </c>
      <c r="E302" s="0" t="n">
        <f aca="false">Python_Ref!E302</f>
        <v>1E-009</v>
      </c>
      <c r="F302" s="0" t="n">
        <f aca="false">IF(D302&lt;=E302,1,0)</f>
        <v>1</v>
      </c>
    </row>
    <row r="303" customFormat="false" ht="15" hidden="false" customHeight="false" outlineLevel="0" collapsed="false">
      <c r="A303" s="0" t="str">
        <f aca="false">Python_Ref!B303</f>
        <v>sched rate FXF_EURUSD_6M</v>
      </c>
      <c r="B303" s="0" t="n">
        <f aca="false">Schedule_IM!F19</f>
        <v>0.06</v>
      </c>
      <c r="C303" s="0" t="n">
        <f aca="false">Python_Ref!C303</f>
        <v>0.06</v>
      </c>
      <c r="D303" s="0" t="n">
        <f aca="false">IF(Python_Ref!D303="text",IF(B303=C303,0,1),IF(Python_Ref!D303="rel",ABS(B303-C303)/MAX(1,ABS(C303)),ABS(B303-C303)))</f>
        <v>0</v>
      </c>
      <c r="E303" s="0" t="n">
        <f aca="false">Python_Ref!E303</f>
        <v>1E-009</v>
      </c>
      <c r="F303" s="0" t="n">
        <f aca="false">IF(D303&lt;=E303,1,0)</f>
        <v>1</v>
      </c>
    </row>
    <row r="304" customFormat="false" ht="15" hidden="false" customHeight="false" outlineLevel="0" collapsed="false">
      <c r="A304" s="0" t="str">
        <f aca="false">Python_Ref!B304</f>
        <v>sched gross_im FXF_EURUSD_6M</v>
      </c>
      <c r="B304" s="0" t="n">
        <f aca="false">Schedule_IM!G19</f>
        <v>1620000</v>
      </c>
      <c r="C304" s="0" t="n">
        <f aca="false">Python_Ref!C304</f>
        <v>1620000</v>
      </c>
      <c r="D304" s="0" t="n">
        <f aca="false">IF(Python_Ref!D304="text",IF(B304=C304,0,1),IF(Python_Ref!D304="rel",ABS(B304-C304)/MAX(1,ABS(C304)),ABS(B304-C304)))</f>
        <v>0</v>
      </c>
      <c r="E304" s="0" t="n">
        <f aca="false">Python_Ref!E304</f>
        <v>1E-009</v>
      </c>
      <c r="F304" s="0" t="n">
        <f aca="false">IF(D304&lt;=E304,1,0)</f>
        <v>1</v>
      </c>
    </row>
    <row r="305" customFormat="false" ht="15" hidden="false" customHeight="false" outlineLevel="0" collapsed="false">
      <c r="A305" s="0" t="str">
        <f aca="false">Python_Ref!B305</f>
        <v>sched rate FXF_GBPUSD_1Y</v>
      </c>
      <c r="B305" s="0" t="n">
        <f aca="false">Schedule_IM!F20</f>
        <v>0.06</v>
      </c>
      <c r="C305" s="0" t="n">
        <f aca="false">Python_Ref!C305</f>
        <v>0.06</v>
      </c>
      <c r="D305" s="0" t="n">
        <f aca="false">IF(Python_Ref!D305="text",IF(B305=C305,0,1),IF(Python_Ref!D305="rel",ABS(B305-C305)/MAX(1,ABS(C305)),ABS(B305-C305)))</f>
        <v>0</v>
      </c>
      <c r="E305" s="0" t="n">
        <f aca="false">Python_Ref!E305</f>
        <v>1E-009</v>
      </c>
      <c r="F305" s="0" t="n">
        <f aca="false">IF(D305&lt;=E305,1,0)</f>
        <v>1</v>
      </c>
    </row>
    <row r="306" customFormat="false" ht="15" hidden="false" customHeight="false" outlineLevel="0" collapsed="false">
      <c r="A306" s="0" t="str">
        <f aca="false">Python_Ref!B306</f>
        <v>sched gross_im FXF_GBPUSD_1Y</v>
      </c>
      <c r="B306" s="0" t="n">
        <f aca="false">Schedule_IM!G20</f>
        <v>1143000</v>
      </c>
      <c r="C306" s="0" t="n">
        <f aca="false">Python_Ref!C306</f>
        <v>1143000</v>
      </c>
      <c r="D306" s="0" t="n">
        <f aca="false">IF(Python_Ref!D306="text",IF(B306=C306,0,1),IF(Python_Ref!D306="rel",ABS(B306-C306)/MAX(1,ABS(C306)),ABS(B306-C306)))</f>
        <v>0</v>
      </c>
      <c r="E306" s="0" t="n">
        <f aca="false">Python_Ref!E306</f>
        <v>1E-009</v>
      </c>
      <c r="F306" s="0" t="n">
        <f aca="false">IF(D306&lt;=E306,1,0)</f>
        <v>1</v>
      </c>
    </row>
    <row r="307" customFormat="false" ht="15" hidden="false" customHeight="false" outlineLevel="0" collapsed="false">
      <c r="A307" s="0" t="str">
        <f aca="false">Python_Ref!B307</f>
        <v>sched rate FXF_USDJPY_3M</v>
      </c>
      <c r="B307" s="0" t="n">
        <f aca="false">Schedule_IM!F21</f>
        <v>0.06</v>
      </c>
      <c r="C307" s="0" t="n">
        <f aca="false">Python_Ref!C307</f>
        <v>0.06</v>
      </c>
      <c r="D307" s="0" t="n">
        <f aca="false">IF(Python_Ref!D307="text",IF(B307=C307,0,1),IF(Python_Ref!D307="rel",ABS(B307-C307)/MAX(1,ABS(C307)),ABS(B307-C307)))</f>
        <v>0</v>
      </c>
      <c r="E307" s="0" t="n">
        <f aca="false">Python_Ref!E307</f>
        <v>1E-009</v>
      </c>
      <c r="F307" s="0" t="n">
        <f aca="false">IF(D307&lt;=E307,1,0)</f>
        <v>1</v>
      </c>
    </row>
    <row r="308" customFormat="false" ht="15" hidden="false" customHeight="false" outlineLevel="0" collapsed="false">
      <c r="A308" s="0" t="str">
        <f aca="false">Python_Ref!B308</f>
        <v>sched gross_im FXF_USDJPY_3M</v>
      </c>
      <c r="B308" s="0" t="n">
        <f aca="false">Schedule_IM!G21</f>
        <v>1200000</v>
      </c>
      <c r="C308" s="0" t="n">
        <f aca="false">Python_Ref!C308</f>
        <v>1200000</v>
      </c>
      <c r="D308" s="0" t="n">
        <f aca="false">IF(Python_Ref!D308="text",IF(B308=C308,0,1),IF(Python_Ref!D308="rel",ABS(B308-C308)/MAX(1,ABS(C308)),ABS(B308-C308)))</f>
        <v>0</v>
      </c>
      <c r="E308" s="0" t="n">
        <f aca="false">Python_Ref!E308</f>
        <v>1E-009</v>
      </c>
      <c r="F308" s="0" t="n">
        <f aca="false">IF(D308&lt;=E308,1,0)</f>
        <v>1</v>
      </c>
    </row>
    <row r="309" customFormat="false" ht="15" hidden="false" customHeight="false" outlineLevel="0" collapsed="false">
      <c r="A309" s="0" t="str">
        <f aca="false">Python_Ref!B309</f>
        <v>sched rate FXF_USDMXN_6M</v>
      </c>
      <c r="B309" s="0" t="n">
        <f aca="false">Schedule_IM!F22</f>
        <v>0.06</v>
      </c>
      <c r="C309" s="0" t="n">
        <f aca="false">Python_Ref!C309</f>
        <v>0.06</v>
      </c>
      <c r="D309" s="0" t="n">
        <f aca="false">IF(Python_Ref!D309="text",IF(B309=C309,0,1),IF(Python_Ref!D309="rel",ABS(B309-C309)/MAX(1,ABS(C309)),ABS(B309-C309)))</f>
        <v>0</v>
      </c>
      <c r="E309" s="0" t="n">
        <f aca="false">Python_Ref!E309</f>
        <v>1E-009</v>
      </c>
      <c r="F309" s="0" t="n">
        <f aca="false">IF(D309&lt;=E309,1,0)</f>
        <v>1</v>
      </c>
    </row>
    <row r="310" customFormat="false" ht="15" hidden="false" customHeight="false" outlineLevel="0" collapsed="false">
      <c r="A310" s="0" t="str">
        <f aca="false">Python_Ref!B310</f>
        <v>sched gross_im FXF_USDMXN_6M</v>
      </c>
      <c r="B310" s="0" t="n">
        <f aca="false">Schedule_IM!G22</f>
        <v>600000</v>
      </c>
      <c r="C310" s="0" t="n">
        <f aca="false">Python_Ref!C310</f>
        <v>600000</v>
      </c>
      <c r="D310" s="0" t="n">
        <f aca="false">IF(Python_Ref!D310="text",IF(B310=C310,0,1),IF(Python_Ref!D310="rel",ABS(B310-C310)/MAX(1,ABS(C310)),ABS(B310-C310)))</f>
        <v>0</v>
      </c>
      <c r="E310" s="0" t="n">
        <f aca="false">Python_Ref!E310</f>
        <v>1E-009</v>
      </c>
      <c r="F310" s="0" t="n">
        <f aca="false">IF(D310&lt;=E310,1,0)</f>
        <v>1</v>
      </c>
    </row>
    <row r="311" customFormat="false" ht="15" hidden="false" customHeight="false" outlineLevel="0" collapsed="false">
      <c r="A311" s="0" t="str">
        <f aca="false">Python_Ref!B311</f>
        <v>sched rate FXO_EURUSD_C3M</v>
      </c>
      <c r="B311" s="0" t="n">
        <f aca="false">Schedule_IM!F23</f>
        <v>0.06</v>
      </c>
      <c r="C311" s="0" t="n">
        <f aca="false">Python_Ref!C311</f>
        <v>0.06</v>
      </c>
      <c r="D311" s="0" t="n">
        <f aca="false">IF(Python_Ref!D311="text",IF(B311=C311,0,1),IF(Python_Ref!D311="rel",ABS(B311-C311)/MAX(1,ABS(C311)),ABS(B311-C311)))</f>
        <v>0</v>
      </c>
      <c r="E311" s="0" t="n">
        <f aca="false">Python_Ref!E311</f>
        <v>1E-009</v>
      </c>
      <c r="F311" s="0" t="n">
        <f aca="false">IF(D311&lt;=E311,1,0)</f>
        <v>1</v>
      </c>
    </row>
    <row r="312" customFormat="false" ht="15" hidden="false" customHeight="false" outlineLevel="0" collapsed="false">
      <c r="A312" s="0" t="str">
        <f aca="false">Python_Ref!B312</f>
        <v>sched gross_im FXO_EURUSD_C3M</v>
      </c>
      <c r="B312" s="0" t="n">
        <f aca="false">Schedule_IM!G23</f>
        <v>1296000</v>
      </c>
      <c r="C312" s="0" t="n">
        <f aca="false">Python_Ref!C312</f>
        <v>1296000</v>
      </c>
      <c r="D312" s="0" t="n">
        <f aca="false">IF(Python_Ref!D312="text",IF(B312=C312,0,1),IF(Python_Ref!D312="rel",ABS(B312-C312)/MAX(1,ABS(C312)),ABS(B312-C312)))</f>
        <v>0</v>
      </c>
      <c r="E312" s="0" t="n">
        <f aca="false">Python_Ref!E312</f>
        <v>1E-009</v>
      </c>
      <c r="F312" s="0" t="n">
        <f aca="false">IF(D312&lt;=E312,1,0)</f>
        <v>1</v>
      </c>
    </row>
    <row r="313" customFormat="false" ht="15" hidden="false" customHeight="false" outlineLevel="0" collapsed="false">
      <c r="A313" s="0" t="str">
        <f aca="false">Python_Ref!B313</f>
        <v>sched rate FXO_USDMXN_C1Y</v>
      </c>
      <c r="B313" s="0" t="n">
        <f aca="false">Schedule_IM!F24</f>
        <v>0.06</v>
      </c>
      <c r="C313" s="0" t="n">
        <f aca="false">Python_Ref!C313</f>
        <v>0.06</v>
      </c>
      <c r="D313" s="0" t="n">
        <f aca="false">IF(Python_Ref!D313="text",IF(B313=C313,0,1),IF(Python_Ref!D313="rel",ABS(B313-C313)/MAX(1,ABS(C313)),ABS(B313-C313)))</f>
        <v>0</v>
      </c>
      <c r="E313" s="0" t="n">
        <f aca="false">Python_Ref!E313</f>
        <v>1E-009</v>
      </c>
      <c r="F313" s="0" t="n">
        <f aca="false">IF(D313&lt;=E313,1,0)</f>
        <v>1</v>
      </c>
    </row>
    <row r="314" customFormat="false" ht="15" hidden="false" customHeight="false" outlineLevel="0" collapsed="false">
      <c r="A314" s="0" t="str">
        <f aca="false">Python_Ref!B314</f>
        <v>sched gross_im FXO_USDMXN_C1Y</v>
      </c>
      <c r="B314" s="0" t="n">
        <f aca="false">Schedule_IM!G24</f>
        <v>600000</v>
      </c>
      <c r="C314" s="0" t="n">
        <f aca="false">Python_Ref!C314</f>
        <v>600000</v>
      </c>
      <c r="D314" s="0" t="n">
        <f aca="false">IF(Python_Ref!D314="text",IF(B314=C314,0,1),IF(Python_Ref!D314="rel",ABS(B314-C314)/MAX(1,ABS(C314)),ABS(B314-C314)))</f>
        <v>0</v>
      </c>
      <c r="E314" s="0" t="n">
        <f aca="false">Python_Ref!E314</f>
        <v>1E-009</v>
      </c>
      <c r="F314" s="0" t="n">
        <f aca="false">IF(D314&lt;=E314,1,0)</f>
        <v>1</v>
      </c>
    </row>
    <row r="315" customFormat="false" ht="15" hidden="false" customHeight="false" outlineLevel="0" collapsed="false">
      <c r="A315" s="0" t="str">
        <f aca="false">Python_Ref!B315</f>
        <v>sched rate FXO_GBPUSD_STRADDLE_C</v>
      </c>
      <c r="B315" s="0" t="n">
        <f aca="false">Schedule_IM!F25</f>
        <v>0.06</v>
      </c>
      <c r="C315" s="0" t="n">
        <f aca="false">Python_Ref!C315</f>
        <v>0.06</v>
      </c>
      <c r="D315" s="0" t="n">
        <f aca="false">IF(Python_Ref!D315="text",IF(B315=C315,0,1),IF(Python_Ref!D315="rel",ABS(B315-C315)/MAX(1,ABS(C315)),ABS(B315-C315)))</f>
        <v>0</v>
      </c>
      <c r="E315" s="0" t="n">
        <f aca="false">Python_Ref!E315</f>
        <v>1E-009</v>
      </c>
      <c r="F315" s="0" t="n">
        <f aca="false">IF(D315&lt;=E315,1,0)</f>
        <v>1</v>
      </c>
    </row>
    <row r="316" customFormat="false" ht="15" hidden="false" customHeight="false" outlineLevel="0" collapsed="false">
      <c r="A316" s="0" t="str">
        <f aca="false">Python_Ref!B316</f>
        <v>sched gross_im FXO_GBPUSD_STRADDLE_C</v>
      </c>
      <c r="B316" s="0" t="n">
        <f aca="false">Schedule_IM!G25</f>
        <v>1143000</v>
      </c>
      <c r="C316" s="0" t="n">
        <f aca="false">Python_Ref!C316</f>
        <v>1143000</v>
      </c>
      <c r="D316" s="0" t="n">
        <f aca="false">IF(Python_Ref!D316="text",IF(B316=C316,0,1),IF(Python_Ref!D316="rel",ABS(B316-C316)/MAX(1,ABS(C316)),ABS(B316-C316)))</f>
        <v>0</v>
      </c>
      <c r="E316" s="0" t="n">
        <f aca="false">Python_Ref!E316</f>
        <v>1E-009</v>
      </c>
      <c r="F316" s="0" t="n">
        <f aca="false">IF(D316&lt;=E316,1,0)</f>
        <v>1</v>
      </c>
    </row>
    <row r="317" customFormat="false" ht="15" hidden="false" customHeight="false" outlineLevel="0" collapsed="false">
      <c r="A317" s="0" t="str">
        <f aca="false">Python_Ref!B317</f>
        <v>sched rate FXO_GBPUSD_STRADDLE_P</v>
      </c>
      <c r="B317" s="0" t="n">
        <f aca="false">Schedule_IM!F26</f>
        <v>0.06</v>
      </c>
      <c r="C317" s="0" t="n">
        <f aca="false">Python_Ref!C317</f>
        <v>0.06</v>
      </c>
      <c r="D317" s="0" t="n">
        <f aca="false">IF(Python_Ref!D317="text",IF(B317=C317,0,1),IF(Python_Ref!D317="rel",ABS(B317-C317)/MAX(1,ABS(C317)),ABS(B317-C317)))</f>
        <v>0</v>
      </c>
      <c r="E317" s="0" t="n">
        <f aca="false">Python_Ref!E317</f>
        <v>1E-009</v>
      </c>
      <c r="F317" s="0" t="n">
        <f aca="false">IF(D317&lt;=E317,1,0)</f>
        <v>1</v>
      </c>
    </row>
    <row r="318" customFormat="false" ht="15" hidden="false" customHeight="false" outlineLevel="0" collapsed="false">
      <c r="A318" s="0" t="str">
        <f aca="false">Python_Ref!B318</f>
        <v>sched gross_im FXO_GBPUSD_STRADDLE_P</v>
      </c>
      <c r="B318" s="0" t="n">
        <f aca="false">Schedule_IM!G26</f>
        <v>1143000</v>
      </c>
      <c r="C318" s="0" t="n">
        <f aca="false">Python_Ref!C318</f>
        <v>1143000</v>
      </c>
      <c r="D318" s="0" t="n">
        <f aca="false">IF(Python_Ref!D318="text",IF(B318=C318,0,1),IF(Python_Ref!D318="rel",ABS(B318-C318)/MAX(1,ABS(C318)),ABS(B318-C318)))</f>
        <v>0</v>
      </c>
      <c r="E318" s="0" t="n">
        <f aca="false">Python_Ref!E318</f>
        <v>1E-009</v>
      </c>
      <c r="F318" s="0" t="n">
        <f aca="false">IF(D318&lt;=E318,1,0)</f>
        <v>1</v>
      </c>
    </row>
    <row r="319" customFormat="false" ht="15" hidden="false" customHeight="false" outlineLevel="0" collapsed="false">
      <c r="A319" s="0" t="str">
        <f aca="false">Python_Ref!B319</f>
        <v>sched gross</v>
      </c>
      <c r="B319" s="0" t="n">
        <f aca="false">Schedule_IM!B28</f>
        <v>22577636.6366366</v>
      </c>
      <c r="C319" s="0" t="n">
        <f aca="false">Python_Ref!C319</f>
        <v>22577636.6366366</v>
      </c>
      <c r="D319" s="0" t="n">
        <f aca="false">IF(Python_Ref!D319="text",IF(B319=C319,0,1),IF(Python_Ref!D319="rel",ABS(B319-C319)/MAX(1,ABS(C319)),ABS(B319-C319)))</f>
        <v>0</v>
      </c>
      <c r="E319" s="0" t="n">
        <f aca="false">Python_Ref!E319</f>
        <v>0.01</v>
      </c>
      <c r="F319" s="0" t="n">
        <f aca="false">IF(D319&lt;=E319,1,0)</f>
        <v>1</v>
      </c>
    </row>
    <row r="320" customFormat="false" ht="15" hidden="false" customHeight="false" outlineLevel="0" collapsed="false">
      <c r="A320" s="0" t="str">
        <f aca="false">Python_Ref!B320</f>
        <v>sched ngr</v>
      </c>
      <c r="B320" s="0" t="n">
        <f aca="false">Schedule_IM!B31</f>
        <v>0.743246290170524</v>
      </c>
      <c r="C320" s="0" t="n">
        <f aca="false">Python_Ref!C320</f>
        <v>0.743246290170524</v>
      </c>
      <c r="D320" s="0" t="n">
        <f aca="false">IF(Python_Ref!D320="text",IF(B320=C320,0,1),IF(Python_Ref!D320="rel",ABS(B320-C320)/MAX(1,ABS(C320)),ABS(B320-C320)))</f>
        <v>0</v>
      </c>
      <c r="E320" s="0" t="n">
        <f aca="false">Python_Ref!E320</f>
        <v>1E-009</v>
      </c>
      <c r="F320" s="0" t="n">
        <f aca="false">IF(D320&lt;=E320,1,0)</f>
        <v>1</v>
      </c>
    </row>
    <row r="321" customFormat="false" ht="15" hidden="false" customHeight="false" outlineLevel="0" collapsed="false">
      <c r="A321" s="0" t="str">
        <f aca="false">Python_Ref!B321</f>
        <v>sched net</v>
      </c>
      <c r="B321" s="0" t="n">
        <f aca="false">Schedule_IM!B34</f>
        <v>19099501.4572536</v>
      </c>
      <c r="C321" s="0" t="n">
        <f aca="false">Python_Ref!C321</f>
        <v>19099501.4572536</v>
      </c>
      <c r="D321" s="0" t="n">
        <f aca="false">IF(Python_Ref!D321="text",IF(B321=C321,0,1),IF(Python_Ref!D321="rel",ABS(B321-C321)/MAX(1,ABS(C321)),ABS(B321-C321)))</f>
        <v>0</v>
      </c>
      <c r="E321" s="0" t="n">
        <f aca="false">Python_Ref!E321</f>
        <v>0.01</v>
      </c>
      <c r="F321" s="0" t="n">
        <f aca="false">IF(D321&lt;=E321,1,0)</f>
        <v>1</v>
      </c>
    </row>
    <row r="322" customFormat="false" ht="15" hidden="false" customHeight="false" outlineLevel="0" collapsed="false">
      <c r="A322" s="0" t="str">
        <f aca="false">Python_Ref!B322</f>
        <v>bt 1d n</v>
      </c>
      <c r="B322" s="0" t="n">
        <f aca="false">Backtest!L5</f>
        <v>1327</v>
      </c>
      <c r="C322" s="0" t="n">
        <f aca="false">Python_Ref!C322</f>
        <v>1327</v>
      </c>
      <c r="D322" s="0" t="n">
        <f aca="false">IF(Python_Ref!D322="text",IF(B322=C322,0,1),IF(Python_Ref!D322="rel",ABS(B322-C322)/MAX(1,ABS(C322)),ABS(B322-C322)))</f>
        <v>0</v>
      </c>
      <c r="E322" s="0" t="n">
        <f aca="false">Python_Ref!E322</f>
        <v>0</v>
      </c>
      <c r="F322" s="0" t="n">
        <f aca="false">IF(D322&lt;=E322,1,0)</f>
        <v>1</v>
      </c>
    </row>
    <row r="323" customFormat="false" ht="15" hidden="false" customHeight="false" outlineLevel="0" collapsed="false">
      <c r="A323" s="0" t="str">
        <f aca="false">Python_Ref!B323</f>
        <v>bt 1d x</v>
      </c>
      <c r="B323" s="0" t="n">
        <f aca="false">Backtest!L6</f>
        <v>18</v>
      </c>
      <c r="C323" s="0" t="n">
        <f aca="false">Python_Ref!C323</f>
        <v>18</v>
      </c>
      <c r="D323" s="0" t="n">
        <f aca="false">IF(Python_Ref!D323="text",IF(B323=C323,0,1),IF(Python_Ref!D323="rel",ABS(B323-C323)/MAX(1,ABS(C323)),ABS(B323-C323)))</f>
        <v>0</v>
      </c>
      <c r="E323" s="0" t="n">
        <f aca="false">Python_Ref!E323</f>
        <v>0</v>
      </c>
      <c r="F323" s="0" t="n">
        <f aca="false">IF(D323&lt;=E323,1,0)</f>
        <v>1</v>
      </c>
    </row>
    <row r="324" customFormat="false" ht="15" hidden="false" customHeight="false" outlineLevel="0" collapsed="false">
      <c r="A324" s="0" t="str">
        <f aca="false">Python_Ref!B324</f>
        <v>bt 1d LR_uc</v>
      </c>
      <c r="B324" s="0" t="n">
        <f aca="false">Backtest!L11</f>
        <v>1.53222327873922</v>
      </c>
      <c r="C324" s="0" t="n">
        <f aca="false">Python_Ref!C324</f>
        <v>1.53222327873928</v>
      </c>
      <c r="D324" s="0" t="n">
        <f aca="false">IF(Python_Ref!D324="text",IF(B324=C324,0,1),IF(Python_Ref!D324="rel",ABS(B324-C324)/MAX(1,ABS(C324)),ABS(B324-C324)))</f>
        <v>5.72875080706581E-014</v>
      </c>
      <c r="E324" s="0" t="n">
        <f aca="false">Python_Ref!E324</f>
        <v>1E-009</v>
      </c>
      <c r="F324" s="0" t="n">
        <f aca="false">IF(D324&lt;=E324,1,0)</f>
        <v>1</v>
      </c>
    </row>
    <row r="325" customFormat="false" ht="15" hidden="false" customHeight="false" outlineLevel="0" collapsed="false">
      <c r="A325" s="0" t="str">
        <f aca="false">Python_Ref!B325</f>
        <v>bt 1d p_uc</v>
      </c>
      <c r="B325" s="0" t="n">
        <f aca="false">Backtest!L12</f>
        <v>0.215779076698978</v>
      </c>
      <c r="C325" s="0" t="n">
        <f aca="false">Python_Ref!C325</f>
        <v>0.215779076698966</v>
      </c>
      <c r="D325" s="0" t="n">
        <f aca="false">IF(Python_Ref!D325="text",IF(B325=C325,0,1),IF(Python_Ref!D325="rel",ABS(B325-C325)/MAX(1,ABS(C325)),ABS(B325-C325)))</f>
        <v>1.18793863634892E-014</v>
      </c>
      <c r="E325" s="0" t="n">
        <f aca="false">Python_Ref!E325</f>
        <v>1E-010</v>
      </c>
      <c r="F325" s="0" t="n">
        <f aca="false">IF(D325&lt;=E325,1,0)</f>
        <v>1</v>
      </c>
    </row>
    <row r="326" customFormat="false" ht="15" hidden="false" customHeight="false" outlineLevel="0" collapsed="false">
      <c r="A326" s="0" t="str">
        <f aca="false">Python_Ref!B326</f>
        <v>bt 1d n00</v>
      </c>
      <c r="B326" s="0" t="n">
        <f aca="false">Backtest!L13</f>
        <v>1292</v>
      </c>
      <c r="C326" s="0" t="n">
        <f aca="false">Python_Ref!C326</f>
        <v>1292</v>
      </c>
      <c r="D326" s="0" t="n">
        <f aca="false">IF(Python_Ref!D326="text",IF(B326=C326,0,1),IF(Python_Ref!D326="rel",ABS(B326-C326)/MAX(1,ABS(C326)),ABS(B326-C326)))</f>
        <v>0</v>
      </c>
      <c r="E326" s="0" t="n">
        <f aca="false">Python_Ref!E326</f>
        <v>0</v>
      </c>
      <c r="F326" s="0" t="n">
        <f aca="false">IF(D326&lt;=E326,1,0)</f>
        <v>1</v>
      </c>
    </row>
    <row r="327" customFormat="false" ht="15" hidden="false" customHeight="false" outlineLevel="0" collapsed="false">
      <c r="A327" s="0" t="str">
        <f aca="false">Python_Ref!B327</f>
        <v>bt 1d n01</v>
      </c>
      <c r="B327" s="0" t="n">
        <f aca="false">Backtest!L14</f>
        <v>16</v>
      </c>
      <c r="C327" s="0" t="n">
        <f aca="false">Python_Ref!C327</f>
        <v>16</v>
      </c>
      <c r="D327" s="0" t="n">
        <f aca="false">IF(Python_Ref!D327="text",IF(B327=C327,0,1),IF(Python_Ref!D327="rel",ABS(B327-C327)/MAX(1,ABS(C327)),ABS(B327-C327)))</f>
        <v>0</v>
      </c>
      <c r="E327" s="0" t="n">
        <f aca="false">Python_Ref!E327</f>
        <v>0</v>
      </c>
      <c r="F327" s="0" t="n">
        <f aca="false">IF(D327&lt;=E327,1,0)</f>
        <v>1</v>
      </c>
    </row>
    <row r="328" customFormat="false" ht="15" hidden="false" customHeight="false" outlineLevel="0" collapsed="false">
      <c r="A328" s="0" t="str">
        <f aca="false">Python_Ref!B328</f>
        <v>bt 1d n10</v>
      </c>
      <c r="B328" s="0" t="n">
        <f aca="false">Backtest!L15</f>
        <v>16</v>
      </c>
      <c r="C328" s="0" t="n">
        <f aca="false">Python_Ref!C328</f>
        <v>16</v>
      </c>
      <c r="D328" s="0" t="n">
        <f aca="false">IF(Python_Ref!D328="text",IF(B328=C328,0,1),IF(Python_Ref!D328="rel",ABS(B328-C328)/MAX(1,ABS(C328)),ABS(B328-C328)))</f>
        <v>0</v>
      </c>
      <c r="E328" s="0" t="n">
        <f aca="false">Python_Ref!E328</f>
        <v>0</v>
      </c>
      <c r="F328" s="0" t="n">
        <f aca="false">IF(D328&lt;=E328,1,0)</f>
        <v>1</v>
      </c>
    </row>
    <row r="329" customFormat="false" ht="15" hidden="false" customHeight="false" outlineLevel="0" collapsed="false">
      <c r="A329" s="0" t="str">
        <f aca="false">Python_Ref!B329</f>
        <v>bt 1d n11</v>
      </c>
      <c r="B329" s="0" t="n">
        <f aca="false">Backtest!L16</f>
        <v>2</v>
      </c>
      <c r="C329" s="0" t="n">
        <f aca="false">Python_Ref!C329</f>
        <v>2</v>
      </c>
      <c r="D329" s="0" t="n">
        <f aca="false">IF(Python_Ref!D329="text",IF(B329=C329,0,1),IF(Python_Ref!D329="rel",ABS(B329-C329)/MAX(1,ABS(C329)),ABS(B329-C329)))</f>
        <v>0</v>
      </c>
      <c r="E329" s="0" t="n">
        <f aca="false">Python_Ref!E329</f>
        <v>0</v>
      </c>
      <c r="F329" s="0" t="n">
        <f aca="false">IF(D329&lt;=E329,1,0)</f>
        <v>1</v>
      </c>
    </row>
    <row r="330" customFormat="false" ht="15" hidden="false" customHeight="false" outlineLevel="0" collapsed="false">
      <c r="A330" s="0" t="str">
        <f aca="false">Python_Ref!B330</f>
        <v>bt 1d LR_ind</v>
      </c>
      <c r="B330" s="0" t="n">
        <f aca="false">Backtest!L22</f>
        <v>5.25961802238859</v>
      </c>
      <c r="C330" s="0" t="n">
        <f aca="false">Python_Ref!C330</f>
        <v>5.25961802238859</v>
      </c>
      <c r="D330" s="0" t="n">
        <f aca="false">IF(Python_Ref!D330="text",IF(B330=C330,0,1),IF(Python_Ref!D330="rel",ABS(B330-C330)/MAX(1,ABS(C330)),ABS(B330-C330)))</f>
        <v>0</v>
      </c>
      <c r="E330" s="0" t="n">
        <f aca="false">Python_Ref!E330</f>
        <v>1E-009</v>
      </c>
      <c r="F330" s="0" t="n">
        <f aca="false">IF(D330&lt;=E330,1,0)</f>
        <v>1</v>
      </c>
    </row>
    <row r="331" customFormat="false" ht="15" hidden="false" customHeight="false" outlineLevel="0" collapsed="false">
      <c r="A331" s="0" t="str">
        <f aca="false">Python_Ref!B331</f>
        <v>bt 1d p_ind</v>
      </c>
      <c r="B331" s="0" t="n">
        <f aca="false">Backtest!L23</f>
        <v>0.0218258085109973</v>
      </c>
      <c r="C331" s="0" t="n">
        <f aca="false">Python_Ref!C331</f>
        <v>0.0218258085109973</v>
      </c>
      <c r="D331" s="0" t="n">
        <f aca="false">IF(Python_Ref!D331="text",IF(B331=C331,0,1),IF(Python_Ref!D331="rel",ABS(B331-C331)/MAX(1,ABS(C331)),ABS(B331-C331)))</f>
        <v>0</v>
      </c>
      <c r="E331" s="0" t="n">
        <f aca="false">Python_Ref!E331</f>
        <v>1E-010</v>
      </c>
      <c r="F331" s="0" t="n">
        <f aca="false">IF(D331&lt;=E331,1,0)</f>
        <v>1</v>
      </c>
    </row>
    <row r="332" customFormat="false" ht="15" hidden="false" customHeight="false" outlineLevel="0" collapsed="false">
      <c r="A332" s="0" t="str">
        <f aca="false">Python_Ref!B332</f>
        <v>bt 1d LR_cc</v>
      </c>
      <c r="B332" s="0" t="n">
        <f aca="false">Backtest!L24</f>
        <v>6.79184130112782</v>
      </c>
      <c r="C332" s="0" t="n">
        <f aca="false">Python_Ref!C332</f>
        <v>6.79184130112787</v>
      </c>
      <c r="D332" s="0" t="n">
        <f aca="false">IF(Python_Ref!D332="text",IF(B332=C332,0,1),IF(Python_Ref!D332="rel",ABS(B332-C332)/MAX(1,ABS(C332)),ABS(B332-C332)))</f>
        <v>5.6843418860808E-014</v>
      </c>
      <c r="E332" s="0" t="n">
        <f aca="false">Python_Ref!E332</f>
        <v>1E-009</v>
      </c>
      <c r="F332" s="0" t="n">
        <f aca="false">IF(D332&lt;=E332,1,0)</f>
        <v>1</v>
      </c>
    </row>
    <row r="333" customFormat="false" ht="15" hidden="false" customHeight="false" outlineLevel="0" collapsed="false">
      <c r="A333" s="0" t="str">
        <f aca="false">Python_Ref!B333</f>
        <v>bt 1d p_cc</v>
      </c>
      <c r="B333" s="0" t="n">
        <f aca="false">Backtest!L25</f>
        <v>0.0335096892521193</v>
      </c>
      <c r="C333" s="0" t="n">
        <f aca="false">Python_Ref!C333</f>
        <v>0.0335096892521184</v>
      </c>
      <c r="D333" s="0" t="n">
        <f aca="false">IF(Python_Ref!D333="text",IF(B333=C333,0,1),IF(Python_Ref!D333="rel",ABS(B333-C333)/MAX(1,ABS(C333)),ABS(B333-C333)))</f>
        <v>9.36750677027476E-016</v>
      </c>
      <c r="E333" s="0" t="n">
        <f aca="false">Python_Ref!E333</f>
        <v>1E-010</v>
      </c>
      <c r="F333" s="0" t="n">
        <f aca="false">IF(D333&lt;=E333,1,0)</f>
        <v>1</v>
      </c>
    </row>
    <row r="334" customFormat="false" ht="15" hidden="false" customHeight="false" outlineLevel="0" collapsed="false">
      <c r="A334" s="0" t="str">
        <f aca="false">Python_Ref!B334</f>
        <v>bt 1d zone</v>
      </c>
      <c r="B334" s="0" t="str">
        <f aca="false">Backtest!L28</f>
        <v>Green</v>
      </c>
      <c r="C334" s="0" t="str">
        <f aca="false">Python_Ref!C334</f>
        <v>Green</v>
      </c>
      <c r="D334" s="0" t="n">
        <f aca="false">IF(Python_Ref!D334="text",IF(B334=C334,0,1),IF(Python_Ref!D334="rel",ABS(B334-C334)/MAX(1,ABS(C334)),ABS(B334-C334)))</f>
        <v>0</v>
      </c>
      <c r="E334" s="0" t="n">
        <f aca="false">Python_Ref!E334</f>
        <v>0</v>
      </c>
      <c r="F334" s="0" t="n">
        <f aca="false">IF(D334&lt;=E334,1,0)</f>
        <v>1</v>
      </c>
    </row>
    <row r="335" customFormat="false" ht="15" hidden="false" customHeight="false" outlineLevel="0" collapsed="false">
      <c r="A335" s="0" t="str">
        <f aca="false">Python_Ref!B335</f>
        <v>bt 10d n</v>
      </c>
      <c r="B335" s="0" t="n">
        <f aca="false">Backtest!M5</f>
        <v>132</v>
      </c>
      <c r="C335" s="0" t="n">
        <f aca="false">Python_Ref!C335</f>
        <v>132</v>
      </c>
      <c r="D335" s="0" t="n">
        <f aca="false">IF(Python_Ref!D335="text",IF(B335=C335,0,1),IF(Python_Ref!D335="rel",ABS(B335-C335)/MAX(1,ABS(C335)),ABS(B335-C335)))</f>
        <v>0</v>
      </c>
      <c r="E335" s="0" t="n">
        <f aca="false">Python_Ref!E335</f>
        <v>0</v>
      </c>
      <c r="F335" s="0" t="n">
        <f aca="false">IF(D335&lt;=E335,1,0)</f>
        <v>1</v>
      </c>
    </row>
    <row r="336" customFormat="false" ht="15" hidden="false" customHeight="false" outlineLevel="0" collapsed="false">
      <c r="A336" s="0" t="str">
        <f aca="false">Python_Ref!B336</f>
        <v>bt 10d x</v>
      </c>
      <c r="B336" s="0" t="n">
        <f aca="false">Backtest!M6</f>
        <v>1</v>
      </c>
      <c r="C336" s="0" t="n">
        <f aca="false">Python_Ref!C336</f>
        <v>1</v>
      </c>
      <c r="D336" s="0" t="n">
        <f aca="false">IF(Python_Ref!D336="text",IF(B336=C336,0,1),IF(Python_Ref!D336="rel",ABS(B336-C336)/MAX(1,ABS(C336)),ABS(B336-C336)))</f>
        <v>0</v>
      </c>
      <c r="E336" s="0" t="n">
        <f aca="false">Python_Ref!E336</f>
        <v>0</v>
      </c>
      <c r="F336" s="0" t="n">
        <f aca="false">IF(D336&lt;=E336,1,0)</f>
        <v>1</v>
      </c>
    </row>
    <row r="337" customFormat="false" ht="15" hidden="false" customHeight="false" outlineLevel="0" collapsed="false">
      <c r="A337" s="0" t="str">
        <f aca="false">Python_Ref!B337</f>
        <v>bt 10d LR_uc</v>
      </c>
      <c r="B337" s="0" t="n">
        <f aca="false">Backtest!M11</f>
        <v>0.0855194814933604</v>
      </c>
      <c r="C337" s="0" t="n">
        <f aca="false">Python_Ref!C337</f>
        <v>0.0855194814933622</v>
      </c>
      <c r="D337" s="0" t="n">
        <f aca="false">IF(Python_Ref!D337="text",IF(B337=C337,0,1),IF(Python_Ref!D337="rel",ABS(B337-C337)/MAX(1,ABS(C337)),ABS(B337-C337)))</f>
        <v>1.77635683940025E-015</v>
      </c>
      <c r="E337" s="0" t="n">
        <f aca="false">Python_Ref!E337</f>
        <v>1E-009</v>
      </c>
      <c r="F337" s="0" t="n">
        <f aca="false">IF(D337&lt;=E337,1,0)</f>
        <v>1</v>
      </c>
    </row>
    <row r="338" customFormat="false" ht="15" hidden="false" customHeight="false" outlineLevel="0" collapsed="false">
      <c r="A338" s="0" t="str">
        <f aca="false">Python_Ref!B338</f>
        <v>bt 10d p_uc</v>
      </c>
      <c r="B338" s="0" t="n">
        <f aca="false">Backtest!M12</f>
        <v>0.769952414212104</v>
      </c>
      <c r="C338" s="0" t="n">
        <f aca="false">Python_Ref!C338</f>
        <v>0.769952414212101</v>
      </c>
      <c r="D338" s="0" t="n">
        <f aca="false">IF(Python_Ref!D338="text",IF(B338=C338,0,1),IF(Python_Ref!D338="rel",ABS(B338-C338)/MAX(1,ABS(C338)),ABS(B338-C338)))</f>
        <v>0</v>
      </c>
      <c r="E338" s="0" t="n">
        <f aca="false">Python_Ref!E338</f>
        <v>1E-010</v>
      </c>
      <c r="F338" s="0" t="n">
        <f aca="false">IF(D338&lt;=E338,1,0)</f>
        <v>1</v>
      </c>
    </row>
    <row r="339" customFormat="false" ht="15" hidden="false" customHeight="false" outlineLevel="0" collapsed="false">
      <c r="A339" s="0" t="str">
        <f aca="false">Python_Ref!B339</f>
        <v>bt 10d n00</v>
      </c>
      <c r="B339" s="0" t="n">
        <f aca="false">Backtest!M13</f>
        <v>129</v>
      </c>
      <c r="C339" s="0" t="n">
        <f aca="false">Python_Ref!C339</f>
        <v>129</v>
      </c>
      <c r="D339" s="0" t="n">
        <f aca="false">IF(Python_Ref!D339="text",IF(B339=C339,0,1),IF(Python_Ref!D339="rel",ABS(B339-C339)/MAX(1,ABS(C339)),ABS(B339-C339)))</f>
        <v>0</v>
      </c>
      <c r="E339" s="0" t="n">
        <f aca="false">Python_Ref!E339</f>
        <v>0</v>
      </c>
      <c r="F339" s="0" t="n">
        <f aca="false">IF(D339&lt;=E339,1,0)</f>
        <v>1</v>
      </c>
    </row>
    <row r="340" customFormat="false" ht="15" hidden="false" customHeight="false" outlineLevel="0" collapsed="false">
      <c r="A340" s="0" t="str">
        <f aca="false">Python_Ref!B340</f>
        <v>bt 10d n01</v>
      </c>
      <c r="B340" s="0" t="n">
        <f aca="false">Backtest!M14</f>
        <v>1</v>
      </c>
      <c r="C340" s="0" t="n">
        <f aca="false">Python_Ref!C340</f>
        <v>1</v>
      </c>
      <c r="D340" s="0" t="n">
        <f aca="false">IF(Python_Ref!D340="text",IF(B340=C340,0,1),IF(Python_Ref!D340="rel",ABS(B340-C340)/MAX(1,ABS(C340)),ABS(B340-C340)))</f>
        <v>0</v>
      </c>
      <c r="E340" s="0" t="n">
        <f aca="false">Python_Ref!E340</f>
        <v>0</v>
      </c>
      <c r="F340" s="0" t="n">
        <f aca="false">IF(D340&lt;=E340,1,0)</f>
        <v>1</v>
      </c>
    </row>
    <row r="341" customFormat="false" ht="15" hidden="false" customHeight="false" outlineLevel="0" collapsed="false">
      <c r="A341" s="0" t="str">
        <f aca="false">Python_Ref!B341</f>
        <v>bt 10d n10</v>
      </c>
      <c r="B341" s="0" t="n">
        <f aca="false">Backtest!M15</f>
        <v>1</v>
      </c>
      <c r="C341" s="0" t="n">
        <f aca="false">Python_Ref!C341</f>
        <v>1</v>
      </c>
      <c r="D341" s="0" t="n">
        <f aca="false">IF(Python_Ref!D341="text",IF(B341=C341,0,1),IF(Python_Ref!D341="rel",ABS(B341-C341)/MAX(1,ABS(C341)),ABS(B341-C341)))</f>
        <v>0</v>
      </c>
      <c r="E341" s="0" t="n">
        <f aca="false">Python_Ref!E341</f>
        <v>0</v>
      </c>
      <c r="F341" s="0" t="n">
        <f aca="false">IF(D341&lt;=E341,1,0)</f>
        <v>1</v>
      </c>
    </row>
    <row r="342" customFormat="false" ht="15" hidden="false" customHeight="false" outlineLevel="0" collapsed="false">
      <c r="A342" s="0" t="str">
        <f aca="false">Python_Ref!B342</f>
        <v>bt 10d n11</v>
      </c>
      <c r="B342" s="0" t="n">
        <f aca="false">Backtest!M16</f>
        <v>0</v>
      </c>
      <c r="C342" s="0" t="n">
        <f aca="false">Python_Ref!C342</f>
        <v>0</v>
      </c>
      <c r="D342" s="0" t="n">
        <f aca="false">IF(Python_Ref!D342="text",IF(B342=C342,0,1),IF(Python_Ref!D342="rel",ABS(B342-C342)/MAX(1,ABS(C342)),ABS(B342-C342)))</f>
        <v>0</v>
      </c>
      <c r="E342" s="0" t="n">
        <f aca="false">Python_Ref!E342</f>
        <v>0</v>
      </c>
      <c r="F342" s="0" t="n">
        <f aca="false">IF(D342&lt;=E342,1,0)</f>
        <v>1</v>
      </c>
    </row>
    <row r="343" customFormat="false" ht="15" hidden="false" customHeight="false" outlineLevel="0" collapsed="false">
      <c r="A343" s="0" t="str">
        <f aca="false">Python_Ref!B343</f>
        <v>bt 10d LR_ind</v>
      </c>
      <c r="B343" s="0" t="n">
        <f aca="false">Backtest!M22</f>
        <v>0.0153847671102625</v>
      </c>
      <c r="C343" s="0" t="n">
        <f aca="false">Python_Ref!C343</f>
        <v>0.0153847671102625</v>
      </c>
      <c r="D343" s="0" t="n">
        <f aca="false">IF(Python_Ref!D343="text",IF(B343=C343,0,1),IF(Python_Ref!D343="rel",ABS(B343-C343)/MAX(1,ABS(C343)),ABS(B343-C343)))</f>
        <v>0</v>
      </c>
      <c r="E343" s="0" t="n">
        <f aca="false">Python_Ref!E343</f>
        <v>1E-009</v>
      </c>
      <c r="F343" s="0" t="n">
        <f aca="false">IF(D343&lt;=E343,1,0)</f>
        <v>1</v>
      </c>
    </row>
    <row r="344" customFormat="false" ht="15" hidden="false" customHeight="false" outlineLevel="0" collapsed="false">
      <c r="A344" s="0" t="str">
        <f aca="false">Python_Ref!B344</f>
        <v>bt 10d p_ind</v>
      </c>
      <c r="B344" s="0" t="n">
        <f aca="false">Backtest!M23</f>
        <v>0.901287288914089</v>
      </c>
      <c r="C344" s="0" t="n">
        <f aca="false">Python_Ref!C344</f>
        <v>0.901287288914089</v>
      </c>
      <c r="D344" s="0" t="n">
        <f aca="false">IF(Python_Ref!D344="text",IF(B344=C344,0,1),IF(Python_Ref!D344="rel",ABS(B344-C344)/MAX(1,ABS(C344)),ABS(B344-C344)))</f>
        <v>0</v>
      </c>
      <c r="E344" s="0" t="n">
        <f aca="false">Python_Ref!E344</f>
        <v>1E-010</v>
      </c>
      <c r="F344" s="0" t="n">
        <f aca="false">IF(D344&lt;=E344,1,0)</f>
        <v>1</v>
      </c>
    </row>
    <row r="345" customFormat="false" ht="15" hidden="false" customHeight="false" outlineLevel="0" collapsed="false">
      <c r="A345" s="0" t="str">
        <f aca="false">Python_Ref!B345</f>
        <v>bt 10d LR_cc</v>
      </c>
      <c r="B345" s="0" t="n">
        <f aca="false">Backtest!M24</f>
        <v>0.100904248603623</v>
      </c>
      <c r="C345" s="0" t="n">
        <f aca="false">Python_Ref!C345</f>
        <v>0.100904248603625</v>
      </c>
      <c r="D345" s="0" t="n">
        <f aca="false">IF(Python_Ref!D345="text",IF(B345=C345,0,1),IF(Python_Ref!D345="rel",ABS(B345-C345)/MAX(1,ABS(C345)),ABS(B345-C345)))</f>
        <v>1.79023462720807E-015</v>
      </c>
      <c r="E345" s="0" t="n">
        <f aca="false">Python_Ref!E345</f>
        <v>1E-009</v>
      </c>
      <c r="F345" s="0" t="n">
        <f aca="false">IF(D345&lt;=E345,1,0)</f>
        <v>1</v>
      </c>
    </row>
    <row r="346" customFormat="false" ht="15" hidden="false" customHeight="false" outlineLevel="0" collapsed="false">
      <c r="A346" s="0" t="str">
        <f aca="false">Python_Ref!B346</f>
        <v>bt 10d p_cc</v>
      </c>
      <c r="B346" s="0" t="n">
        <f aca="false">Backtest!M25</f>
        <v>0.950799447770088</v>
      </c>
      <c r="C346" s="0" t="n">
        <f aca="false">Python_Ref!C346</f>
        <v>0.950799447770087</v>
      </c>
      <c r="D346" s="0" t="n">
        <f aca="false">IF(Python_Ref!D346="text",IF(B346=C346,0,1),IF(Python_Ref!D346="rel",ABS(B346-C346)/MAX(1,ABS(C346)),ABS(B346-C346)))</f>
        <v>0</v>
      </c>
      <c r="E346" s="0" t="n">
        <f aca="false">Python_Ref!E346</f>
        <v>1E-010</v>
      </c>
      <c r="F346" s="0" t="n">
        <f aca="false">IF(D346&lt;=E346,1,0)</f>
        <v>1</v>
      </c>
    </row>
    <row r="347" customFormat="false" ht="15" hidden="false" customHeight="false" outlineLevel="0" collapsed="false">
      <c r="A347" s="0" t="str">
        <f aca="false">Python_Ref!B347</f>
        <v>bt 10d zone</v>
      </c>
      <c r="B347" s="0" t="str">
        <f aca="false">Backtest!M28</f>
        <v>Green</v>
      </c>
      <c r="C347" s="0" t="str">
        <f aca="false">Python_Ref!C347</f>
        <v>Green</v>
      </c>
      <c r="D347" s="0" t="n">
        <f aca="false">IF(Python_Ref!D347="text",IF(B347=C347,0,1),IF(Python_Ref!D347="rel",ABS(B347-C347)/MAX(1,ABS(C347)),ABS(B347-C347)))</f>
        <v>0</v>
      </c>
      <c r="E347" s="0" t="n">
        <f aca="false">Python_Ref!E347</f>
        <v>0</v>
      </c>
      <c r="F347" s="0" t="n">
        <f aca="false">IF(D347&lt;=E347,1,0)</f>
        <v>1</v>
      </c>
    </row>
    <row r="348" customFormat="false" ht="15" hidden="false" customHeight="false" outlineLevel="0" collapsed="false">
      <c r="A348" s="0" t="str">
        <f aca="false">Python_Ref!B348</f>
        <v>bt 1d x250</v>
      </c>
      <c r="B348" s="0" t="n">
        <f aca="false">Backtest!L29</f>
        <v>0</v>
      </c>
      <c r="C348" s="0" t="n">
        <f aca="false">Python_Ref!C348</f>
        <v>0</v>
      </c>
      <c r="D348" s="0" t="n">
        <f aca="false">IF(Python_Ref!D348="text",IF(B348=C348,0,1),IF(Python_Ref!D348="rel",ABS(B348-C348)/MAX(1,ABS(C348)),ABS(B348-C348)))</f>
        <v>0</v>
      </c>
      <c r="E348" s="0" t="n">
        <f aca="false">Python_Ref!E348</f>
        <v>0</v>
      </c>
      <c r="F348" s="0" t="n">
        <f aca="false">IF(D348&lt;=E348,1,0)</f>
        <v>1</v>
      </c>
    </row>
    <row r="349" customFormat="false" ht="15" hidden="false" customHeight="false" outlineLevel="0" collapsed="false">
      <c r="A349" s="0" t="str">
        <f aca="false">Python_Ref!B349</f>
        <v>bt 1d zone250</v>
      </c>
      <c r="B349" s="0" t="str">
        <f aca="false">Backtest!L30</f>
        <v>Green</v>
      </c>
      <c r="C349" s="0" t="str">
        <f aca="false">Python_Ref!C349</f>
        <v>Green</v>
      </c>
      <c r="D349" s="0" t="n">
        <f aca="false">IF(Python_Ref!D349="text",IF(B349=C349,0,1),IF(Python_Ref!D349="rel",ABS(B349-C349)/MAX(1,ABS(C349)),ABS(B349-C349)))</f>
        <v>0</v>
      </c>
      <c r="E349" s="0" t="n">
        <f aca="false">Python_Ref!E349</f>
        <v>0</v>
      </c>
      <c r="F349" s="0" t="n">
        <f aca="false">IF(D349&lt;=E349,1,0)</f>
        <v>1</v>
      </c>
    </row>
    <row r="350" customFormat="false" ht="15" hidden="false" customHeight="false" outlineLevel="0" collapsed="false">
      <c r="A350" s="0" t="str">
        <f aca="false">Python_Ref!B350</f>
        <v>attr shapley matured_trades</v>
      </c>
      <c r="B350" s="0" t="n">
        <f aca="false">Attribution!B25</f>
        <v>-691528.257431957</v>
      </c>
      <c r="C350" s="0" t="n">
        <f aca="false">Python_Ref!C350</f>
        <v>-691528.257431957</v>
      </c>
      <c r="D350" s="0" t="n">
        <f aca="false">IF(Python_Ref!D350="text",IF(B350=C350,0,1),IF(Python_Ref!D350="rel",ABS(B350-C350)/MAX(1,ABS(C350)),ABS(B350-C350)))</f>
        <v>0</v>
      </c>
      <c r="E350" s="0" t="n">
        <f aca="false">Python_Ref!E350</f>
        <v>0.01</v>
      </c>
      <c r="F350" s="0" t="n">
        <f aca="false">IF(D350&lt;=E350,1,0)</f>
        <v>1</v>
      </c>
    </row>
    <row r="351" customFormat="false" ht="15" hidden="false" customHeight="false" outlineLevel="0" collapsed="false">
      <c r="A351" s="0" t="str">
        <f aca="false">Python_Ref!B351</f>
        <v>attr oaat matured_trades</v>
      </c>
      <c r="B351" s="0" t="n">
        <f aca="false">Attribution!D25</f>
        <v>-914220.831390393</v>
      </c>
      <c r="C351" s="0" t="n">
        <f aca="false">Python_Ref!C351</f>
        <v>-914220.831390393</v>
      </c>
      <c r="D351" s="0" t="n">
        <f aca="false">IF(Python_Ref!D351="text",IF(B351=C351,0,1),IF(Python_Ref!D351="rel",ABS(B351-C351)/MAX(1,ABS(C351)),ABS(B351-C351)))</f>
        <v>0</v>
      </c>
      <c r="E351" s="0" t="n">
        <f aca="false">Python_Ref!E351</f>
        <v>0.01</v>
      </c>
      <c r="F351" s="0" t="n">
        <f aca="false">IF(D351&lt;=E351,1,0)</f>
        <v>1</v>
      </c>
    </row>
    <row r="352" customFormat="false" ht="15" hidden="false" customHeight="false" outlineLevel="0" collapsed="false">
      <c r="A352" s="0" t="str">
        <f aca="false">Python_Ref!B352</f>
        <v>attr bridge matured_trades</v>
      </c>
      <c r="B352" s="0" t="n">
        <f aca="false">Attribution!E25</f>
        <v>-914220.831390393</v>
      </c>
      <c r="C352" s="0" t="n">
        <f aca="false">Python_Ref!C352</f>
        <v>-914220.831390393</v>
      </c>
      <c r="D352" s="0" t="n">
        <f aca="false">IF(Python_Ref!D352="text",IF(B352=C352,0,1),IF(Python_Ref!D352="rel",ABS(B352-C352)/MAX(1,ABS(C352)),ABS(B352-C352)))</f>
        <v>0</v>
      </c>
      <c r="E352" s="0" t="n">
        <f aca="false">Python_Ref!E352</f>
        <v>0.01</v>
      </c>
      <c r="F352" s="0" t="n">
        <f aca="false">IF(D352&lt;=E352,1,0)</f>
        <v>1</v>
      </c>
    </row>
    <row r="353" customFormat="false" ht="15" hidden="false" customHeight="false" outlineLevel="0" collapsed="false">
      <c r="A353" s="0" t="str">
        <f aca="false">Python_Ref!B353</f>
        <v>attr shapley new_trades</v>
      </c>
      <c r="B353" s="0" t="n">
        <f aca="false">Attribution!B26</f>
        <v>4674897.99620127</v>
      </c>
      <c r="C353" s="0" t="n">
        <f aca="false">Python_Ref!C353</f>
        <v>4674897.99620127</v>
      </c>
      <c r="D353" s="0" t="n">
        <f aca="false">IF(Python_Ref!D353="text",IF(B353=C353,0,1),IF(Python_Ref!D353="rel",ABS(B353-C353)/MAX(1,ABS(C353)),ABS(B353-C353)))</f>
        <v>0</v>
      </c>
      <c r="E353" s="0" t="n">
        <f aca="false">Python_Ref!E353</f>
        <v>0.01</v>
      </c>
      <c r="F353" s="0" t="n">
        <f aca="false">IF(D353&lt;=E353,1,0)</f>
        <v>1</v>
      </c>
    </row>
    <row r="354" customFormat="false" ht="15" hidden="false" customHeight="false" outlineLevel="0" collapsed="false">
      <c r="A354" s="0" t="str">
        <f aca="false">Python_Ref!B354</f>
        <v>attr oaat new_trades</v>
      </c>
      <c r="B354" s="0" t="n">
        <f aca="false">Attribution!D26</f>
        <v>4576775.40226244</v>
      </c>
      <c r="C354" s="0" t="n">
        <f aca="false">Python_Ref!C354</f>
        <v>4576775.40226244</v>
      </c>
      <c r="D354" s="0" t="n">
        <f aca="false">IF(Python_Ref!D354="text",IF(B354=C354,0,1),IF(Python_Ref!D354="rel",ABS(B354-C354)/MAX(1,ABS(C354)),ABS(B354-C354)))</f>
        <v>0</v>
      </c>
      <c r="E354" s="0" t="n">
        <f aca="false">Python_Ref!E354</f>
        <v>0.01</v>
      </c>
      <c r="F354" s="0" t="n">
        <f aca="false">IF(D354&lt;=E354,1,0)</f>
        <v>1</v>
      </c>
    </row>
    <row r="355" customFormat="false" ht="15" hidden="false" customHeight="false" outlineLevel="0" collapsed="false">
      <c r="A355" s="0" t="str">
        <f aca="false">Python_Ref!B355</f>
        <v>attr bridge new_trades</v>
      </c>
      <c r="B355" s="0" t="n">
        <f aca="false">Attribution!E26</f>
        <v>4964959.19903923</v>
      </c>
      <c r="C355" s="0" t="n">
        <f aca="false">Python_Ref!C355</f>
        <v>4964959.19903923</v>
      </c>
      <c r="D355" s="0" t="n">
        <f aca="false">IF(Python_Ref!D355="text",IF(B355=C355,0,1),IF(Python_Ref!D355="rel",ABS(B355-C355)/MAX(1,ABS(C355)),ABS(B355-C355)))</f>
        <v>0</v>
      </c>
      <c r="E355" s="0" t="n">
        <f aca="false">Python_Ref!E355</f>
        <v>0.01</v>
      </c>
      <c r="F355" s="0" t="n">
        <f aca="false">IF(D355&lt;=E355,1,0)</f>
        <v>1</v>
      </c>
    </row>
    <row r="356" customFormat="false" ht="15" hidden="false" customHeight="false" outlineLevel="0" collapsed="false">
      <c r="A356" s="0" t="str">
        <f aca="false">Python_Ref!B356</f>
        <v>attr shapley market_move</v>
      </c>
      <c r="B356" s="0" t="n">
        <f aca="false">Attribution!B27</f>
        <v>-146710.71559169</v>
      </c>
      <c r="C356" s="0" t="n">
        <f aca="false">Python_Ref!C356</f>
        <v>-146710.71559169</v>
      </c>
      <c r="D356" s="0" t="n">
        <f aca="false">IF(Python_Ref!D356="text",IF(B356=C356,0,1),IF(Python_Ref!D356="rel",ABS(B356-C356)/MAX(1,ABS(C356)),ABS(B356-C356)))</f>
        <v>0</v>
      </c>
      <c r="E356" s="0" t="n">
        <f aca="false">Python_Ref!E356</f>
        <v>0.01</v>
      </c>
      <c r="F356" s="0" t="n">
        <f aca="false">IF(D356&lt;=E356,1,0)</f>
        <v>1</v>
      </c>
    </row>
    <row r="357" customFormat="false" ht="15" hidden="false" customHeight="false" outlineLevel="0" collapsed="false">
      <c r="A357" s="0" t="str">
        <f aca="false">Python_Ref!B357</f>
        <v>attr oaat market_move</v>
      </c>
      <c r="B357" s="0" t="n">
        <f aca="false">Attribution!D27</f>
        <v>-127876.806503549</v>
      </c>
      <c r="C357" s="0" t="n">
        <f aca="false">Python_Ref!C357</f>
        <v>-127876.806503549</v>
      </c>
      <c r="D357" s="0" t="n">
        <f aca="false">IF(Python_Ref!D357="text",IF(B357=C357,0,1),IF(Python_Ref!D357="rel",ABS(B357-C357)/MAX(1,ABS(C357)),ABS(B357-C357)))</f>
        <v>0</v>
      </c>
      <c r="E357" s="0" t="n">
        <f aca="false">Python_Ref!E357</f>
        <v>0.01</v>
      </c>
      <c r="F357" s="0" t="n">
        <f aca="false">IF(D357&lt;=E357,1,0)</f>
        <v>1</v>
      </c>
    </row>
    <row r="358" customFormat="false" ht="15" hidden="false" customHeight="false" outlineLevel="0" collapsed="false">
      <c r="A358" s="0" t="str">
        <f aca="false">Python_Ref!B358</f>
        <v>attr bridge market_move</v>
      </c>
      <c r="B358" s="0" t="n">
        <f aca="false">Attribution!E27</f>
        <v>-183275.792091064</v>
      </c>
      <c r="C358" s="0" t="n">
        <f aca="false">Python_Ref!C358</f>
        <v>-183275.792091064</v>
      </c>
      <c r="D358" s="0" t="n">
        <f aca="false">IF(Python_Ref!D358="text",IF(B358=C358,0,1),IF(Python_Ref!D358="rel",ABS(B358-C358)/MAX(1,ABS(C358)),ABS(B358-C358)))</f>
        <v>0</v>
      </c>
      <c r="E358" s="0" t="n">
        <f aca="false">Python_Ref!E358</f>
        <v>0.01</v>
      </c>
      <c r="F358" s="0" t="n">
        <f aca="false">IF(D358&lt;=E358,1,0)</f>
        <v>1</v>
      </c>
    </row>
    <row r="359" customFormat="false" ht="15" hidden="false" customHeight="false" outlineLevel="0" collapsed="false">
      <c r="A359" s="0" t="str">
        <f aca="false">Python_Ref!B359</f>
        <v>attr shapley parameter_version</v>
      </c>
      <c r="B359" s="0" t="n">
        <f aca="false">Attribution!B28</f>
        <v>203810.804582094</v>
      </c>
      <c r="C359" s="0" t="n">
        <f aca="false">Python_Ref!C359</f>
        <v>203810.804582094</v>
      </c>
      <c r="D359" s="0" t="n">
        <f aca="false">IF(Python_Ref!D359="text",IF(B359=C359,0,1),IF(Python_Ref!D359="rel",ABS(B359-C359)/MAX(1,ABS(C359)),ABS(B359-C359)))</f>
        <v>0</v>
      </c>
      <c r="E359" s="0" t="n">
        <f aca="false">Python_Ref!E359</f>
        <v>0.01</v>
      </c>
      <c r="F359" s="0" t="n">
        <f aca="false">IF(D359&lt;=E359,1,0)</f>
        <v>1</v>
      </c>
    </row>
    <row r="360" customFormat="false" ht="15" hidden="false" customHeight="false" outlineLevel="0" collapsed="false">
      <c r="A360" s="0" t="str">
        <f aca="false">Python_Ref!B360</f>
        <v>attr oaat parameter_version</v>
      </c>
      <c r="B360" s="0" t="n">
        <f aca="false">Attribution!D28</f>
        <v>231657.577515144</v>
      </c>
      <c r="C360" s="0" t="n">
        <f aca="false">Python_Ref!C360</f>
        <v>231657.577515144</v>
      </c>
      <c r="D360" s="0" t="n">
        <f aca="false">IF(Python_Ref!D360="text",IF(B360=C360,0,1),IF(Python_Ref!D360="rel",ABS(B360-C360)/MAX(1,ABS(C360)),ABS(B360-C360)))</f>
        <v>0</v>
      </c>
      <c r="E360" s="0" t="n">
        <f aca="false">Python_Ref!E360</f>
        <v>0.01</v>
      </c>
      <c r="F360" s="0" t="n">
        <f aca="false">IF(D360&lt;=E360,1,0)</f>
        <v>1</v>
      </c>
    </row>
    <row r="361" customFormat="false" ht="15" hidden="false" customHeight="false" outlineLevel="0" collapsed="false">
      <c r="A361" s="0" t="str">
        <f aca="false">Python_Ref!B361</f>
        <v>attr bridge parameter_version</v>
      </c>
      <c r="B361" s="0" t="n">
        <f aca="false">Attribution!E28</f>
        <v>173007.252201943</v>
      </c>
      <c r="C361" s="0" t="n">
        <f aca="false">Python_Ref!C361</f>
        <v>173007.252201943</v>
      </c>
      <c r="D361" s="0" t="n">
        <f aca="false">IF(Python_Ref!D361="text",IF(B361=C361,0,1),IF(Python_Ref!D361="rel",ABS(B361-C361)/MAX(1,ABS(C361)),ABS(B361-C361)))</f>
        <v>0</v>
      </c>
      <c r="E361" s="0" t="n">
        <f aca="false">Python_Ref!E361</f>
        <v>0.01</v>
      </c>
      <c r="F361" s="0" t="n">
        <f aca="false">IF(D361&lt;=E361,1,0)</f>
        <v>1</v>
      </c>
    </row>
    <row r="362" customFormat="false" ht="15" hidden="false" customHeight="false" outlineLevel="0" collapsed="false">
      <c r="A362" s="0" t="str">
        <f aca="false">Python_Ref!B362</f>
        <v>attr dim</v>
      </c>
      <c r="B362" s="0" t="n">
        <f aca="false">Attribution!B30</f>
        <v>4040469.82775972</v>
      </c>
      <c r="C362" s="0" t="n">
        <f aca="false">Python_Ref!C362</f>
        <v>4040469.82775972</v>
      </c>
      <c r="D362" s="0" t="n">
        <f aca="false">IF(Python_Ref!D362="text",IF(B362=C362,0,1),IF(Python_Ref!D362="rel",ABS(B362-C362)/MAX(1,ABS(C362)),ABS(B362-C362)))</f>
        <v>0</v>
      </c>
      <c r="E362" s="0" t="n">
        <f aca="false">Python_Ref!E362</f>
        <v>0.01</v>
      </c>
      <c r="F362" s="0" t="n">
        <f aca="false">IF(D362&lt;=E362,1,0)</f>
        <v>1</v>
      </c>
    </row>
    <row r="363" customFormat="false" ht="15" hidden="false" customHeight="false" outlineLevel="0" collapsed="false">
      <c r="A363" s="0" t="str">
        <f aca="false">Python_Ref!B363</f>
        <v>attr shapley_sum</v>
      </c>
      <c r="B363" s="0" t="n">
        <f aca="false">Attribution!B29</f>
        <v>4040469.82775972</v>
      </c>
      <c r="C363" s="0" t="n">
        <f aca="false">Python_Ref!C363</f>
        <v>4040469.82775971</v>
      </c>
      <c r="D363" s="0" t="n">
        <f aca="false">IF(Python_Ref!D363="text",IF(B363=C363,0,1),IF(Python_Ref!D363="rel",ABS(B363-C363)/MAX(1,ABS(C363)),ABS(B363-C363)))</f>
        <v>0</v>
      </c>
      <c r="E363" s="0" t="n">
        <f aca="false">Python_Ref!E363</f>
        <v>0.01</v>
      </c>
      <c r="F363" s="0" t="n">
        <f aca="false">IF(D363&lt;=E363,1,0)</f>
        <v>1</v>
      </c>
    </row>
    <row r="364" customFormat="false" ht="15" hidden="false" customHeight="false" outlineLevel="0" collapsed="false">
      <c r="A364" s="0" t="str">
        <f aca="false">Python_Ref!B364</f>
        <v>attr oaat_residual</v>
      </c>
      <c r="B364" s="0" t="n">
        <f aca="false">Attribution!D31</f>
        <v>274134.485876075</v>
      </c>
      <c r="C364" s="0" t="n">
        <f aca="false">Python_Ref!C364</f>
        <v>274134.485876075</v>
      </c>
      <c r="D364" s="0" t="n">
        <f aca="false">IF(Python_Ref!D364="text",IF(B364=C364,0,1),IF(Python_Ref!D364="rel",ABS(B364-C364)/MAX(1,ABS(C364)),ABS(B364-C364)))</f>
        <v>0</v>
      </c>
      <c r="E364" s="0" t="n">
        <f aca="false">Python_Ref!E364</f>
        <v>0.01</v>
      </c>
      <c r="F364" s="0" t="n">
        <f aca="false">IF(D364&lt;=E364,1,0)</f>
        <v>1</v>
      </c>
    </row>
    <row r="365" customFormat="false" ht="15" hidden="false" customHeight="false" outlineLevel="0" collapsed="false">
      <c r="A365" s="0" t="str">
        <f aca="false">Python_Ref!B365</f>
        <v>attr substeps_sum</v>
      </c>
      <c r="B365" s="0" t="n">
        <f aca="false">Attribution!B38</f>
        <v>-183275.792091064</v>
      </c>
      <c r="C365" s="0" t="n">
        <f aca="false">Python_Ref!C365</f>
        <v>-183275.792091064</v>
      </c>
      <c r="D365" s="0" t="n">
        <f aca="false">IF(Python_Ref!D365="text",IF(B365=C365,0,1),IF(Python_Ref!D365="rel",ABS(B365-C365)/MAX(1,ABS(C365)),ABS(B365-C365)))</f>
        <v>0</v>
      </c>
      <c r="E365" s="0" t="n">
        <f aca="false">Python_Ref!E365</f>
        <v>0.01</v>
      </c>
      <c r="F365" s="0" t="n">
        <f aca="false">IF(D365&lt;=E365,1,0)</f>
        <v>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2734375" defaultRowHeight="15" customHeight="false" zeroHeight="false" outlineLevelRow="0" outlineLevelCol="0"/>
  <cols>
    <col collapsed="false" customWidth="true" hidden="false" outlineLevel="0" max="1" min="1" style="0" width="46"/>
  </cols>
  <sheetData>
    <row r="1" customFormat="false" ht="15" hidden="false" customHeight="false" outlineLevel="0" collapsed="false">
      <c r="A1" s="1" t="s">
        <v>1917</v>
      </c>
    </row>
    <row r="3" customFormat="false" ht="15" hidden="false" customHeight="false" outlineLevel="0" collapsed="false">
      <c r="A3" s="0" t="s">
        <v>1918</v>
      </c>
    </row>
    <row r="5" customFormat="false" ht="15" hidden="false" customHeight="false" outlineLevel="0" collapsed="false">
      <c r="A5" s="0" t="s">
        <v>1919</v>
      </c>
    </row>
    <row r="7" customFormat="false" ht="15" hidden="false" customHeight="false" outlineLevel="0" collapsed="false">
      <c r="A7" s="0" t="s">
        <v>1920</v>
      </c>
    </row>
    <row r="9" customFormat="false" ht="15" hidden="false" customHeight="false" outlineLevel="0" collapsed="false">
      <c r="A9" s="0" t="s">
        <v>1921</v>
      </c>
    </row>
    <row r="11" customFormat="false" ht="15" hidden="false" customHeight="false" outlineLevel="0" collapsed="false">
      <c r="A11" s="0" t="s">
        <v>1922</v>
      </c>
    </row>
    <row r="13" customFormat="false" ht="15" hidden="false" customHeight="false" outlineLevel="0" collapsed="false">
      <c r="A13" s="0" t="s">
        <v>1923</v>
      </c>
    </row>
    <row r="15" customFormat="false" ht="15" hidden="false" customHeight="false" outlineLevel="0" collapsed="false">
      <c r="A15" s="0" t="s">
        <v>1924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6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2734375" defaultRowHeight="15" customHeight="false" zeroHeight="false" outlineLevelRow="0" outlineLevelCol="0"/>
  <cols>
    <col collapsed="false" customWidth="true" hidden="false" outlineLevel="0" max="1" min="1" style="0" width="46"/>
  </cols>
  <sheetData>
    <row r="1" customFormat="false" ht="15" hidden="false" customHeight="false" outlineLevel="0" collapsed="false">
      <c r="A1" s="1" t="s">
        <v>1925</v>
      </c>
    </row>
    <row r="4" customFormat="false" ht="15" hidden="false" customHeight="false" outlineLevel="0" collapsed="false">
      <c r="A4" s="1" t="s">
        <v>48</v>
      </c>
      <c r="B4" s="1" t="s">
        <v>1926</v>
      </c>
      <c r="C4" s="1" t="s">
        <v>1913</v>
      </c>
      <c r="D4" s="1" t="s">
        <v>1927</v>
      </c>
      <c r="E4" s="1" t="s">
        <v>1915</v>
      </c>
    </row>
    <row r="6" customFormat="false" ht="15" hidden="false" customHeight="false" outlineLevel="0" collapsed="false">
      <c r="A6" s="0" t="s">
        <v>1928</v>
      </c>
      <c r="B6" s="0" t="s">
        <v>1929</v>
      </c>
      <c r="C6" s="0" t="n">
        <v>638647.77101936</v>
      </c>
      <c r="D6" s="0" t="s">
        <v>1930</v>
      </c>
      <c r="E6" s="0" t="n">
        <v>0.001</v>
      </c>
    </row>
    <row r="7" customFormat="false" ht="15" hidden="false" customHeight="false" outlineLevel="0" collapsed="false">
      <c r="A7" s="0" t="s">
        <v>1931</v>
      </c>
      <c r="B7" s="0" t="s">
        <v>1932</v>
      </c>
      <c r="C7" s="0" t="n">
        <v>1213662.4175248</v>
      </c>
      <c r="D7" s="0" t="s">
        <v>1930</v>
      </c>
      <c r="E7" s="0" t="n">
        <v>1E-009</v>
      </c>
    </row>
    <row r="8" customFormat="false" ht="15" hidden="false" customHeight="false" outlineLevel="0" collapsed="false">
      <c r="A8" s="0" t="s">
        <v>1933</v>
      </c>
      <c r="B8" s="0" t="s">
        <v>1934</v>
      </c>
      <c r="C8" s="0" t="n">
        <v>796644.10571804</v>
      </c>
      <c r="D8" s="0" t="s">
        <v>1930</v>
      </c>
      <c r="E8" s="0" t="n">
        <v>1E-009</v>
      </c>
    </row>
    <row r="9" customFormat="false" ht="15" hidden="false" customHeight="false" outlineLevel="0" collapsed="false">
      <c r="A9" s="0" t="s">
        <v>1935</v>
      </c>
      <c r="B9" s="0" t="s">
        <v>1936</v>
      </c>
      <c r="C9" s="0" t="n">
        <v>704999.647520219</v>
      </c>
      <c r="D9" s="0" t="s">
        <v>1930</v>
      </c>
      <c r="E9" s="0" t="n">
        <v>0.001</v>
      </c>
    </row>
    <row r="10" customFormat="false" ht="15" hidden="false" customHeight="false" outlineLevel="0" collapsed="false">
      <c r="A10" s="0" t="s">
        <v>1937</v>
      </c>
      <c r="B10" s="0" t="s">
        <v>1938</v>
      </c>
      <c r="C10" s="0" t="n">
        <v>104841.752239271</v>
      </c>
      <c r="D10" s="0" t="s">
        <v>1930</v>
      </c>
      <c r="E10" s="0" t="n">
        <v>0.001</v>
      </c>
    </row>
    <row r="11" customFormat="false" ht="15" hidden="false" customHeight="false" outlineLevel="0" collapsed="false">
      <c r="A11" s="0" t="s">
        <v>1939</v>
      </c>
      <c r="B11" s="0" t="s">
        <v>1940</v>
      </c>
      <c r="C11" s="0" t="n">
        <v>0</v>
      </c>
      <c r="D11" s="0" t="s">
        <v>1930</v>
      </c>
      <c r="E11" s="0" t="n">
        <v>1E-009</v>
      </c>
    </row>
    <row r="12" customFormat="false" ht="15" hidden="false" customHeight="false" outlineLevel="0" collapsed="false">
      <c r="A12" s="0" t="s">
        <v>1941</v>
      </c>
      <c r="B12" s="0" t="s">
        <v>1942</v>
      </c>
      <c r="C12" s="0" t="n">
        <v>0</v>
      </c>
      <c r="D12" s="0" t="s">
        <v>1930</v>
      </c>
      <c r="E12" s="0" t="n">
        <v>1E-009</v>
      </c>
    </row>
    <row r="13" customFormat="false" ht="15" hidden="false" customHeight="false" outlineLevel="0" collapsed="false">
      <c r="A13" s="0" t="s">
        <v>1943</v>
      </c>
      <c r="B13" s="0" t="s">
        <v>1944</v>
      </c>
      <c r="C13" s="0" t="n">
        <v>4103.43880670599</v>
      </c>
      <c r="D13" s="0" t="s">
        <v>1930</v>
      </c>
      <c r="E13" s="0" t="n">
        <v>1E-009</v>
      </c>
    </row>
    <row r="14" customFormat="false" ht="15" hidden="false" customHeight="false" outlineLevel="0" collapsed="false">
      <c r="A14" s="0" t="s">
        <v>1945</v>
      </c>
      <c r="B14" s="0" t="s">
        <v>1946</v>
      </c>
      <c r="C14" s="0" t="n">
        <v>125878.891356343</v>
      </c>
      <c r="D14" s="0" t="s">
        <v>1930</v>
      </c>
      <c r="E14" s="0" t="n">
        <v>1E-009</v>
      </c>
    </row>
    <row r="15" customFormat="false" ht="15" hidden="false" customHeight="false" outlineLevel="0" collapsed="false">
      <c r="A15" s="0" t="s">
        <v>1947</v>
      </c>
      <c r="B15" s="0" t="s">
        <v>1948</v>
      </c>
      <c r="C15" s="0" t="n">
        <v>-357363.244117359</v>
      </c>
      <c r="D15" s="0" t="s">
        <v>1930</v>
      </c>
      <c r="E15" s="0" t="n">
        <v>1E-009</v>
      </c>
    </row>
    <row r="16" customFormat="false" ht="15" hidden="false" customHeight="false" outlineLevel="0" collapsed="false">
      <c r="A16" s="0" t="s">
        <v>1949</v>
      </c>
      <c r="B16" s="0" t="s">
        <v>1950</v>
      </c>
      <c r="C16" s="0" t="n">
        <v>771461.054334019</v>
      </c>
      <c r="D16" s="0" t="s">
        <v>1930</v>
      </c>
      <c r="E16" s="0" t="n">
        <v>1E-009</v>
      </c>
    </row>
    <row r="17" customFormat="false" ht="15" hidden="false" customHeight="false" outlineLevel="0" collapsed="false">
      <c r="A17" s="0" t="s">
        <v>1951</v>
      </c>
      <c r="B17" s="0" t="s">
        <v>1952</v>
      </c>
      <c r="C17" s="0" t="n">
        <v>-5610.33935691239</v>
      </c>
      <c r="D17" s="0" t="s">
        <v>1930</v>
      </c>
      <c r="E17" s="0" t="n">
        <v>1E-009</v>
      </c>
    </row>
    <row r="18" customFormat="false" ht="15" hidden="false" customHeight="false" outlineLevel="0" collapsed="false">
      <c r="A18" s="0" t="s">
        <v>1953</v>
      </c>
      <c r="B18" s="0" t="s">
        <v>1954</v>
      </c>
      <c r="C18" s="0" t="n">
        <v>-231816.333784849</v>
      </c>
      <c r="D18" s="0" t="s">
        <v>1930</v>
      </c>
      <c r="E18" s="0" t="n">
        <v>1E-009</v>
      </c>
    </row>
    <row r="19" customFormat="false" ht="15" hidden="false" customHeight="false" outlineLevel="0" collapsed="false">
      <c r="A19" s="0" t="s">
        <v>1955</v>
      </c>
      <c r="B19" s="0" t="s">
        <v>1956</v>
      </c>
      <c r="C19" s="0" t="n">
        <v>1383391.75817609</v>
      </c>
      <c r="D19" s="0" t="s">
        <v>1930</v>
      </c>
      <c r="E19" s="0" t="n">
        <v>1E-009</v>
      </c>
    </row>
    <row r="20" customFormat="false" ht="15" hidden="false" customHeight="false" outlineLevel="0" collapsed="false">
      <c r="A20" s="0" t="s">
        <v>1957</v>
      </c>
      <c r="B20" s="0" t="s">
        <v>1958</v>
      </c>
      <c r="C20" s="0" t="n">
        <v>4917.97544774961</v>
      </c>
      <c r="D20" s="0" t="s">
        <v>1930</v>
      </c>
      <c r="E20" s="0" t="n">
        <v>1E-009</v>
      </c>
    </row>
    <row r="21" customFormat="false" ht="15" hidden="false" customHeight="false" outlineLevel="0" collapsed="false">
      <c r="A21" s="0" t="s">
        <v>1959</v>
      </c>
      <c r="B21" s="0" t="s">
        <v>1960</v>
      </c>
      <c r="C21" s="0" t="n">
        <v>12818.8635610858</v>
      </c>
      <c r="D21" s="0" t="s">
        <v>1930</v>
      </c>
      <c r="E21" s="0" t="n">
        <v>1E-009</v>
      </c>
    </row>
    <row r="22" customFormat="false" ht="15" hidden="false" customHeight="false" outlineLevel="0" collapsed="false">
      <c r="A22" s="0" t="s">
        <v>1961</v>
      </c>
      <c r="B22" s="0" t="s">
        <v>1962</v>
      </c>
      <c r="C22" s="0" t="n">
        <v>-1014352.46133602</v>
      </c>
      <c r="D22" s="0" t="s">
        <v>1930</v>
      </c>
      <c r="E22" s="0" t="n">
        <v>1E-009</v>
      </c>
    </row>
    <row r="23" customFormat="false" ht="15" hidden="false" customHeight="false" outlineLevel="0" collapsed="false">
      <c r="A23" s="0" t="s">
        <v>1963</v>
      </c>
      <c r="B23" s="0" t="s">
        <v>1964</v>
      </c>
      <c r="C23" s="0" t="n">
        <v>1</v>
      </c>
      <c r="D23" s="0" t="s">
        <v>1930</v>
      </c>
      <c r="E23" s="0" t="n">
        <v>1E-009</v>
      </c>
    </row>
    <row r="24" customFormat="false" ht="15" hidden="false" customHeight="false" outlineLevel="0" collapsed="false">
      <c r="A24" s="0" t="s">
        <v>1965</v>
      </c>
      <c r="B24" s="0" t="s">
        <v>1966</v>
      </c>
      <c r="C24" s="0" t="n">
        <v>808937.048870217</v>
      </c>
      <c r="D24" s="0" t="s">
        <v>1930</v>
      </c>
      <c r="E24" s="0" t="n">
        <v>1E-009</v>
      </c>
    </row>
    <row r="25" customFormat="false" ht="15" hidden="false" customHeight="false" outlineLevel="0" collapsed="false">
      <c r="A25" s="0" t="s">
        <v>1967</v>
      </c>
      <c r="B25" s="0" t="s">
        <v>1968</v>
      </c>
      <c r="C25" s="0" t="n">
        <v>693429.60308686</v>
      </c>
      <c r="D25" s="0" t="s">
        <v>1930</v>
      </c>
      <c r="E25" s="0" t="n">
        <v>1E-009</v>
      </c>
    </row>
    <row r="26" customFormat="false" ht="15" hidden="false" customHeight="false" outlineLevel="0" collapsed="false">
      <c r="A26" s="0" t="s">
        <v>1969</v>
      </c>
      <c r="B26" s="0" t="s">
        <v>1970</v>
      </c>
      <c r="C26" s="0" t="n">
        <v>0</v>
      </c>
      <c r="D26" s="0" t="s">
        <v>1930</v>
      </c>
      <c r="E26" s="0" t="n">
        <v>1E-009</v>
      </c>
    </row>
    <row r="27" customFormat="false" ht="15" hidden="false" customHeight="false" outlineLevel="0" collapsed="false">
      <c r="A27" s="0" t="s">
        <v>1971</v>
      </c>
      <c r="B27" s="0" t="s">
        <v>1972</v>
      </c>
      <c r="C27" s="0" t="n">
        <v>0</v>
      </c>
      <c r="D27" s="0" t="s">
        <v>1930</v>
      </c>
      <c r="E27" s="0" t="n">
        <v>1E-009</v>
      </c>
    </row>
    <row r="28" customFormat="false" ht="15" hidden="false" customHeight="false" outlineLevel="0" collapsed="false">
      <c r="A28" s="0" t="s">
        <v>1973</v>
      </c>
      <c r="B28" s="0" t="s">
        <v>1974</v>
      </c>
      <c r="C28" s="0" t="n">
        <v>-54142.0181356907</v>
      </c>
      <c r="D28" s="0" t="s">
        <v>1930</v>
      </c>
      <c r="E28" s="0" t="n">
        <v>1E-009</v>
      </c>
    </row>
    <row r="29" customFormat="false" ht="15" hidden="false" customHeight="false" outlineLevel="0" collapsed="false">
      <c r="A29" s="0" t="s">
        <v>1975</v>
      </c>
      <c r="B29" s="0" t="s">
        <v>1976</v>
      </c>
      <c r="C29" s="0" t="n">
        <v>-102651.745589929</v>
      </c>
      <c r="D29" s="0" t="s">
        <v>1930</v>
      </c>
      <c r="E29" s="0" t="n">
        <v>1E-009</v>
      </c>
    </row>
    <row r="30" customFormat="false" ht="15" hidden="false" customHeight="false" outlineLevel="0" collapsed="false">
      <c r="A30" s="0" t="s">
        <v>1977</v>
      </c>
      <c r="B30" s="0" t="s">
        <v>1978</v>
      </c>
      <c r="C30" s="0" t="n">
        <v>-199.090336791381</v>
      </c>
      <c r="D30" s="0" t="s">
        <v>1930</v>
      </c>
      <c r="E30" s="0" t="n">
        <v>1E-009</v>
      </c>
    </row>
    <row r="31" customFormat="false" ht="15" hidden="false" customHeight="false" outlineLevel="0" collapsed="false">
      <c r="A31" s="0" t="s">
        <v>1979</v>
      </c>
      <c r="B31" s="0" t="s">
        <v>1980</v>
      </c>
      <c r="C31" s="0" t="n">
        <v>-408.894363594905</v>
      </c>
      <c r="D31" s="0" t="s">
        <v>1930</v>
      </c>
      <c r="E31" s="0" t="n">
        <v>1E-009</v>
      </c>
    </row>
    <row r="32" customFormat="false" ht="15" hidden="false" customHeight="false" outlineLevel="0" collapsed="false">
      <c r="A32" s="0" t="s">
        <v>1981</v>
      </c>
      <c r="B32" s="0" t="s">
        <v>1982</v>
      </c>
      <c r="C32" s="0" t="n">
        <v>222777.621176648</v>
      </c>
      <c r="D32" s="0" t="s">
        <v>1930</v>
      </c>
      <c r="E32" s="0" t="n">
        <v>1E-009</v>
      </c>
    </row>
    <row r="33" customFormat="false" ht="15" hidden="false" customHeight="false" outlineLevel="0" collapsed="false">
      <c r="A33" s="0" t="s">
        <v>1983</v>
      </c>
      <c r="B33" s="0" t="s">
        <v>1984</v>
      </c>
      <c r="C33" s="0" t="n">
        <v>1214933.7842762</v>
      </c>
      <c r="D33" s="0" t="s">
        <v>1930</v>
      </c>
      <c r="E33" s="0" t="n">
        <v>1E-009</v>
      </c>
    </row>
    <row r="34" customFormat="false" ht="15" hidden="false" customHeight="false" outlineLevel="0" collapsed="false">
      <c r="A34" s="0" t="s">
        <v>1985</v>
      </c>
      <c r="B34" s="0" t="s">
        <v>1986</v>
      </c>
      <c r="C34" s="0" t="n">
        <v>-1584897.29091792</v>
      </c>
      <c r="D34" s="0" t="s">
        <v>1930</v>
      </c>
      <c r="E34" s="0" t="n">
        <v>1E-009</v>
      </c>
    </row>
    <row r="35" customFormat="false" ht="15" hidden="false" customHeight="false" outlineLevel="0" collapsed="false">
      <c r="A35" s="0" t="s">
        <v>1987</v>
      </c>
      <c r="B35" s="0" t="s">
        <v>1988</v>
      </c>
      <c r="C35" s="0" t="n">
        <v>-1001898.69524799</v>
      </c>
      <c r="D35" s="0" t="s">
        <v>1930</v>
      </c>
      <c r="E35" s="0" t="n">
        <v>1E-009</v>
      </c>
    </row>
    <row r="36" customFormat="false" ht="15" hidden="false" customHeight="false" outlineLevel="0" collapsed="false">
      <c r="A36" s="0" t="s">
        <v>1989</v>
      </c>
      <c r="B36" s="0" t="s">
        <v>1990</v>
      </c>
      <c r="C36" s="0" t="n">
        <v>0</v>
      </c>
      <c r="D36" s="0" t="s">
        <v>1930</v>
      </c>
      <c r="E36" s="0" t="n">
        <v>1E-009</v>
      </c>
    </row>
    <row r="37" customFormat="false" ht="15" hidden="false" customHeight="false" outlineLevel="0" collapsed="false">
      <c r="A37" s="0" t="s">
        <v>1991</v>
      </c>
      <c r="B37" s="0" t="s">
        <v>1992</v>
      </c>
      <c r="C37" s="0" t="n">
        <v>0</v>
      </c>
      <c r="D37" s="0" t="s">
        <v>1930</v>
      </c>
      <c r="E37" s="0" t="n">
        <v>1E-009</v>
      </c>
    </row>
    <row r="38" customFormat="false" ht="15" hidden="false" customHeight="false" outlineLevel="0" collapsed="false">
      <c r="A38" s="0" t="s">
        <v>1993</v>
      </c>
      <c r="B38" s="0" t="s">
        <v>1994</v>
      </c>
      <c r="C38" s="0" t="n">
        <v>1</v>
      </c>
      <c r="D38" s="0" t="s">
        <v>1930</v>
      </c>
      <c r="E38" s="0" t="n">
        <v>1E-009</v>
      </c>
    </row>
    <row r="39" customFormat="false" ht="15" hidden="false" customHeight="false" outlineLevel="0" collapsed="false">
      <c r="A39" s="0" t="s">
        <v>1995</v>
      </c>
      <c r="B39" s="0" t="s">
        <v>1996</v>
      </c>
      <c r="C39" s="0" t="n">
        <v>1351537.68258669</v>
      </c>
      <c r="D39" s="0" t="s">
        <v>1930</v>
      </c>
      <c r="E39" s="0" t="n">
        <v>1E-009</v>
      </c>
    </row>
    <row r="40" customFormat="false" ht="15" hidden="false" customHeight="false" outlineLevel="0" collapsed="false">
      <c r="A40" s="0" t="s">
        <v>1997</v>
      </c>
      <c r="B40" s="0" t="s">
        <v>1998</v>
      </c>
      <c r="C40" s="0" t="n">
        <v>-1306486.32913907</v>
      </c>
      <c r="D40" s="0" t="s">
        <v>1930</v>
      </c>
      <c r="E40" s="0" t="n">
        <v>1E-009</v>
      </c>
    </row>
    <row r="41" customFormat="false" ht="15" hidden="false" customHeight="false" outlineLevel="0" collapsed="false">
      <c r="A41" s="0" t="s">
        <v>1999</v>
      </c>
      <c r="B41" s="0" t="s">
        <v>2000</v>
      </c>
      <c r="C41" s="0" t="n">
        <v>0</v>
      </c>
      <c r="D41" s="0" t="s">
        <v>1930</v>
      </c>
      <c r="E41" s="0" t="n">
        <v>1E-009</v>
      </c>
    </row>
    <row r="42" customFormat="false" ht="15" hidden="false" customHeight="false" outlineLevel="0" collapsed="false">
      <c r="A42" s="0" t="s">
        <v>2001</v>
      </c>
      <c r="B42" s="0" t="s">
        <v>2002</v>
      </c>
      <c r="C42" s="0" t="n">
        <v>0</v>
      </c>
      <c r="D42" s="0" t="s">
        <v>1930</v>
      </c>
      <c r="E42" s="0" t="n">
        <v>1E-009</v>
      </c>
    </row>
    <row r="43" customFormat="false" ht="15" hidden="false" customHeight="false" outlineLevel="0" collapsed="false">
      <c r="A43" s="0" t="s">
        <v>2003</v>
      </c>
      <c r="B43" s="0" t="s">
        <v>2004</v>
      </c>
      <c r="C43" s="0" t="n">
        <v>0</v>
      </c>
      <c r="D43" s="0" t="s">
        <v>1930</v>
      </c>
      <c r="E43" s="0" t="n">
        <v>1E-009</v>
      </c>
    </row>
    <row r="44" customFormat="false" ht="15" hidden="false" customHeight="false" outlineLevel="0" collapsed="false">
      <c r="A44" s="0" t="s">
        <v>2005</v>
      </c>
      <c r="B44" s="0" t="s">
        <v>2006</v>
      </c>
      <c r="C44" s="0" t="n">
        <v>-7233.75888518688</v>
      </c>
      <c r="D44" s="0" t="s">
        <v>1930</v>
      </c>
      <c r="E44" s="0" t="n">
        <v>1E-009</v>
      </c>
    </row>
    <row r="45" customFormat="false" ht="15" hidden="false" customHeight="false" outlineLevel="0" collapsed="false">
      <c r="A45" s="0" t="s">
        <v>2007</v>
      </c>
      <c r="B45" s="0" t="s">
        <v>2008</v>
      </c>
      <c r="C45" s="0" t="n">
        <v>119578.145169815</v>
      </c>
      <c r="D45" s="0" t="s">
        <v>1930</v>
      </c>
      <c r="E45" s="0" t="n">
        <v>1E-009</v>
      </c>
    </row>
    <row r="46" customFormat="false" ht="15" hidden="false" customHeight="false" outlineLevel="0" collapsed="false">
      <c r="A46" s="0" t="s">
        <v>2009</v>
      </c>
      <c r="B46" s="0" t="s">
        <v>2010</v>
      </c>
      <c r="C46" s="0" t="n">
        <v>-2493.34449401355</v>
      </c>
      <c r="D46" s="0" t="s">
        <v>1930</v>
      </c>
      <c r="E46" s="0" t="n">
        <v>1E-009</v>
      </c>
    </row>
    <row r="47" customFormat="false" ht="15" hidden="false" customHeight="false" outlineLevel="0" collapsed="false">
      <c r="A47" s="0" t="s">
        <v>2011</v>
      </c>
      <c r="B47" s="0" t="s">
        <v>2012</v>
      </c>
      <c r="C47" s="0" t="n">
        <v>-6141.67989212524</v>
      </c>
      <c r="D47" s="0" t="s">
        <v>1930</v>
      </c>
      <c r="E47" s="0" t="n">
        <v>1E-009</v>
      </c>
    </row>
    <row r="48" customFormat="false" ht="15" hidden="false" customHeight="false" outlineLevel="0" collapsed="false">
      <c r="A48" s="0" t="s">
        <v>2013</v>
      </c>
      <c r="B48" s="0" t="s">
        <v>2014</v>
      </c>
      <c r="C48" s="0" t="n">
        <v>1144206.70602617</v>
      </c>
      <c r="D48" s="0" t="s">
        <v>1930</v>
      </c>
      <c r="E48" s="0" t="n">
        <v>1E-009</v>
      </c>
    </row>
    <row r="49" customFormat="false" ht="15" hidden="false" customHeight="false" outlineLevel="0" collapsed="false">
      <c r="A49" s="0" t="s">
        <v>2015</v>
      </c>
      <c r="B49" s="0" t="s">
        <v>2016</v>
      </c>
      <c r="C49" s="0" t="n">
        <v>-275131.001462749</v>
      </c>
      <c r="D49" s="0" t="s">
        <v>1930</v>
      </c>
      <c r="E49" s="0" t="n">
        <v>1E-009</v>
      </c>
    </row>
    <row r="50" customFormat="false" ht="15" hidden="false" customHeight="false" outlineLevel="0" collapsed="false">
      <c r="A50" s="0" t="s">
        <v>2017</v>
      </c>
      <c r="B50" s="0" t="s">
        <v>2018</v>
      </c>
      <c r="C50" s="0" t="n">
        <v>0</v>
      </c>
      <c r="D50" s="0" t="s">
        <v>1930</v>
      </c>
      <c r="E50" s="0" t="n">
        <v>1E-009</v>
      </c>
    </row>
    <row r="51" customFormat="false" ht="15" hidden="false" customHeight="false" outlineLevel="0" collapsed="false">
      <c r="A51" s="0" t="s">
        <v>2019</v>
      </c>
      <c r="B51" s="0" t="s">
        <v>2020</v>
      </c>
      <c r="C51" s="0" t="n">
        <v>0</v>
      </c>
      <c r="D51" s="0" t="s">
        <v>1930</v>
      </c>
      <c r="E51" s="0" t="n">
        <v>1E-009</v>
      </c>
    </row>
    <row r="52" customFormat="false" ht="15" hidden="false" customHeight="false" outlineLevel="0" collapsed="false">
      <c r="A52" s="0" t="s">
        <v>2021</v>
      </c>
      <c r="B52" s="0" t="s">
        <v>2022</v>
      </c>
      <c r="C52" s="0" t="n">
        <v>0</v>
      </c>
      <c r="D52" s="0" t="s">
        <v>1930</v>
      </c>
      <c r="E52" s="0" t="n">
        <v>1E-009</v>
      </c>
    </row>
    <row r="53" customFormat="false" ht="15" hidden="false" customHeight="false" outlineLevel="0" collapsed="false">
      <c r="A53" s="0" t="s">
        <v>2023</v>
      </c>
      <c r="B53" s="0" t="s">
        <v>2024</v>
      </c>
      <c r="C53" s="0" t="n">
        <v>1</v>
      </c>
      <c r="D53" s="0" t="s">
        <v>1930</v>
      </c>
      <c r="E53" s="0" t="n">
        <v>1E-009</v>
      </c>
    </row>
    <row r="54" customFormat="false" ht="15" hidden="false" customHeight="false" outlineLevel="0" collapsed="false">
      <c r="A54" s="0" t="s">
        <v>2025</v>
      </c>
      <c r="B54" s="0" t="s">
        <v>2026</v>
      </c>
      <c r="C54" s="0" t="n">
        <v>971143.530279385</v>
      </c>
      <c r="D54" s="0" t="s">
        <v>1930</v>
      </c>
      <c r="E54" s="0" t="n">
        <v>1E-009</v>
      </c>
    </row>
    <row r="55" customFormat="false" ht="15" hidden="false" customHeight="false" outlineLevel="0" collapsed="false">
      <c r="A55" s="0" t="s">
        <v>2027</v>
      </c>
      <c r="B55" s="0" t="s">
        <v>2028</v>
      </c>
      <c r="C55" s="0" t="n">
        <v>971143.530279385</v>
      </c>
      <c r="D55" s="0" t="s">
        <v>1930</v>
      </c>
      <c r="E55" s="0" t="n">
        <v>1E-009</v>
      </c>
    </row>
    <row r="56" customFormat="false" ht="15" hidden="false" customHeight="false" outlineLevel="0" collapsed="false">
      <c r="A56" s="0" t="s">
        <v>2029</v>
      </c>
      <c r="B56" s="0" t="s">
        <v>2030</v>
      </c>
      <c r="C56" s="0" t="n">
        <v>0</v>
      </c>
      <c r="D56" s="0" t="s">
        <v>1930</v>
      </c>
      <c r="E56" s="0" t="n">
        <v>1E-009</v>
      </c>
    </row>
    <row r="57" customFormat="false" ht="15" hidden="false" customHeight="false" outlineLevel="0" collapsed="false">
      <c r="A57" s="0" t="s">
        <v>2031</v>
      </c>
      <c r="B57" s="0" t="s">
        <v>2032</v>
      </c>
      <c r="C57" s="0" t="n">
        <v>0</v>
      </c>
      <c r="D57" s="0" t="s">
        <v>1930</v>
      </c>
      <c r="E57" s="0" t="n">
        <v>1E-009</v>
      </c>
    </row>
    <row r="58" customFormat="false" ht="15" hidden="false" customHeight="false" outlineLevel="0" collapsed="false">
      <c r="A58" s="0" t="s">
        <v>2033</v>
      </c>
      <c r="B58" s="0" t="s">
        <v>2034</v>
      </c>
      <c r="C58" s="0" t="n">
        <v>6000.36390414283</v>
      </c>
      <c r="D58" s="0" t="s">
        <v>1930</v>
      </c>
      <c r="E58" s="0" t="n">
        <v>1E-009</v>
      </c>
    </row>
    <row r="59" customFormat="false" ht="15" hidden="false" customHeight="false" outlineLevel="0" collapsed="false">
      <c r="A59" s="0" t="s">
        <v>2035</v>
      </c>
      <c r="B59" s="0" t="s">
        <v>2036</v>
      </c>
      <c r="C59" s="0" t="n">
        <v>0</v>
      </c>
      <c r="D59" s="0" t="s">
        <v>1930</v>
      </c>
      <c r="E59" s="0" t="n">
        <v>1E-009</v>
      </c>
    </row>
    <row r="60" customFormat="false" ht="15" hidden="false" customHeight="false" outlineLevel="0" collapsed="false">
      <c r="A60" s="0" t="s">
        <v>2037</v>
      </c>
      <c r="B60" s="0" t="s">
        <v>2038</v>
      </c>
      <c r="C60" s="0" t="n">
        <v>120.516526521404</v>
      </c>
      <c r="D60" s="0" t="s">
        <v>1930</v>
      </c>
      <c r="E60" s="0" t="n">
        <v>1E-009</v>
      </c>
    </row>
    <row r="61" customFormat="false" ht="15" hidden="false" customHeight="false" outlineLevel="0" collapsed="false">
      <c r="A61" s="0" t="s">
        <v>2039</v>
      </c>
      <c r="B61" s="0" t="s">
        <v>2040</v>
      </c>
      <c r="C61" s="0" t="n">
        <v>338.623289595895</v>
      </c>
      <c r="D61" s="0" t="s">
        <v>1930</v>
      </c>
      <c r="E61" s="0" t="n">
        <v>1E-009</v>
      </c>
    </row>
    <row r="62" customFormat="false" ht="15" hidden="false" customHeight="false" outlineLevel="0" collapsed="false">
      <c r="A62" s="0" t="s">
        <v>2041</v>
      </c>
      <c r="B62" s="0" t="s">
        <v>2042</v>
      </c>
      <c r="C62" s="0" t="n">
        <v>932.934696259528</v>
      </c>
      <c r="D62" s="0" t="s">
        <v>1930</v>
      </c>
      <c r="E62" s="0" t="n">
        <v>1E-009</v>
      </c>
    </row>
    <row r="63" customFormat="false" ht="15" hidden="false" customHeight="false" outlineLevel="0" collapsed="false">
      <c r="A63" s="0" t="s">
        <v>2043</v>
      </c>
      <c r="B63" s="0" t="s">
        <v>2044</v>
      </c>
      <c r="C63" s="0" t="n">
        <v>4338.85151411879</v>
      </c>
      <c r="D63" s="0" t="s">
        <v>1930</v>
      </c>
      <c r="E63" s="0" t="n">
        <v>1E-009</v>
      </c>
    </row>
    <row r="64" customFormat="false" ht="15" hidden="false" customHeight="false" outlineLevel="0" collapsed="false">
      <c r="A64" s="0" t="s">
        <v>2045</v>
      </c>
      <c r="B64" s="0" t="s">
        <v>2046</v>
      </c>
      <c r="C64" s="0" t="n">
        <v>-715624.825126412</v>
      </c>
      <c r="D64" s="0" t="s">
        <v>1930</v>
      </c>
      <c r="E64" s="0" t="n">
        <v>1E-009</v>
      </c>
    </row>
    <row r="65" customFormat="false" ht="15" hidden="false" customHeight="false" outlineLevel="0" collapsed="false">
      <c r="A65" s="0" t="s">
        <v>2047</v>
      </c>
      <c r="B65" s="0" t="s">
        <v>2048</v>
      </c>
      <c r="C65" s="0" t="n">
        <v>0</v>
      </c>
      <c r="D65" s="0" t="s">
        <v>1930</v>
      </c>
      <c r="E65" s="0" t="n">
        <v>1E-009</v>
      </c>
    </row>
    <row r="66" customFormat="false" ht="15" hidden="false" customHeight="false" outlineLevel="0" collapsed="false">
      <c r="A66" s="0" t="s">
        <v>2049</v>
      </c>
      <c r="B66" s="0" t="s">
        <v>2050</v>
      </c>
      <c r="C66" s="0" t="n">
        <v>0</v>
      </c>
      <c r="D66" s="0" t="s">
        <v>1930</v>
      </c>
      <c r="E66" s="0" t="n">
        <v>1E-009</v>
      </c>
    </row>
    <row r="67" customFormat="false" ht="15" hidden="false" customHeight="false" outlineLevel="0" collapsed="false">
      <c r="A67" s="0" t="s">
        <v>2051</v>
      </c>
      <c r="B67" s="0" t="s">
        <v>2052</v>
      </c>
      <c r="C67" s="0" t="n">
        <v>0</v>
      </c>
      <c r="D67" s="0" t="s">
        <v>1930</v>
      </c>
      <c r="E67" s="0" t="n">
        <v>1E-009</v>
      </c>
    </row>
    <row r="68" customFormat="false" ht="15" hidden="false" customHeight="false" outlineLevel="0" collapsed="false">
      <c r="A68" s="0" t="s">
        <v>2053</v>
      </c>
      <c r="B68" s="0" t="s">
        <v>2054</v>
      </c>
      <c r="C68" s="0" t="n">
        <v>1</v>
      </c>
      <c r="D68" s="0" t="s">
        <v>1930</v>
      </c>
      <c r="E68" s="0" t="n">
        <v>1E-009</v>
      </c>
    </row>
    <row r="69" customFormat="false" ht="15" hidden="false" customHeight="false" outlineLevel="0" collapsed="false">
      <c r="A69" s="0" t="s">
        <v>2055</v>
      </c>
      <c r="B69" s="0" t="s">
        <v>2056</v>
      </c>
      <c r="C69" s="0" t="n">
        <v>708220.885275296</v>
      </c>
      <c r="D69" s="0" t="s">
        <v>1930</v>
      </c>
      <c r="E69" s="0" t="n">
        <v>1E-009</v>
      </c>
    </row>
    <row r="70" customFormat="false" ht="15" hidden="false" customHeight="false" outlineLevel="0" collapsed="false">
      <c r="A70" s="0" t="s">
        <v>2057</v>
      </c>
      <c r="B70" s="0" t="s">
        <v>2058</v>
      </c>
      <c r="C70" s="0" t="n">
        <v>-703893.535195773</v>
      </c>
      <c r="D70" s="0" t="s">
        <v>1930</v>
      </c>
      <c r="E70" s="0" t="n">
        <v>1E-009</v>
      </c>
    </row>
    <row r="71" customFormat="false" ht="15" hidden="false" customHeight="false" outlineLevel="0" collapsed="false">
      <c r="A71" s="0" t="s">
        <v>2059</v>
      </c>
      <c r="B71" s="0" t="s">
        <v>2060</v>
      </c>
      <c r="C71" s="0" t="n">
        <v>0</v>
      </c>
      <c r="D71" s="0" t="s">
        <v>1930</v>
      </c>
      <c r="E71" s="0" t="n">
        <v>1E-009</v>
      </c>
    </row>
    <row r="72" customFormat="false" ht="15" hidden="false" customHeight="false" outlineLevel="0" collapsed="false">
      <c r="A72" s="0" t="s">
        <v>2061</v>
      </c>
      <c r="B72" s="0" t="s">
        <v>2062</v>
      </c>
      <c r="C72" s="0" t="n">
        <v>0</v>
      </c>
      <c r="D72" s="0" t="s">
        <v>1930</v>
      </c>
      <c r="E72" s="0" t="n">
        <v>1E-009</v>
      </c>
    </row>
    <row r="73" customFormat="false" ht="15" hidden="false" customHeight="false" outlineLevel="0" collapsed="false">
      <c r="A73" s="0" t="s">
        <v>2063</v>
      </c>
      <c r="B73" s="0" t="s">
        <v>2064</v>
      </c>
      <c r="C73" s="0" t="n">
        <v>0</v>
      </c>
      <c r="D73" s="0" t="s">
        <v>1930</v>
      </c>
      <c r="E73" s="0" t="n">
        <v>1E-009</v>
      </c>
    </row>
    <row r="74" customFormat="false" ht="15" hidden="false" customHeight="false" outlineLevel="0" collapsed="false">
      <c r="A74" s="0" t="s">
        <v>2065</v>
      </c>
      <c r="B74" s="0" t="s">
        <v>2066</v>
      </c>
      <c r="C74" s="0" t="n">
        <v>-41611.3581964407</v>
      </c>
      <c r="D74" s="0" t="s">
        <v>1930</v>
      </c>
      <c r="E74" s="0" t="n">
        <v>1E-009</v>
      </c>
    </row>
    <row r="75" customFormat="false" ht="15" hidden="false" customHeight="false" outlineLevel="0" collapsed="false">
      <c r="A75" s="0" t="s">
        <v>2067</v>
      </c>
      <c r="B75" s="0" t="s">
        <v>2068</v>
      </c>
      <c r="C75" s="0" t="n">
        <v>12714.448473094</v>
      </c>
      <c r="D75" s="0" t="s">
        <v>1930</v>
      </c>
      <c r="E75" s="0" t="n">
        <v>1E-009</v>
      </c>
    </row>
    <row r="76" customFormat="false" ht="15" hidden="false" customHeight="false" outlineLevel="0" collapsed="false">
      <c r="A76" s="0" t="s">
        <v>2069</v>
      </c>
      <c r="B76" s="0" t="s">
        <v>2070</v>
      </c>
      <c r="C76" s="0" t="n">
        <v>-9959.56025085361</v>
      </c>
      <c r="D76" s="0" t="s">
        <v>1930</v>
      </c>
      <c r="E76" s="0" t="n">
        <v>1E-009</v>
      </c>
    </row>
    <row r="77" customFormat="false" ht="15" hidden="false" customHeight="false" outlineLevel="0" collapsed="false">
      <c r="A77" s="0" t="s">
        <v>2071</v>
      </c>
      <c r="B77" s="0" t="s">
        <v>2072</v>
      </c>
      <c r="C77" s="0" t="n">
        <v>662241.586620976</v>
      </c>
      <c r="D77" s="0" t="s">
        <v>1930</v>
      </c>
      <c r="E77" s="0" t="n">
        <v>1E-009</v>
      </c>
    </row>
    <row r="78" customFormat="false" ht="15" hidden="false" customHeight="false" outlineLevel="0" collapsed="false">
      <c r="A78" s="0" t="s">
        <v>2073</v>
      </c>
      <c r="B78" s="0" t="s">
        <v>2074</v>
      </c>
      <c r="C78" s="0" t="n">
        <v>0</v>
      </c>
      <c r="D78" s="0" t="s">
        <v>1930</v>
      </c>
      <c r="E78" s="0" t="n">
        <v>1E-009</v>
      </c>
    </row>
    <row r="79" customFormat="false" ht="15" hidden="false" customHeight="false" outlineLevel="0" collapsed="false">
      <c r="A79" s="0" t="s">
        <v>2075</v>
      </c>
      <c r="B79" s="0" t="s">
        <v>2076</v>
      </c>
      <c r="C79" s="0" t="n">
        <v>0</v>
      </c>
      <c r="D79" s="0" t="s">
        <v>1930</v>
      </c>
      <c r="E79" s="0" t="n">
        <v>1E-009</v>
      </c>
    </row>
    <row r="80" customFormat="false" ht="15" hidden="false" customHeight="false" outlineLevel="0" collapsed="false">
      <c r="A80" s="0" t="s">
        <v>2077</v>
      </c>
      <c r="B80" s="0" t="s">
        <v>2078</v>
      </c>
      <c r="C80" s="0" t="n">
        <v>0</v>
      </c>
      <c r="D80" s="0" t="s">
        <v>1930</v>
      </c>
      <c r="E80" s="0" t="n">
        <v>1E-009</v>
      </c>
    </row>
    <row r="81" customFormat="false" ht="15" hidden="false" customHeight="false" outlineLevel="0" collapsed="false">
      <c r="A81" s="0" t="s">
        <v>2079</v>
      </c>
      <c r="B81" s="0" t="s">
        <v>2080</v>
      </c>
      <c r="C81" s="0" t="n">
        <v>0</v>
      </c>
      <c r="D81" s="0" t="s">
        <v>1930</v>
      </c>
      <c r="E81" s="0" t="n">
        <v>1E-009</v>
      </c>
    </row>
    <row r="82" customFormat="false" ht="15" hidden="false" customHeight="false" outlineLevel="0" collapsed="false">
      <c r="A82" s="0" t="s">
        <v>2081</v>
      </c>
      <c r="B82" s="0" t="s">
        <v>2082</v>
      </c>
      <c r="C82" s="0" t="n">
        <v>0</v>
      </c>
      <c r="D82" s="0" t="s">
        <v>1930</v>
      </c>
      <c r="E82" s="0" t="n">
        <v>1E-009</v>
      </c>
    </row>
    <row r="83" customFormat="false" ht="15" hidden="false" customHeight="false" outlineLevel="0" collapsed="false">
      <c r="A83" s="0" t="s">
        <v>2083</v>
      </c>
      <c r="B83" s="0" t="s">
        <v>2084</v>
      </c>
      <c r="C83" s="0" t="n">
        <v>1</v>
      </c>
      <c r="D83" s="0" t="s">
        <v>1930</v>
      </c>
      <c r="E83" s="0" t="n">
        <v>1E-009</v>
      </c>
    </row>
    <row r="84" customFormat="false" ht="15" hidden="false" customHeight="false" outlineLevel="0" collapsed="false">
      <c r="A84" s="0" t="s">
        <v>2085</v>
      </c>
      <c r="B84" s="0" t="s">
        <v>2086</v>
      </c>
      <c r="C84" s="0" t="n">
        <v>637216.457642944</v>
      </c>
      <c r="D84" s="0" t="s">
        <v>1930</v>
      </c>
      <c r="E84" s="0" t="n">
        <v>1E-009</v>
      </c>
    </row>
    <row r="85" customFormat="false" ht="15" hidden="false" customHeight="false" outlineLevel="0" collapsed="false">
      <c r="A85" s="0" t="s">
        <v>2087</v>
      </c>
      <c r="B85" s="0" t="s">
        <v>2088</v>
      </c>
      <c r="C85" s="0" t="n">
        <v>623385.116646776</v>
      </c>
      <c r="D85" s="0" t="s">
        <v>1930</v>
      </c>
      <c r="E85" s="0" t="n">
        <v>1E-009</v>
      </c>
    </row>
    <row r="86" customFormat="false" ht="15" hidden="false" customHeight="false" outlineLevel="0" collapsed="false">
      <c r="A86" s="0" t="s">
        <v>2089</v>
      </c>
      <c r="B86" s="0" t="s">
        <v>2090</v>
      </c>
      <c r="C86" s="0" t="n">
        <v>1718578.18010253</v>
      </c>
      <c r="D86" s="0" t="s">
        <v>1930</v>
      </c>
      <c r="E86" s="0" t="n">
        <v>1E-009</v>
      </c>
    </row>
    <row r="87" customFormat="false" ht="15" hidden="false" customHeight="false" outlineLevel="0" collapsed="false">
      <c r="A87" s="0" t="s">
        <v>2091</v>
      </c>
      <c r="B87" s="0" t="s">
        <v>2092</v>
      </c>
      <c r="C87" s="0" t="n">
        <v>4213017.09337968</v>
      </c>
      <c r="D87" s="0" t="s">
        <v>1930</v>
      </c>
      <c r="E87" s="0" t="n">
        <v>1E-009</v>
      </c>
    </row>
    <row r="88" customFormat="false" ht="15" hidden="false" customHeight="false" outlineLevel="0" collapsed="false">
      <c r="A88" s="0" t="s">
        <v>2093</v>
      </c>
      <c r="B88" s="0" t="s">
        <v>2094</v>
      </c>
      <c r="C88" s="0" t="n">
        <v>1</v>
      </c>
      <c r="D88" s="0" t="s">
        <v>1930</v>
      </c>
      <c r="E88" s="0" t="n">
        <v>1E-009</v>
      </c>
    </row>
    <row r="89" customFormat="false" ht="15" hidden="false" customHeight="false" outlineLevel="0" collapsed="false">
      <c r="A89" s="0" t="s">
        <v>2095</v>
      </c>
      <c r="B89" s="0" t="s">
        <v>2096</v>
      </c>
      <c r="C89" s="0" t="n">
        <v>-1273876.30867023</v>
      </c>
      <c r="D89" s="0" t="s">
        <v>1930</v>
      </c>
      <c r="E89" s="0" t="n">
        <v>1E-009</v>
      </c>
    </row>
    <row r="90" customFormat="false" ht="15" hidden="false" customHeight="false" outlineLevel="0" collapsed="false">
      <c r="A90" s="0" t="s">
        <v>2097</v>
      </c>
      <c r="B90" s="0" t="s">
        <v>2098</v>
      </c>
      <c r="C90" s="0" t="n">
        <v>1</v>
      </c>
      <c r="D90" s="0" t="s">
        <v>1930</v>
      </c>
      <c r="E90" s="0" t="n">
        <v>1E-009</v>
      </c>
    </row>
    <row r="91" customFormat="false" ht="15" hidden="false" customHeight="false" outlineLevel="0" collapsed="false">
      <c r="A91" s="0" t="s">
        <v>2099</v>
      </c>
      <c r="B91" s="0" t="s">
        <v>2100</v>
      </c>
      <c r="C91" s="0" t="n">
        <v>-1547288.08164743</v>
      </c>
      <c r="D91" s="0" t="s">
        <v>1930</v>
      </c>
      <c r="E91" s="0" t="n">
        <v>1E-009</v>
      </c>
    </row>
    <row r="92" customFormat="false" ht="15" hidden="false" customHeight="false" outlineLevel="0" collapsed="false">
      <c r="A92" s="0" t="s">
        <v>2101</v>
      </c>
      <c r="B92" s="0" t="s">
        <v>2102</v>
      </c>
      <c r="C92" s="0" t="n">
        <v>1</v>
      </c>
      <c r="D92" s="0" t="s">
        <v>1930</v>
      </c>
      <c r="E92" s="0" t="n">
        <v>1E-009</v>
      </c>
    </row>
    <row r="93" customFormat="false" ht="15" hidden="false" customHeight="false" outlineLevel="0" collapsed="false">
      <c r="A93" s="0" t="s">
        <v>2103</v>
      </c>
      <c r="B93" s="0" t="s">
        <v>2104</v>
      </c>
      <c r="C93" s="0" t="n">
        <v>774535.689920938</v>
      </c>
      <c r="D93" s="0" t="s">
        <v>1930</v>
      </c>
      <c r="E93" s="0" t="n">
        <v>1E-009</v>
      </c>
    </row>
    <row r="94" customFormat="false" ht="15" hidden="false" customHeight="false" outlineLevel="0" collapsed="false">
      <c r="A94" s="0" t="s">
        <v>2105</v>
      </c>
      <c r="B94" s="0" t="s">
        <v>2106</v>
      </c>
      <c r="C94" s="0" t="n">
        <v>1</v>
      </c>
      <c r="D94" s="0" t="s">
        <v>1930</v>
      </c>
      <c r="E94" s="0" t="n">
        <v>1E-009</v>
      </c>
    </row>
    <row r="95" customFormat="false" ht="15" hidden="false" customHeight="false" outlineLevel="0" collapsed="false">
      <c r="A95" s="0" t="s">
        <v>2107</v>
      </c>
      <c r="B95" s="0" t="s">
        <v>2108</v>
      </c>
      <c r="C95" s="0" t="n">
        <v>3678282.10518996</v>
      </c>
      <c r="D95" s="0" t="s">
        <v>1930</v>
      </c>
      <c r="E95" s="0" t="n">
        <v>1E-009</v>
      </c>
    </row>
    <row r="96" customFormat="false" ht="15" hidden="false" customHeight="false" outlineLevel="0" collapsed="false">
      <c r="A96" s="0" t="s">
        <v>2109</v>
      </c>
      <c r="B96" s="0" t="s">
        <v>2110</v>
      </c>
      <c r="C96" s="0" t="n">
        <v>3678282.10518996</v>
      </c>
      <c r="D96" s="0" t="s">
        <v>1930</v>
      </c>
      <c r="E96" s="0" t="n">
        <v>1E-009</v>
      </c>
    </row>
    <row r="97" customFormat="false" ht="15" hidden="false" customHeight="false" outlineLevel="0" collapsed="false">
      <c r="A97" s="0" t="s">
        <v>2111</v>
      </c>
      <c r="B97" s="0" t="s">
        <v>2112</v>
      </c>
      <c r="C97" s="0" t="n">
        <v>0</v>
      </c>
      <c r="D97" s="0" t="s">
        <v>1930</v>
      </c>
      <c r="E97" s="0" t="n">
        <v>1E-009</v>
      </c>
    </row>
    <row r="98" customFormat="false" ht="15" hidden="false" customHeight="false" outlineLevel="0" collapsed="false">
      <c r="A98" s="0" t="s">
        <v>2113</v>
      </c>
      <c r="B98" s="0" t="s">
        <v>2114</v>
      </c>
      <c r="C98" s="0" t="n">
        <v>0</v>
      </c>
      <c r="D98" s="0" t="s">
        <v>1930</v>
      </c>
      <c r="E98" s="0" t="n">
        <v>1E-009</v>
      </c>
    </row>
    <row r="99" customFormat="false" ht="15" hidden="false" customHeight="false" outlineLevel="0" collapsed="false">
      <c r="A99" s="0" t="s">
        <v>2115</v>
      </c>
      <c r="B99" s="0" t="s">
        <v>2116</v>
      </c>
      <c r="C99" s="0" t="n">
        <v>0</v>
      </c>
      <c r="D99" s="0" t="s">
        <v>1930</v>
      </c>
      <c r="E99" s="0" t="n">
        <v>1E-009</v>
      </c>
    </row>
    <row r="100" customFormat="false" ht="15" hidden="false" customHeight="false" outlineLevel="0" collapsed="false">
      <c r="A100" s="0" t="s">
        <v>2117</v>
      </c>
      <c r="B100" s="0" t="s">
        <v>2118</v>
      </c>
      <c r="C100" s="0" t="n">
        <v>0</v>
      </c>
      <c r="D100" s="0" t="s">
        <v>1930</v>
      </c>
      <c r="E100" s="0" t="n">
        <v>1E-009</v>
      </c>
    </row>
    <row r="101" customFormat="false" ht="15" hidden="false" customHeight="false" outlineLevel="0" collapsed="false">
      <c r="A101" s="0" t="s">
        <v>2119</v>
      </c>
      <c r="B101" s="0" t="s">
        <v>2120</v>
      </c>
      <c r="C101" s="0" t="n">
        <v>127729.554203872</v>
      </c>
      <c r="D101" s="0" t="s">
        <v>1930</v>
      </c>
      <c r="E101" s="0" t="n">
        <v>1E-009</v>
      </c>
    </row>
    <row r="102" customFormat="false" ht="15" hidden="false" customHeight="false" outlineLevel="0" collapsed="false">
      <c r="A102" s="0" t="s">
        <v>2121</v>
      </c>
      <c r="B102" s="0" t="s">
        <v>2122</v>
      </c>
      <c r="C102" s="0" t="n">
        <v>0</v>
      </c>
      <c r="D102" s="0" t="s">
        <v>1930</v>
      </c>
      <c r="E102" s="0" t="n">
        <v>1E-009</v>
      </c>
    </row>
    <row r="103" customFormat="false" ht="15" hidden="false" customHeight="false" outlineLevel="0" collapsed="false">
      <c r="A103" s="0" t="s">
        <v>2123</v>
      </c>
      <c r="B103" s="0" t="s">
        <v>2124</v>
      </c>
      <c r="C103" s="0" t="n">
        <v>0</v>
      </c>
      <c r="D103" s="0" t="s">
        <v>1930</v>
      </c>
      <c r="E103" s="0" t="n">
        <v>1E-009</v>
      </c>
    </row>
    <row r="104" customFormat="false" ht="15" hidden="false" customHeight="false" outlineLevel="0" collapsed="false">
      <c r="A104" s="0" t="s">
        <v>2125</v>
      </c>
      <c r="B104" s="0" t="s">
        <v>2126</v>
      </c>
      <c r="C104" s="0" t="n">
        <v>0</v>
      </c>
      <c r="D104" s="0" t="s">
        <v>1930</v>
      </c>
      <c r="E104" s="0" t="n">
        <v>1E-009</v>
      </c>
    </row>
    <row r="105" customFormat="false" ht="15" hidden="false" customHeight="false" outlineLevel="0" collapsed="false">
      <c r="A105" s="0" t="s">
        <v>2127</v>
      </c>
      <c r="B105" s="0" t="s">
        <v>2128</v>
      </c>
      <c r="C105" s="0" t="n">
        <v>0</v>
      </c>
      <c r="D105" s="0" t="s">
        <v>1930</v>
      </c>
      <c r="E105" s="0" t="n">
        <v>1E-009</v>
      </c>
    </row>
    <row r="106" customFormat="false" ht="15" hidden="false" customHeight="false" outlineLevel="0" collapsed="false">
      <c r="A106" s="0" t="s">
        <v>2129</v>
      </c>
      <c r="B106" s="0" t="s">
        <v>2130</v>
      </c>
      <c r="C106" s="0" t="n">
        <v>0</v>
      </c>
      <c r="D106" s="0" t="s">
        <v>1930</v>
      </c>
      <c r="E106" s="0" t="n">
        <v>1E-009</v>
      </c>
    </row>
    <row r="107" customFormat="false" ht="15" hidden="false" customHeight="false" outlineLevel="0" collapsed="false">
      <c r="A107" s="0" t="s">
        <v>2131</v>
      </c>
      <c r="B107" s="0" t="s">
        <v>2132</v>
      </c>
      <c r="C107" s="0" t="n">
        <v>0</v>
      </c>
      <c r="D107" s="0" t="s">
        <v>1930</v>
      </c>
      <c r="E107" s="0" t="n">
        <v>1E-009</v>
      </c>
    </row>
    <row r="108" customFormat="false" ht="15" hidden="false" customHeight="false" outlineLevel="0" collapsed="false">
      <c r="A108" s="0" t="s">
        <v>2133</v>
      </c>
      <c r="B108" s="0" t="s">
        <v>2134</v>
      </c>
      <c r="C108" s="0" t="n">
        <v>0</v>
      </c>
      <c r="D108" s="0" t="s">
        <v>1930</v>
      </c>
      <c r="E108" s="0" t="n">
        <v>1E-009</v>
      </c>
    </row>
    <row r="109" customFormat="false" ht="15" hidden="false" customHeight="false" outlineLevel="0" collapsed="false">
      <c r="A109" s="0" t="s">
        <v>2135</v>
      </c>
      <c r="B109" s="0" t="s">
        <v>2136</v>
      </c>
      <c r="C109" s="0" t="n">
        <v>1</v>
      </c>
      <c r="D109" s="0" t="s">
        <v>1930</v>
      </c>
      <c r="E109" s="0" t="n">
        <v>1E-009</v>
      </c>
    </row>
    <row r="110" customFormat="false" ht="15" hidden="false" customHeight="false" outlineLevel="0" collapsed="false">
      <c r="A110" s="0" t="s">
        <v>2137</v>
      </c>
      <c r="B110" s="0" t="s">
        <v>2138</v>
      </c>
      <c r="C110" s="0" t="n">
        <v>127729.554203872</v>
      </c>
      <c r="D110" s="0" t="s">
        <v>1930</v>
      </c>
      <c r="E110" s="0" t="n">
        <v>1E-009</v>
      </c>
    </row>
    <row r="111" customFormat="false" ht="15" hidden="false" customHeight="false" outlineLevel="0" collapsed="false">
      <c r="A111" s="0" t="s">
        <v>2139</v>
      </c>
      <c r="B111" s="0" t="s">
        <v>2140</v>
      </c>
      <c r="C111" s="0" t="n">
        <v>127729.554203872</v>
      </c>
      <c r="D111" s="0" t="s">
        <v>1930</v>
      </c>
      <c r="E111" s="0" t="n">
        <v>1E-009</v>
      </c>
    </row>
    <row r="112" customFormat="false" ht="15" hidden="false" customHeight="false" outlineLevel="0" collapsed="false">
      <c r="A112" s="0" t="s">
        <v>2141</v>
      </c>
      <c r="B112" s="0" t="s">
        <v>2142</v>
      </c>
      <c r="C112" s="0" t="n">
        <v>0</v>
      </c>
      <c r="D112" s="0" t="s">
        <v>1930</v>
      </c>
      <c r="E112" s="0" t="n">
        <v>1E-009</v>
      </c>
    </row>
    <row r="113" customFormat="false" ht="15" hidden="false" customHeight="false" outlineLevel="0" collapsed="false">
      <c r="A113" s="0" t="s">
        <v>2143</v>
      </c>
      <c r="B113" s="0" t="s">
        <v>2144</v>
      </c>
      <c r="C113" s="0" t="n">
        <v>0</v>
      </c>
      <c r="D113" s="0" t="s">
        <v>1930</v>
      </c>
      <c r="E113" s="0" t="n">
        <v>1E-009</v>
      </c>
    </row>
    <row r="114" customFormat="false" ht="15" hidden="false" customHeight="false" outlineLevel="0" collapsed="false">
      <c r="A114" s="0" t="s">
        <v>2145</v>
      </c>
      <c r="B114" s="0" t="s">
        <v>2146</v>
      </c>
      <c r="C114" s="0" t="n">
        <v>0</v>
      </c>
      <c r="D114" s="0" t="s">
        <v>1930</v>
      </c>
      <c r="E114" s="0" t="n">
        <v>1E-009</v>
      </c>
    </row>
    <row r="115" customFormat="false" ht="15" hidden="false" customHeight="false" outlineLevel="0" collapsed="false">
      <c r="A115" s="0" t="s">
        <v>2147</v>
      </c>
      <c r="B115" s="0" t="s">
        <v>2148</v>
      </c>
      <c r="C115" s="0" t="n">
        <v>0</v>
      </c>
      <c r="D115" s="0" t="s">
        <v>1930</v>
      </c>
      <c r="E115" s="0" t="n">
        <v>1E-009</v>
      </c>
    </row>
    <row r="116" customFormat="false" ht="15" hidden="false" customHeight="false" outlineLevel="0" collapsed="false">
      <c r="A116" s="0" t="s">
        <v>2149</v>
      </c>
      <c r="B116" s="0" t="s">
        <v>2150</v>
      </c>
      <c r="C116" s="0" t="n">
        <v>0</v>
      </c>
      <c r="D116" s="0" t="s">
        <v>1930</v>
      </c>
      <c r="E116" s="0" t="n">
        <v>1E-009</v>
      </c>
    </row>
    <row r="117" customFormat="false" ht="15" hidden="false" customHeight="false" outlineLevel="0" collapsed="false">
      <c r="A117" s="0" t="s">
        <v>2151</v>
      </c>
      <c r="B117" s="0" t="s">
        <v>2152</v>
      </c>
      <c r="C117" s="0" t="n">
        <v>0</v>
      </c>
      <c r="D117" s="0" t="s">
        <v>1930</v>
      </c>
      <c r="E117" s="0" t="n">
        <v>1E-009</v>
      </c>
    </row>
    <row r="118" customFormat="false" ht="15" hidden="false" customHeight="false" outlineLevel="0" collapsed="false">
      <c r="A118" s="0" t="s">
        <v>2153</v>
      </c>
      <c r="B118" s="0" t="s">
        <v>2154</v>
      </c>
      <c r="C118" s="0" t="n">
        <v>211591.201731549</v>
      </c>
      <c r="D118" s="0" t="s">
        <v>1930</v>
      </c>
      <c r="E118" s="0" t="n">
        <v>1E-009</v>
      </c>
    </row>
    <row r="119" customFormat="false" ht="15" hidden="false" customHeight="false" outlineLevel="0" collapsed="false">
      <c r="A119" s="0" t="s">
        <v>2155</v>
      </c>
      <c r="B119" s="0" t="s">
        <v>2156</v>
      </c>
      <c r="C119" s="0" t="n">
        <v>211591.201731549</v>
      </c>
      <c r="D119" s="0" t="s">
        <v>1930</v>
      </c>
      <c r="E119" s="0" t="n">
        <v>1E-009</v>
      </c>
    </row>
    <row r="120" customFormat="false" ht="15" hidden="false" customHeight="false" outlineLevel="0" collapsed="false">
      <c r="A120" s="0" t="s">
        <v>2157</v>
      </c>
      <c r="B120" s="0" t="s">
        <v>2158</v>
      </c>
      <c r="C120" s="0" t="n">
        <v>0</v>
      </c>
      <c r="D120" s="0" t="s">
        <v>1930</v>
      </c>
      <c r="E120" s="0" t="n">
        <v>1E-009</v>
      </c>
    </row>
    <row r="121" customFormat="false" ht="15" hidden="false" customHeight="false" outlineLevel="0" collapsed="false">
      <c r="A121" s="0" t="s">
        <v>2159</v>
      </c>
      <c r="B121" s="0" t="s">
        <v>2160</v>
      </c>
      <c r="C121" s="0" t="n">
        <v>0</v>
      </c>
      <c r="D121" s="0" t="s">
        <v>1930</v>
      </c>
      <c r="E121" s="0" t="n">
        <v>1E-009</v>
      </c>
    </row>
    <row r="122" customFormat="false" ht="15" hidden="false" customHeight="false" outlineLevel="0" collapsed="false">
      <c r="A122" s="0" t="s">
        <v>2161</v>
      </c>
      <c r="B122" s="0" t="s">
        <v>2162</v>
      </c>
      <c r="C122" s="0" t="n">
        <v>0</v>
      </c>
      <c r="D122" s="0" t="s">
        <v>1930</v>
      </c>
      <c r="E122" s="0" t="n">
        <v>1E-009</v>
      </c>
    </row>
    <row r="123" customFormat="false" ht="15" hidden="false" customHeight="false" outlineLevel="0" collapsed="false">
      <c r="A123" s="0" t="s">
        <v>2163</v>
      </c>
      <c r="B123" s="0" t="s">
        <v>2164</v>
      </c>
      <c r="C123" s="0" t="n">
        <v>0</v>
      </c>
      <c r="D123" s="0" t="s">
        <v>1930</v>
      </c>
      <c r="E123" s="0" t="n">
        <v>1E-009</v>
      </c>
    </row>
    <row r="124" customFormat="false" ht="15" hidden="false" customHeight="false" outlineLevel="0" collapsed="false">
      <c r="A124" s="0" t="s">
        <v>2165</v>
      </c>
      <c r="B124" s="0" t="s">
        <v>2166</v>
      </c>
      <c r="C124" s="0" t="n">
        <v>1</v>
      </c>
      <c r="D124" s="0" t="s">
        <v>1930</v>
      </c>
      <c r="E124" s="0" t="n">
        <v>1E-009</v>
      </c>
    </row>
    <row r="125" customFormat="false" ht="15" hidden="false" customHeight="false" outlineLevel="0" collapsed="false">
      <c r="A125" s="0" t="s">
        <v>2167</v>
      </c>
      <c r="B125" s="0" t="s">
        <v>2168</v>
      </c>
      <c r="C125" s="0" t="n">
        <v>419996.543321242</v>
      </c>
      <c r="D125" s="0" t="s">
        <v>1930</v>
      </c>
      <c r="E125" s="0" t="n">
        <v>1E-009</v>
      </c>
    </row>
    <row r="126" customFormat="false" ht="15" hidden="false" customHeight="false" outlineLevel="0" collapsed="false">
      <c r="A126" s="0" t="s">
        <v>2169</v>
      </c>
      <c r="B126" s="0" t="s">
        <v>2170</v>
      </c>
      <c r="C126" s="0" t="n">
        <v>419996.543321242</v>
      </c>
      <c r="D126" s="0" t="s">
        <v>1930</v>
      </c>
      <c r="E126" s="0" t="n">
        <v>1E-009</v>
      </c>
    </row>
    <row r="127" customFormat="false" ht="15" hidden="false" customHeight="false" outlineLevel="0" collapsed="false">
      <c r="A127" s="0" t="s">
        <v>2171</v>
      </c>
      <c r="B127" s="0" t="s">
        <v>2172</v>
      </c>
      <c r="C127" s="0" t="n">
        <v>0</v>
      </c>
      <c r="D127" s="0" t="s">
        <v>1930</v>
      </c>
      <c r="E127" s="0" t="n">
        <v>1E-009</v>
      </c>
    </row>
    <row r="128" customFormat="false" ht="15" hidden="false" customHeight="false" outlineLevel="0" collapsed="false">
      <c r="A128" s="0" t="s">
        <v>2173</v>
      </c>
      <c r="B128" s="0" t="s">
        <v>2174</v>
      </c>
      <c r="C128" s="0" t="n">
        <v>0</v>
      </c>
      <c r="D128" s="0" t="s">
        <v>1930</v>
      </c>
      <c r="E128" s="0" t="n">
        <v>1E-009</v>
      </c>
    </row>
    <row r="129" customFormat="false" ht="15" hidden="false" customHeight="false" outlineLevel="0" collapsed="false">
      <c r="A129" s="0" t="s">
        <v>2175</v>
      </c>
      <c r="B129" s="0" t="s">
        <v>2176</v>
      </c>
      <c r="C129" s="0" t="n">
        <v>0</v>
      </c>
      <c r="D129" s="0" t="s">
        <v>1930</v>
      </c>
      <c r="E129" s="0" t="n">
        <v>1E-009</v>
      </c>
    </row>
    <row r="130" customFormat="false" ht="15" hidden="false" customHeight="false" outlineLevel="0" collapsed="false">
      <c r="A130" s="0" t="s">
        <v>2177</v>
      </c>
      <c r="B130" s="0" t="s">
        <v>2178</v>
      </c>
      <c r="C130" s="0" t="n">
        <v>0</v>
      </c>
      <c r="D130" s="0" t="s">
        <v>1930</v>
      </c>
      <c r="E130" s="0" t="n">
        <v>1E-009</v>
      </c>
    </row>
    <row r="131" customFormat="false" ht="15" hidden="false" customHeight="false" outlineLevel="0" collapsed="false">
      <c r="A131" s="0" t="s">
        <v>2179</v>
      </c>
      <c r="B131" s="0" t="s">
        <v>2180</v>
      </c>
      <c r="C131" s="0" t="n">
        <v>0</v>
      </c>
      <c r="D131" s="0" t="s">
        <v>1930</v>
      </c>
      <c r="E131" s="0" t="n">
        <v>1E-009</v>
      </c>
    </row>
    <row r="132" customFormat="false" ht="15" hidden="false" customHeight="false" outlineLevel="0" collapsed="false">
      <c r="A132" s="0" t="s">
        <v>2181</v>
      </c>
      <c r="B132" s="0" t="s">
        <v>2182</v>
      </c>
      <c r="C132" s="0" t="n">
        <v>0</v>
      </c>
      <c r="D132" s="0" t="s">
        <v>1930</v>
      </c>
      <c r="E132" s="0" t="n">
        <v>1E-009</v>
      </c>
    </row>
    <row r="133" customFormat="false" ht="15" hidden="false" customHeight="false" outlineLevel="0" collapsed="false">
      <c r="A133" s="0" t="s">
        <v>2183</v>
      </c>
      <c r="B133" s="0" t="s">
        <v>2184</v>
      </c>
      <c r="C133" s="0" t="n">
        <v>0</v>
      </c>
      <c r="D133" s="0" t="s">
        <v>1930</v>
      </c>
      <c r="E133" s="0" t="n">
        <v>1E-009</v>
      </c>
    </row>
    <row r="134" customFormat="false" ht="15" hidden="false" customHeight="false" outlineLevel="0" collapsed="false">
      <c r="A134" s="0" t="s">
        <v>2185</v>
      </c>
      <c r="B134" s="0" t="s">
        <v>2186</v>
      </c>
      <c r="C134" s="0" t="n">
        <v>-206285.626146868</v>
      </c>
      <c r="D134" s="0" t="s">
        <v>1930</v>
      </c>
      <c r="E134" s="0" t="n">
        <v>1E-009</v>
      </c>
    </row>
    <row r="135" customFormat="false" ht="15" hidden="false" customHeight="false" outlineLevel="0" collapsed="false">
      <c r="A135" s="0" t="s">
        <v>2187</v>
      </c>
      <c r="B135" s="0" t="s">
        <v>2188</v>
      </c>
      <c r="C135" s="0" t="n">
        <v>0</v>
      </c>
      <c r="D135" s="0" t="s">
        <v>1930</v>
      </c>
      <c r="E135" s="0" t="n">
        <v>1E-009</v>
      </c>
    </row>
    <row r="136" customFormat="false" ht="15" hidden="false" customHeight="false" outlineLevel="0" collapsed="false">
      <c r="A136" s="0" t="s">
        <v>2189</v>
      </c>
      <c r="B136" s="0" t="s">
        <v>2190</v>
      </c>
      <c r="C136" s="0" t="n">
        <v>0</v>
      </c>
      <c r="D136" s="0" t="s">
        <v>1930</v>
      </c>
      <c r="E136" s="0" t="n">
        <v>1E-009</v>
      </c>
    </row>
    <row r="137" customFormat="false" ht="15" hidden="false" customHeight="false" outlineLevel="0" collapsed="false">
      <c r="A137" s="0" t="s">
        <v>2191</v>
      </c>
      <c r="B137" s="0" t="s">
        <v>2192</v>
      </c>
      <c r="C137" s="0" t="n">
        <v>0</v>
      </c>
      <c r="D137" s="0" t="s">
        <v>1930</v>
      </c>
      <c r="E137" s="0" t="n">
        <v>1E-009</v>
      </c>
    </row>
    <row r="138" customFormat="false" ht="15" hidden="false" customHeight="false" outlineLevel="0" collapsed="false">
      <c r="A138" s="0" t="s">
        <v>2193</v>
      </c>
      <c r="B138" s="0" t="s">
        <v>2194</v>
      </c>
      <c r="C138" s="0" t="n">
        <v>0</v>
      </c>
      <c r="D138" s="0" t="s">
        <v>1930</v>
      </c>
      <c r="E138" s="0" t="n">
        <v>1E-009</v>
      </c>
    </row>
    <row r="139" customFormat="false" ht="15" hidden="false" customHeight="false" outlineLevel="0" collapsed="false">
      <c r="A139" s="0" t="s">
        <v>2195</v>
      </c>
      <c r="B139" s="0" t="s">
        <v>2196</v>
      </c>
      <c r="C139" s="0" t="n">
        <v>1</v>
      </c>
      <c r="D139" s="0" t="s">
        <v>1930</v>
      </c>
      <c r="E139" s="0" t="n">
        <v>1E-009</v>
      </c>
    </row>
    <row r="140" customFormat="false" ht="15" hidden="false" customHeight="false" outlineLevel="0" collapsed="false">
      <c r="A140" s="0" t="s">
        <v>2197</v>
      </c>
      <c r="B140" s="0" t="s">
        <v>2198</v>
      </c>
      <c r="C140" s="0" t="n">
        <v>206285.626146868</v>
      </c>
      <c r="D140" s="0" t="s">
        <v>1930</v>
      </c>
      <c r="E140" s="0" t="n">
        <v>1E-009</v>
      </c>
    </row>
    <row r="141" customFormat="false" ht="15" hidden="false" customHeight="false" outlineLevel="0" collapsed="false">
      <c r="A141" s="0" t="s">
        <v>2199</v>
      </c>
      <c r="B141" s="0" t="s">
        <v>2200</v>
      </c>
      <c r="C141" s="0" t="n">
        <v>-206285.626146868</v>
      </c>
      <c r="D141" s="0" t="s">
        <v>1930</v>
      </c>
      <c r="E141" s="0" t="n">
        <v>1E-009</v>
      </c>
    </row>
    <row r="142" customFormat="false" ht="15" hidden="false" customHeight="false" outlineLevel="0" collapsed="false">
      <c r="A142" s="0" t="s">
        <v>2201</v>
      </c>
      <c r="B142" s="0" t="s">
        <v>2202</v>
      </c>
      <c r="C142" s="0" t="n">
        <v>0</v>
      </c>
      <c r="D142" s="0" t="s">
        <v>1930</v>
      </c>
      <c r="E142" s="0" t="n">
        <v>1E-009</v>
      </c>
    </row>
    <row r="143" customFormat="false" ht="15" hidden="false" customHeight="false" outlineLevel="0" collapsed="false">
      <c r="A143" s="0" t="s">
        <v>2203</v>
      </c>
      <c r="B143" s="0" t="s">
        <v>2204</v>
      </c>
      <c r="C143" s="0" t="n">
        <v>0</v>
      </c>
      <c r="D143" s="0" t="s">
        <v>1930</v>
      </c>
      <c r="E143" s="0" t="n">
        <v>1E-009</v>
      </c>
    </row>
    <row r="144" customFormat="false" ht="15" hidden="false" customHeight="false" outlineLevel="0" collapsed="false">
      <c r="A144" s="0" t="s">
        <v>2205</v>
      </c>
      <c r="B144" s="0" t="s">
        <v>2206</v>
      </c>
      <c r="C144" s="0" t="n">
        <v>0</v>
      </c>
      <c r="D144" s="0" t="s">
        <v>1930</v>
      </c>
      <c r="E144" s="0" t="n">
        <v>1E-009</v>
      </c>
    </row>
    <row r="145" customFormat="false" ht="15" hidden="false" customHeight="false" outlineLevel="0" collapsed="false">
      <c r="A145" s="0" t="s">
        <v>2207</v>
      </c>
      <c r="B145" s="0" t="s">
        <v>2208</v>
      </c>
      <c r="C145" s="0" t="n">
        <v>0</v>
      </c>
      <c r="D145" s="0" t="s">
        <v>1930</v>
      </c>
      <c r="E145" s="0" t="n">
        <v>1E-009</v>
      </c>
    </row>
    <row r="146" customFormat="false" ht="15" hidden="false" customHeight="false" outlineLevel="0" collapsed="false">
      <c r="A146" s="0" t="s">
        <v>2209</v>
      </c>
      <c r="B146" s="0" t="s">
        <v>2210</v>
      </c>
      <c r="C146" s="0" t="n">
        <v>0</v>
      </c>
      <c r="D146" s="0" t="s">
        <v>1930</v>
      </c>
      <c r="E146" s="0" t="n">
        <v>1E-009</v>
      </c>
    </row>
    <row r="147" customFormat="false" ht="15" hidden="false" customHeight="false" outlineLevel="0" collapsed="false">
      <c r="A147" s="0" t="s">
        <v>2211</v>
      </c>
      <c r="B147" s="0" t="s">
        <v>2212</v>
      </c>
      <c r="C147" s="0" t="n">
        <v>0</v>
      </c>
      <c r="D147" s="0" t="s">
        <v>1930</v>
      </c>
      <c r="E147" s="0" t="n">
        <v>1E-009</v>
      </c>
    </row>
    <row r="148" customFormat="false" ht="15" hidden="false" customHeight="false" outlineLevel="0" collapsed="false">
      <c r="A148" s="0" t="s">
        <v>2213</v>
      </c>
      <c r="B148" s="0" t="s">
        <v>2214</v>
      </c>
      <c r="C148" s="0" t="n">
        <v>0</v>
      </c>
      <c r="D148" s="0" t="s">
        <v>1930</v>
      </c>
      <c r="E148" s="0" t="n">
        <v>1E-009</v>
      </c>
    </row>
    <row r="149" customFormat="false" ht="15" hidden="false" customHeight="false" outlineLevel="0" collapsed="false">
      <c r="A149" s="0" t="s">
        <v>2215</v>
      </c>
      <c r="B149" s="0" t="s">
        <v>2216</v>
      </c>
      <c r="C149" s="0" t="n">
        <v>0</v>
      </c>
      <c r="D149" s="0" t="s">
        <v>1930</v>
      </c>
      <c r="E149" s="0" t="n">
        <v>1E-009</v>
      </c>
    </row>
    <row r="150" customFormat="false" ht="15" hidden="false" customHeight="false" outlineLevel="0" collapsed="false">
      <c r="A150" s="0" t="s">
        <v>2217</v>
      </c>
      <c r="B150" s="0" t="s">
        <v>2218</v>
      </c>
      <c r="C150" s="0" t="n">
        <v>0</v>
      </c>
      <c r="D150" s="0" t="s">
        <v>1930</v>
      </c>
      <c r="E150" s="0" t="n">
        <v>1E-009</v>
      </c>
    </row>
    <row r="151" customFormat="false" ht="15" hidden="false" customHeight="false" outlineLevel="0" collapsed="false">
      <c r="A151" s="0" t="s">
        <v>2219</v>
      </c>
      <c r="B151" s="0" t="s">
        <v>2220</v>
      </c>
      <c r="C151" s="0" t="n">
        <v>0</v>
      </c>
      <c r="D151" s="0" t="s">
        <v>1930</v>
      </c>
      <c r="E151" s="0" t="n">
        <v>1E-009</v>
      </c>
    </row>
    <row r="152" customFormat="false" ht="15" hidden="false" customHeight="false" outlineLevel="0" collapsed="false">
      <c r="A152" s="0" t="s">
        <v>2221</v>
      </c>
      <c r="B152" s="0" t="s">
        <v>2222</v>
      </c>
      <c r="C152" s="0" t="n">
        <v>0</v>
      </c>
      <c r="D152" s="0" t="s">
        <v>1930</v>
      </c>
      <c r="E152" s="0" t="n">
        <v>1E-009</v>
      </c>
    </row>
    <row r="153" customFormat="false" ht="15" hidden="false" customHeight="false" outlineLevel="0" collapsed="false">
      <c r="A153" s="0" t="s">
        <v>2223</v>
      </c>
      <c r="B153" s="0" t="s">
        <v>2224</v>
      </c>
      <c r="C153" s="0" t="n">
        <v>0</v>
      </c>
      <c r="D153" s="0" t="s">
        <v>1930</v>
      </c>
      <c r="E153" s="0" t="n">
        <v>1E-009</v>
      </c>
    </row>
    <row r="154" customFormat="false" ht="15" hidden="false" customHeight="false" outlineLevel="0" collapsed="false">
      <c r="A154" s="0" t="s">
        <v>2225</v>
      </c>
      <c r="B154" s="0" t="s">
        <v>2226</v>
      </c>
      <c r="C154" s="0" t="n">
        <v>1</v>
      </c>
      <c r="D154" s="0" t="s">
        <v>1930</v>
      </c>
      <c r="E154" s="0" t="n">
        <v>1E-009</v>
      </c>
    </row>
    <row r="155" customFormat="false" ht="15" hidden="false" customHeight="false" outlineLevel="0" collapsed="false">
      <c r="A155" s="0" t="s">
        <v>2227</v>
      </c>
      <c r="B155" s="0" t="s">
        <v>2228</v>
      </c>
      <c r="C155" s="0" t="n">
        <v>0</v>
      </c>
      <c r="D155" s="0" t="s">
        <v>1930</v>
      </c>
      <c r="E155" s="0" t="n">
        <v>1E-009</v>
      </c>
    </row>
    <row r="156" customFormat="false" ht="15" hidden="false" customHeight="false" outlineLevel="0" collapsed="false">
      <c r="A156" s="0" t="s">
        <v>2229</v>
      </c>
      <c r="B156" s="0" t="s">
        <v>2230</v>
      </c>
      <c r="C156" s="0" t="n">
        <v>0</v>
      </c>
      <c r="D156" s="0" t="s">
        <v>1930</v>
      </c>
      <c r="E156" s="0" t="n">
        <v>1E-009</v>
      </c>
    </row>
    <row r="157" customFormat="false" ht="15" hidden="false" customHeight="false" outlineLevel="0" collapsed="false">
      <c r="A157" s="0" t="s">
        <v>2231</v>
      </c>
      <c r="B157" s="0" t="s">
        <v>2232</v>
      </c>
      <c r="C157" s="0" t="n">
        <v>0</v>
      </c>
      <c r="D157" s="0" t="s">
        <v>1930</v>
      </c>
      <c r="E157" s="0" t="n">
        <v>1E-009</v>
      </c>
    </row>
    <row r="158" customFormat="false" ht="15" hidden="false" customHeight="false" outlineLevel="0" collapsed="false">
      <c r="A158" s="0" t="s">
        <v>2233</v>
      </c>
      <c r="B158" s="0" t="s">
        <v>2234</v>
      </c>
      <c r="C158" s="0" t="n">
        <v>0</v>
      </c>
      <c r="D158" s="0" t="s">
        <v>1930</v>
      </c>
      <c r="E158" s="0" t="n">
        <v>1E-009</v>
      </c>
    </row>
    <row r="159" customFormat="false" ht="15" hidden="false" customHeight="false" outlineLevel="0" collapsed="false">
      <c r="A159" s="0" t="s">
        <v>2235</v>
      </c>
      <c r="B159" s="0" t="s">
        <v>2236</v>
      </c>
      <c r="C159" s="0" t="n">
        <v>0</v>
      </c>
      <c r="D159" s="0" t="s">
        <v>1930</v>
      </c>
      <c r="E159" s="0" t="n">
        <v>1E-009</v>
      </c>
    </row>
    <row r="160" customFormat="false" ht="15" hidden="false" customHeight="false" outlineLevel="0" collapsed="false">
      <c r="A160" s="0" t="s">
        <v>2237</v>
      </c>
      <c r="B160" s="0" t="s">
        <v>2238</v>
      </c>
      <c r="C160" s="0" t="n">
        <v>0</v>
      </c>
      <c r="D160" s="0" t="s">
        <v>1930</v>
      </c>
      <c r="E160" s="0" t="n">
        <v>1E-009</v>
      </c>
    </row>
    <row r="161" customFormat="false" ht="15" hidden="false" customHeight="false" outlineLevel="0" collapsed="false">
      <c r="A161" s="0" t="s">
        <v>2239</v>
      </c>
      <c r="B161" s="0" t="s">
        <v>2240</v>
      </c>
      <c r="C161" s="0" t="n">
        <v>0</v>
      </c>
      <c r="D161" s="0" t="s">
        <v>1930</v>
      </c>
      <c r="E161" s="0" t="n">
        <v>1E-009</v>
      </c>
    </row>
    <row r="162" customFormat="false" ht="15" hidden="false" customHeight="false" outlineLevel="0" collapsed="false">
      <c r="A162" s="0" t="s">
        <v>2241</v>
      </c>
      <c r="B162" s="0" t="s">
        <v>2242</v>
      </c>
      <c r="C162" s="0" t="n">
        <v>0</v>
      </c>
      <c r="D162" s="0" t="s">
        <v>1930</v>
      </c>
      <c r="E162" s="0" t="n">
        <v>1E-009</v>
      </c>
    </row>
    <row r="163" customFormat="false" ht="15" hidden="false" customHeight="false" outlineLevel="0" collapsed="false">
      <c r="A163" s="0" t="s">
        <v>2243</v>
      </c>
      <c r="B163" s="0" t="s">
        <v>2244</v>
      </c>
      <c r="C163" s="0" t="n">
        <v>0</v>
      </c>
      <c r="D163" s="0" t="s">
        <v>1930</v>
      </c>
      <c r="E163" s="0" t="n">
        <v>1E-009</v>
      </c>
    </row>
    <row r="164" customFormat="false" ht="15" hidden="false" customHeight="false" outlineLevel="0" collapsed="false">
      <c r="A164" s="0" t="s">
        <v>2245</v>
      </c>
      <c r="B164" s="0" t="s">
        <v>2246</v>
      </c>
      <c r="C164" s="0" t="n">
        <v>0</v>
      </c>
      <c r="D164" s="0" t="s">
        <v>1930</v>
      </c>
      <c r="E164" s="0" t="n">
        <v>1E-009</v>
      </c>
    </row>
    <row r="165" customFormat="false" ht="15" hidden="false" customHeight="false" outlineLevel="0" collapsed="false">
      <c r="A165" s="0" t="s">
        <v>2247</v>
      </c>
      <c r="B165" s="0" t="s">
        <v>2248</v>
      </c>
      <c r="C165" s="0" t="n">
        <v>0</v>
      </c>
      <c r="D165" s="0" t="s">
        <v>1930</v>
      </c>
      <c r="E165" s="0" t="n">
        <v>1E-009</v>
      </c>
    </row>
    <row r="166" customFormat="false" ht="15" hidden="false" customHeight="false" outlineLevel="0" collapsed="false">
      <c r="A166" s="0" t="s">
        <v>2249</v>
      </c>
      <c r="B166" s="0" t="s">
        <v>2250</v>
      </c>
      <c r="C166" s="0" t="n">
        <v>0</v>
      </c>
      <c r="D166" s="0" t="s">
        <v>1930</v>
      </c>
      <c r="E166" s="0" t="n">
        <v>1E-009</v>
      </c>
    </row>
    <row r="167" customFormat="false" ht="15" hidden="false" customHeight="false" outlineLevel="0" collapsed="false">
      <c r="A167" s="0" t="s">
        <v>2251</v>
      </c>
      <c r="B167" s="0" t="s">
        <v>2252</v>
      </c>
      <c r="C167" s="0" t="n">
        <v>0</v>
      </c>
      <c r="D167" s="0" t="s">
        <v>1930</v>
      </c>
      <c r="E167" s="0" t="n">
        <v>1E-009</v>
      </c>
    </row>
    <row r="168" customFormat="false" ht="15" hidden="false" customHeight="false" outlineLevel="0" collapsed="false">
      <c r="A168" s="0" t="s">
        <v>2253</v>
      </c>
      <c r="B168" s="0" t="s">
        <v>2254</v>
      </c>
      <c r="C168" s="0" t="n">
        <v>0</v>
      </c>
      <c r="D168" s="0" t="s">
        <v>1930</v>
      </c>
      <c r="E168" s="0" t="n">
        <v>1E-009</v>
      </c>
    </row>
    <row r="169" customFormat="false" ht="15" hidden="false" customHeight="false" outlineLevel="0" collapsed="false">
      <c r="A169" s="0" t="s">
        <v>2255</v>
      </c>
      <c r="B169" s="0" t="s">
        <v>2256</v>
      </c>
      <c r="C169" s="0" t="n">
        <v>1</v>
      </c>
      <c r="D169" s="0" t="s">
        <v>1930</v>
      </c>
      <c r="E169" s="0" t="n">
        <v>1E-009</v>
      </c>
    </row>
    <row r="170" customFormat="false" ht="15" hidden="false" customHeight="false" outlineLevel="0" collapsed="false">
      <c r="A170" s="0" t="s">
        <v>2257</v>
      </c>
      <c r="B170" s="0" t="s">
        <v>2258</v>
      </c>
      <c r="C170" s="0" t="n">
        <v>0</v>
      </c>
      <c r="D170" s="0" t="s">
        <v>1930</v>
      </c>
      <c r="E170" s="0" t="n">
        <v>1E-009</v>
      </c>
    </row>
    <row r="171" customFormat="false" ht="15" hidden="false" customHeight="false" outlineLevel="0" collapsed="false">
      <c r="A171" s="0" t="s">
        <v>2259</v>
      </c>
      <c r="B171" s="0" t="s">
        <v>2260</v>
      </c>
      <c r="C171" s="0" t="n">
        <v>0</v>
      </c>
      <c r="D171" s="0" t="s">
        <v>1930</v>
      </c>
      <c r="E171" s="0" t="n">
        <v>1E-009</v>
      </c>
    </row>
    <row r="172" customFormat="false" ht="15" hidden="false" customHeight="false" outlineLevel="0" collapsed="false">
      <c r="A172" s="0" t="s">
        <v>2261</v>
      </c>
      <c r="B172" s="0" t="s">
        <v>2262</v>
      </c>
      <c r="C172" s="0" t="n">
        <v>440143.454064883</v>
      </c>
      <c r="D172" s="0" t="s">
        <v>1930</v>
      </c>
      <c r="E172" s="0" t="n">
        <v>1E-009</v>
      </c>
    </row>
    <row r="173" customFormat="false" ht="15" hidden="false" customHeight="false" outlineLevel="0" collapsed="false">
      <c r="A173" s="0" t="s">
        <v>2263</v>
      </c>
      <c r="B173" s="0" t="s">
        <v>2264</v>
      </c>
      <c r="C173" s="0" t="n">
        <v>0.162419988712283</v>
      </c>
      <c r="D173" s="0" t="s">
        <v>1930</v>
      </c>
      <c r="E173" s="0" t="n">
        <v>1E-009</v>
      </c>
    </row>
    <row r="174" customFormat="false" ht="15" hidden="false" customHeight="false" outlineLevel="0" collapsed="false">
      <c r="A174" s="0" t="s">
        <v>2265</v>
      </c>
      <c r="B174" s="0" t="s">
        <v>2266</v>
      </c>
      <c r="C174" s="0" t="n">
        <v>2125.72057336867</v>
      </c>
      <c r="D174" s="0" t="s">
        <v>1930</v>
      </c>
      <c r="E174" s="0" t="n">
        <v>1E-009</v>
      </c>
    </row>
    <row r="175" customFormat="false" ht="15" hidden="false" customHeight="false" outlineLevel="0" collapsed="false">
      <c r="A175" s="0" t="s">
        <v>2267</v>
      </c>
      <c r="B175" s="0" t="s">
        <v>2268</v>
      </c>
      <c r="C175" s="0" t="n">
        <v>0.162419988712283</v>
      </c>
      <c r="D175" s="0" t="s">
        <v>1930</v>
      </c>
      <c r="E175" s="0" t="n">
        <v>1E-009</v>
      </c>
    </row>
    <row r="176" customFormat="false" ht="15" hidden="false" customHeight="false" outlineLevel="0" collapsed="false">
      <c r="A176" s="0" t="s">
        <v>2269</v>
      </c>
      <c r="B176" s="0" t="s">
        <v>2270</v>
      </c>
      <c r="C176" s="0" t="n">
        <v>377702.635369471</v>
      </c>
      <c r="D176" s="0" t="s">
        <v>1930</v>
      </c>
      <c r="E176" s="0" t="n">
        <v>1E-009</v>
      </c>
    </row>
    <row r="177" customFormat="false" ht="15" hidden="false" customHeight="false" outlineLevel="0" collapsed="false">
      <c r="A177" s="0" t="s">
        <v>2271</v>
      </c>
      <c r="B177" s="0" t="s">
        <v>2272</v>
      </c>
      <c r="C177" s="0" t="n">
        <v>0.162419988712283</v>
      </c>
      <c r="D177" s="0" t="s">
        <v>1930</v>
      </c>
      <c r="E177" s="0" t="n">
        <v>1E-009</v>
      </c>
    </row>
    <row r="178" customFormat="false" ht="15" hidden="false" customHeight="false" outlineLevel="0" collapsed="false">
      <c r="A178" s="0" t="s">
        <v>2273</v>
      </c>
      <c r="B178" s="0" t="s">
        <v>2274</v>
      </c>
      <c r="C178" s="0" t="n">
        <v>0</v>
      </c>
      <c r="D178" s="0" t="s">
        <v>1930</v>
      </c>
      <c r="E178" s="0" t="n">
        <v>1E-009</v>
      </c>
    </row>
    <row r="179" customFormat="false" ht="15" hidden="false" customHeight="false" outlineLevel="0" collapsed="false">
      <c r="A179" s="0" t="s">
        <v>2275</v>
      </c>
      <c r="B179" s="0" t="s">
        <v>2276</v>
      </c>
      <c r="C179" s="0" t="n">
        <v>0.162419988712283</v>
      </c>
      <c r="D179" s="0" t="s">
        <v>1930</v>
      </c>
      <c r="E179" s="0" t="n">
        <v>1E-009</v>
      </c>
    </row>
    <row r="180" customFormat="false" ht="15" hidden="false" customHeight="false" outlineLevel="0" collapsed="false">
      <c r="A180" s="0" t="s">
        <v>2277</v>
      </c>
      <c r="B180" s="0" t="s">
        <v>2278</v>
      </c>
      <c r="C180" s="0" t="n">
        <v>107575.514468491</v>
      </c>
      <c r="D180" s="0" t="s">
        <v>1930</v>
      </c>
      <c r="E180" s="0" t="n">
        <v>1E-009</v>
      </c>
    </row>
    <row r="181" customFormat="false" ht="15" hidden="false" customHeight="false" outlineLevel="0" collapsed="false">
      <c r="A181" s="0" t="s">
        <v>2279</v>
      </c>
      <c r="B181" s="0" t="s">
        <v>2280</v>
      </c>
      <c r="C181" s="0" t="n">
        <v>442605.25508522</v>
      </c>
      <c r="D181" s="0" t="s">
        <v>1930</v>
      </c>
      <c r="E181" s="0" t="n">
        <v>1E-009</v>
      </c>
    </row>
    <row r="182" customFormat="false" ht="15" hidden="false" customHeight="false" outlineLevel="0" collapsed="false">
      <c r="A182" s="0" t="s">
        <v>2281</v>
      </c>
      <c r="B182" s="0" t="s">
        <v>2282</v>
      </c>
      <c r="C182" s="0" t="n">
        <v>442605.25508522</v>
      </c>
      <c r="D182" s="0" t="s">
        <v>1930</v>
      </c>
      <c r="E182" s="0" t="n">
        <v>1E-009</v>
      </c>
    </row>
    <row r="183" customFormat="false" ht="15" hidden="false" customHeight="false" outlineLevel="0" collapsed="false">
      <c r="A183" s="0" t="s">
        <v>2283</v>
      </c>
      <c r="B183" s="0" t="s">
        <v>2284</v>
      </c>
      <c r="C183" s="0" t="n">
        <v>0.5</v>
      </c>
      <c r="D183" s="0" t="s">
        <v>1930</v>
      </c>
      <c r="E183" s="0" t="n">
        <v>1E-009</v>
      </c>
    </row>
    <row r="184" customFormat="false" ht="15" hidden="false" customHeight="false" outlineLevel="0" collapsed="false">
      <c r="A184" s="0" t="s">
        <v>2285</v>
      </c>
      <c r="B184" s="0" t="s">
        <v>2286</v>
      </c>
      <c r="C184" s="0" t="n">
        <v>0.23013698630137</v>
      </c>
      <c r="D184" s="0" t="s">
        <v>1930</v>
      </c>
      <c r="E184" s="0" t="n">
        <v>1E-009</v>
      </c>
    </row>
    <row r="185" customFormat="false" ht="15" hidden="false" customHeight="false" outlineLevel="0" collapsed="false">
      <c r="A185" s="0" t="s">
        <v>2287</v>
      </c>
      <c r="B185" s="0" t="s">
        <v>2288</v>
      </c>
      <c r="C185" s="0" t="n">
        <v>0.0767123287671233</v>
      </c>
      <c r="D185" s="0" t="s">
        <v>1930</v>
      </c>
      <c r="E185" s="0" t="n">
        <v>1E-009</v>
      </c>
    </row>
    <row r="186" customFormat="false" ht="15" hidden="false" customHeight="false" outlineLevel="0" collapsed="false">
      <c r="A186" s="0" t="s">
        <v>2289</v>
      </c>
      <c r="B186" s="0" t="s">
        <v>2290</v>
      </c>
      <c r="C186" s="0" t="n">
        <v>0.0383561643835617</v>
      </c>
      <c r="D186" s="0" t="s">
        <v>1930</v>
      </c>
      <c r="E186" s="0" t="n">
        <v>1E-009</v>
      </c>
    </row>
    <row r="187" customFormat="false" ht="15" hidden="false" customHeight="false" outlineLevel="0" collapsed="false">
      <c r="A187" s="0" t="s">
        <v>2291</v>
      </c>
      <c r="B187" s="0" t="s">
        <v>2292</v>
      </c>
      <c r="C187" s="0" t="n">
        <v>0.0191780821917808</v>
      </c>
      <c r="D187" s="0" t="s">
        <v>1930</v>
      </c>
      <c r="E187" s="0" t="n">
        <v>1E-009</v>
      </c>
    </row>
    <row r="188" customFormat="false" ht="15" hidden="false" customHeight="false" outlineLevel="0" collapsed="false">
      <c r="A188" s="0" t="s">
        <v>2293</v>
      </c>
      <c r="B188" s="0" t="s">
        <v>2294</v>
      </c>
      <c r="C188" s="0" t="n">
        <v>0.00958904109589041</v>
      </c>
      <c r="D188" s="0" t="s">
        <v>1930</v>
      </c>
      <c r="E188" s="0" t="n">
        <v>1E-009</v>
      </c>
    </row>
    <row r="189" customFormat="false" ht="15" hidden="false" customHeight="false" outlineLevel="0" collapsed="false">
      <c r="A189" s="0" t="s">
        <v>2295</v>
      </c>
      <c r="B189" s="0" t="s">
        <v>2296</v>
      </c>
      <c r="C189" s="0" t="n">
        <v>0.00639269406392694</v>
      </c>
      <c r="D189" s="0" t="s">
        <v>1930</v>
      </c>
      <c r="E189" s="0" t="n">
        <v>1E-009</v>
      </c>
    </row>
    <row r="190" customFormat="false" ht="15" hidden="false" customHeight="false" outlineLevel="0" collapsed="false">
      <c r="A190" s="0" t="s">
        <v>2297</v>
      </c>
      <c r="B190" s="0" t="s">
        <v>2298</v>
      </c>
      <c r="C190" s="0" t="n">
        <v>0.00383561643835616</v>
      </c>
      <c r="D190" s="0" t="s">
        <v>1930</v>
      </c>
      <c r="E190" s="0" t="n">
        <v>1E-009</v>
      </c>
    </row>
    <row r="191" customFormat="false" ht="15" hidden="false" customHeight="false" outlineLevel="0" collapsed="false">
      <c r="A191" s="0" t="s">
        <v>2299</v>
      </c>
      <c r="B191" s="0" t="s">
        <v>2300</v>
      </c>
      <c r="C191" s="0" t="n">
        <v>0.00191780821917808</v>
      </c>
      <c r="D191" s="0" t="s">
        <v>1930</v>
      </c>
      <c r="E191" s="0" t="n">
        <v>1E-009</v>
      </c>
    </row>
    <row r="192" customFormat="false" ht="15" hidden="false" customHeight="false" outlineLevel="0" collapsed="false">
      <c r="A192" s="0" t="s">
        <v>2301</v>
      </c>
      <c r="B192" s="0" t="s">
        <v>2302</v>
      </c>
      <c r="C192" s="0" t="n">
        <v>0.00127853881278539</v>
      </c>
      <c r="D192" s="0" t="s">
        <v>1930</v>
      </c>
      <c r="E192" s="0" t="n">
        <v>1E-009</v>
      </c>
    </row>
    <row r="193" customFormat="false" ht="15" hidden="false" customHeight="false" outlineLevel="0" collapsed="false">
      <c r="A193" s="0" t="s">
        <v>2303</v>
      </c>
      <c r="B193" s="0" t="s">
        <v>2304</v>
      </c>
      <c r="C193" s="0" t="n">
        <v>0.000958904109589041</v>
      </c>
      <c r="D193" s="0" t="s">
        <v>1930</v>
      </c>
      <c r="E193" s="0" t="n">
        <v>1E-009</v>
      </c>
    </row>
    <row r="194" customFormat="false" ht="15" hidden="false" customHeight="false" outlineLevel="0" collapsed="false">
      <c r="A194" s="0" t="s">
        <v>2305</v>
      </c>
      <c r="B194" s="0" t="s">
        <v>2306</v>
      </c>
      <c r="C194" s="0" t="n">
        <v>0.000639269406392694</v>
      </c>
      <c r="D194" s="0" t="s">
        <v>1930</v>
      </c>
      <c r="E194" s="0" t="n">
        <v>1E-009</v>
      </c>
    </row>
    <row r="195" customFormat="false" ht="15" hidden="false" customHeight="false" outlineLevel="0" collapsed="false">
      <c r="A195" s="0" t="s">
        <v>2307</v>
      </c>
      <c r="B195" s="0" t="s">
        <v>2308</v>
      </c>
      <c r="C195" s="0" t="n">
        <v>0</v>
      </c>
      <c r="D195" s="0" t="s">
        <v>1930</v>
      </c>
      <c r="E195" s="0" t="n">
        <v>1E-009</v>
      </c>
    </row>
    <row r="196" customFormat="false" ht="15" hidden="false" customHeight="false" outlineLevel="0" collapsed="false">
      <c r="A196" s="0" t="s">
        <v>2309</v>
      </c>
      <c r="B196" s="0" t="s">
        <v>2310</v>
      </c>
      <c r="C196" s="0" t="n">
        <v>0</v>
      </c>
      <c r="D196" s="0" t="s">
        <v>1930</v>
      </c>
      <c r="E196" s="0" t="n">
        <v>1E-009</v>
      </c>
    </row>
    <row r="197" customFormat="false" ht="15" hidden="false" customHeight="false" outlineLevel="0" collapsed="false">
      <c r="A197" s="0" t="s">
        <v>2311</v>
      </c>
      <c r="B197" s="0" t="s">
        <v>2312</v>
      </c>
      <c r="C197" s="0" t="n">
        <v>0</v>
      </c>
      <c r="D197" s="0" t="s">
        <v>1930</v>
      </c>
      <c r="E197" s="0" t="n">
        <v>1E-009</v>
      </c>
    </row>
    <row r="198" customFormat="false" ht="15" hidden="false" customHeight="false" outlineLevel="0" collapsed="false">
      <c r="A198" s="0" t="s">
        <v>2313</v>
      </c>
      <c r="B198" s="0" t="s">
        <v>2314</v>
      </c>
      <c r="C198" s="0" t="n">
        <v>0</v>
      </c>
      <c r="D198" s="0" t="s">
        <v>1930</v>
      </c>
      <c r="E198" s="0" t="n">
        <v>1E-009</v>
      </c>
    </row>
    <row r="199" customFormat="false" ht="15" hidden="false" customHeight="false" outlineLevel="0" collapsed="false">
      <c r="A199" s="0" t="s">
        <v>2315</v>
      </c>
      <c r="B199" s="0" t="s">
        <v>2316</v>
      </c>
      <c r="C199" s="0" t="n">
        <v>0</v>
      </c>
      <c r="D199" s="0" t="s">
        <v>1930</v>
      </c>
      <c r="E199" s="0" t="n">
        <v>1E-009</v>
      </c>
    </row>
    <row r="200" customFormat="false" ht="15" hidden="false" customHeight="false" outlineLevel="0" collapsed="false">
      <c r="A200" s="0" t="s">
        <v>2317</v>
      </c>
      <c r="B200" s="0" t="s">
        <v>2318</v>
      </c>
      <c r="C200" s="0" t="n">
        <v>0</v>
      </c>
      <c r="D200" s="0" t="s">
        <v>1930</v>
      </c>
      <c r="E200" s="0" t="n">
        <v>1E-009</v>
      </c>
    </row>
    <row r="201" customFormat="false" ht="15" hidden="false" customHeight="false" outlineLevel="0" collapsed="false">
      <c r="A201" s="0" t="s">
        <v>2319</v>
      </c>
      <c r="B201" s="0" t="s">
        <v>2320</v>
      </c>
      <c r="C201" s="0" t="n">
        <v>0</v>
      </c>
      <c r="D201" s="0" t="s">
        <v>1930</v>
      </c>
      <c r="E201" s="0" t="n">
        <v>1E-009</v>
      </c>
    </row>
    <row r="202" customFormat="false" ht="15" hidden="false" customHeight="false" outlineLevel="0" collapsed="false">
      <c r="A202" s="0" t="s">
        <v>2321</v>
      </c>
      <c r="B202" s="0" t="s">
        <v>2322</v>
      </c>
      <c r="C202" s="0" t="n">
        <v>0</v>
      </c>
      <c r="D202" s="0" t="s">
        <v>1930</v>
      </c>
      <c r="E202" s="0" t="n">
        <v>1E-009</v>
      </c>
    </row>
    <row r="203" customFormat="false" ht="15" hidden="false" customHeight="false" outlineLevel="0" collapsed="false">
      <c r="A203" s="0" t="s">
        <v>2323</v>
      </c>
      <c r="B203" s="0" t="s">
        <v>2324</v>
      </c>
      <c r="C203" s="0" t="n">
        <v>0</v>
      </c>
      <c r="D203" s="0" t="s">
        <v>1930</v>
      </c>
      <c r="E203" s="0" t="n">
        <v>1E-009</v>
      </c>
    </row>
    <row r="204" customFormat="false" ht="15" hidden="false" customHeight="false" outlineLevel="0" collapsed="false">
      <c r="A204" s="0" t="s">
        <v>2325</v>
      </c>
      <c r="B204" s="0" t="s">
        <v>2326</v>
      </c>
      <c r="C204" s="0" t="n">
        <v>0</v>
      </c>
      <c r="D204" s="0" t="s">
        <v>1930</v>
      </c>
      <c r="E204" s="0" t="n">
        <v>1E-009</v>
      </c>
    </row>
    <row r="205" customFormat="false" ht="15" hidden="false" customHeight="false" outlineLevel="0" collapsed="false">
      <c r="A205" s="0" t="s">
        <v>2327</v>
      </c>
      <c r="B205" s="0" t="s">
        <v>2328</v>
      </c>
      <c r="C205" s="0" t="n">
        <v>0</v>
      </c>
      <c r="D205" s="0" t="s">
        <v>1930</v>
      </c>
      <c r="E205" s="0" t="n">
        <v>1E-009</v>
      </c>
    </row>
    <row r="206" customFormat="false" ht="15" hidden="false" customHeight="false" outlineLevel="0" collapsed="false">
      <c r="A206" s="0" t="s">
        <v>2329</v>
      </c>
      <c r="B206" s="0" t="s">
        <v>2330</v>
      </c>
      <c r="C206" s="0" t="n">
        <v>0</v>
      </c>
      <c r="D206" s="0" t="s">
        <v>1930</v>
      </c>
      <c r="E206" s="0" t="n">
        <v>1E-009</v>
      </c>
    </row>
    <row r="207" customFormat="false" ht="15" hidden="false" customHeight="false" outlineLevel="0" collapsed="false">
      <c r="A207" s="0" t="s">
        <v>2331</v>
      </c>
      <c r="B207" s="0" t="s">
        <v>2332</v>
      </c>
      <c r="C207" s="0" t="n">
        <v>0</v>
      </c>
      <c r="D207" s="0" t="s">
        <v>1930</v>
      </c>
      <c r="E207" s="0" t="n">
        <v>1E-009</v>
      </c>
    </row>
    <row r="208" customFormat="false" ht="15" hidden="false" customHeight="false" outlineLevel="0" collapsed="false">
      <c r="A208" s="0" t="s">
        <v>2333</v>
      </c>
      <c r="B208" s="0" t="s">
        <v>2334</v>
      </c>
      <c r="C208" s="0" t="n">
        <v>0</v>
      </c>
      <c r="D208" s="0" t="s">
        <v>1930</v>
      </c>
      <c r="E208" s="0" t="n">
        <v>1E-009</v>
      </c>
    </row>
    <row r="209" customFormat="false" ht="15" hidden="false" customHeight="false" outlineLevel="0" collapsed="false">
      <c r="A209" s="0" t="s">
        <v>2335</v>
      </c>
      <c r="B209" s="0" t="s">
        <v>2336</v>
      </c>
      <c r="C209" s="0" t="n">
        <v>0</v>
      </c>
      <c r="D209" s="0" t="s">
        <v>1930</v>
      </c>
      <c r="E209" s="0" t="n">
        <v>1E-009</v>
      </c>
    </row>
    <row r="210" customFormat="false" ht="15" hidden="false" customHeight="false" outlineLevel="0" collapsed="false">
      <c r="A210" s="0" t="s">
        <v>2337</v>
      </c>
      <c r="B210" s="0" t="s">
        <v>2338</v>
      </c>
      <c r="C210" s="0" t="n">
        <v>0</v>
      </c>
      <c r="D210" s="0" t="s">
        <v>1930</v>
      </c>
      <c r="E210" s="0" t="n">
        <v>1E-009</v>
      </c>
    </row>
    <row r="211" customFormat="false" ht="15" hidden="false" customHeight="false" outlineLevel="0" collapsed="false">
      <c r="A211" s="0" t="s">
        <v>2339</v>
      </c>
      <c r="B211" s="0" t="s">
        <v>2340</v>
      </c>
      <c r="C211" s="0" t="n">
        <v>0</v>
      </c>
      <c r="D211" s="0" t="s">
        <v>1930</v>
      </c>
      <c r="E211" s="0" t="n">
        <v>1E-009</v>
      </c>
    </row>
    <row r="212" customFormat="false" ht="15" hidden="false" customHeight="false" outlineLevel="0" collapsed="false">
      <c r="A212" s="0" t="s">
        <v>2341</v>
      </c>
      <c r="B212" s="0" t="s">
        <v>2342</v>
      </c>
      <c r="C212" s="0" t="n">
        <v>0</v>
      </c>
      <c r="D212" s="0" t="s">
        <v>1930</v>
      </c>
      <c r="E212" s="0" t="n">
        <v>1E-009</v>
      </c>
    </row>
    <row r="213" customFormat="false" ht="15" hidden="false" customHeight="false" outlineLevel="0" collapsed="false">
      <c r="A213" s="0" t="s">
        <v>2343</v>
      </c>
      <c r="B213" s="0" t="s">
        <v>2344</v>
      </c>
      <c r="C213" s="0" t="n">
        <v>0</v>
      </c>
      <c r="D213" s="0" t="s">
        <v>1930</v>
      </c>
      <c r="E213" s="0" t="n">
        <v>1E-009</v>
      </c>
    </row>
    <row r="214" customFormat="false" ht="15" hidden="false" customHeight="false" outlineLevel="0" collapsed="false">
      <c r="A214" s="0" t="s">
        <v>2345</v>
      </c>
      <c r="B214" s="0" t="s">
        <v>2346</v>
      </c>
      <c r="C214" s="0" t="n">
        <v>0</v>
      </c>
      <c r="D214" s="0" t="s">
        <v>1930</v>
      </c>
      <c r="E214" s="0" t="n">
        <v>1E-009</v>
      </c>
    </row>
    <row r="215" customFormat="false" ht="15" hidden="false" customHeight="false" outlineLevel="0" collapsed="false">
      <c r="A215" s="0" t="s">
        <v>2347</v>
      </c>
      <c r="B215" s="0" t="s">
        <v>2348</v>
      </c>
      <c r="C215" s="0" t="n">
        <v>12248.0394442069</v>
      </c>
      <c r="D215" s="0" t="s">
        <v>1930</v>
      </c>
      <c r="E215" s="0" t="n">
        <v>1E-009</v>
      </c>
    </row>
    <row r="216" customFormat="false" ht="15" hidden="false" customHeight="false" outlineLevel="0" collapsed="false">
      <c r="A216" s="0" t="s">
        <v>2349</v>
      </c>
      <c r="B216" s="0" t="s">
        <v>2350</v>
      </c>
      <c r="C216" s="0" t="n">
        <v>0</v>
      </c>
      <c r="D216" s="0" t="s">
        <v>1930</v>
      </c>
      <c r="E216" s="0" t="n">
        <v>1E-009</v>
      </c>
    </row>
    <row r="217" customFormat="false" ht="15" hidden="false" customHeight="false" outlineLevel="0" collapsed="false">
      <c r="A217" s="0" t="s">
        <v>2351</v>
      </c>
      <c r="B217" s="0" t="s">
        <v>2352</v>
      </c>
      <c r="C217" s="0" t="n">
        <v>0</v>
      </c>
      <c r="D217" s="0" t="s">
        <v>1930</v>
      </c>
      <c r="E217" s="0" t="n">
        <v>1E-009</v>
      </c>
    </row>
    <row r="218" customFormat="false" ht="15" hidden="false" customHeight="false" outlineLevel="0" collapsed="false">
      <c r="A218" s="0" t="s">
        <v>2353</v>
      </c>
      <c r="B218" s="0" t="s">
        <v>2354</v>
      </c>
      <c r="C218" s="0" t="n">
        <v>0</v>
      </c>
      <c r="D218" s="0" t="s">
        <v>1930</v>
      </c>
      <c r="E218" s="0" t="n">
        <v>1E-009</v>
      </c>
    </row>
    <row r="219" customFormat="false" ht="15" hidden="false" customHeight="false" outlineLevel="0" collapsed="false">
      <c r="A219" s="0" t="s">
        <v>2355</v>
      </c>
      <c r="B219" s="0" t="s">
        <v>2356</v>
      </c>
      <c r="C219" s="0" t="n">
        <v>0</v>
      </c>
      <c r="D219" s="0" t="s">
        <v>1930</v>
      </c>
      <c r="E219" s="0" t="n">
        <v>1E-009</v>
      </c>
    </row>
    <row r="220" customFormat="false" ht="15" hidden="false" customHeight="false" outlineLevel="0" collapsed="false">
      <c r="A220" s="0" t="s">
        <v>2357</v>
      </c>
      <c r="B220" s="0" t="s">
        <v>2358</v>
      </c>
      <c r="C220" s="0" t="n">
        <v>0</v>
      </c>
      <c r="D220" s="0" t="s">
        <v>1930</v>
      </c>
      <c r="E220" s="0" t="n">
        <v>1E-009</v>
      </c>
    </row>
    <row r="221" customFormat="false" ht="15" hidden="false" customHeight="false" outlineLevel="0" collapsed="false">
      <c r="A221" s="0" t="s">
        <v>2359</v>
      </c>
      <c r="B221" s="0" t="s">
        <v>2360</v>
      </c>
      <c r="C221" s="0" t="n">
        <v>0</v>
      </c>
      <c r="D221" s="0" t="s">
        <v>1930</v>
      </c>
      <c r="E221" s="0" t="n">
        <v>1E-009</v>
      </c>
    </row>
    <row r="222" customFormat="false" ht="15" hidden="false" customHeight="false" outlineLevel="0" collapsed="false">
      <c r="A222" s="0" t="s">
        <v>2361</v>
      </c>
      <c r="B222" s="0" t="s">
        <v>2362</v>
      </c>
      <c r="C222" s="0" t="n">
        <v>0</v>
      </c>
      <c r="D222" s="0" t="s">
        <v>1930</v>
      </c>
      <c r="E222" s="0" t="n">
        <v>1E-009</v>
      </c>
    </row>
    <row r="223" customFormat="false" ht="15" hidden="false" customHeight="false" outlineLevel="0" collapsed="false">
      <c r="A223" s="0" t="s">
        <v>2363</v>
      </c>
      <c r="B223" s="0" t="s">
        <v>2364</v>
      </c>
      <c r="C223" s="0" t="n">
        <v>0</v>
      </c>
      <c r="D223" s="0" t="s">
        <v>1930</v>
      </c>
      <c r="E223" s="0" t="n">
        <v>1E-009</v>
      </c>
    </row>
    <row r="224" customFormat="false" ht="15" hidden="false" customHeight="false" outlineLevel="0" collapsed="false">
      <c r="A224" s="0" t="s">
        <v>2365</v>
      </c>
      <c r="B224" s="0" t="s">
        <v>2366</v>
      </c>
      <c r="C224" s="0" t="n">
        <v>0</v>
      </c>
      <c r="D224" s="0" t="s">
        <v>1930</v>
      </c>
      <c r="E224" s="0" t="n">
        <v>1E-009</v>
      </c>
    </row>
    <row r="225" customFormat="false" ht="15" hidden="false" customHeight="false" outlineLevel="0" collapsed="false">
      <c r="A225" s="0" t="s">
        <v>2367</v>
      </c>
      <c r="B225" s="0" t="s">
        <v>2368</v>
      </c>
      <c r="C225" s="0" t="n">
        <v>0</v>
      </c>
      <c r="D225" s="0" t="s">
        <v>1930</v>
      </c>
      <c r="E225" s="0" t="n">
        <v>1E-009</v>
      </c>
    </row>
    <row r="226" customFormat="false" ht="15" hidden="false" customHeight="false" outlineLevel="0" collapsed="false">
      <c r="A226" s="0" t="s">
        <v>2369</v>
      </c>
      <c r="B226" s="0" t="s">
        <v>2370</v>
      </c>
      <c r="C226" s="0" t="n">
        <v>6763.1890964422</v>
      </c>
      <c r="D226" s="0" t="s">
        <v>1930</v>
      </c>
      <c r="E226" s="0" t="n">
        <v>1E-009</v>
      </c>
    </row>
    <row r="227" customFormat="false" ht="15" hidden="false" customHeight="false" outlineLevel="0" collapsed="false">
      <c r="A227" s="0" t="s">
        <v>2371</v>
      </c>
      <c r="B227" s="0" t="s">
        <v>2372</v>
      </c>
      <c r="C227" s="0" t="n">
        <v>0</v>
      </c>
      <c r="D227" s="0" t="s">
        <v>1930</v>
      </c>
      <c r="E227" s="0" t="n">
        <v>1E-009</v>
      </c>
    </row>
    <row r="228" customFormat="false" ht="15" hidden="false" customHeight="false" outlineLevel="0" collapsed="false">
      <c r="A228" s="0" t="s">
        <v>2373</v>
      </c>
      <c r="B228" s="0" t="s">
        <v>2374</v>
      </c>
      <c r="C228" s="0" t="n">
        <v>0</v>
      </c>
      <c r="D228" s="0" t="s">
        <v>1930</v>
      </c>
      <c r="E228" s="0" t="n">
        <v>1E-009</v>
      </c>
    </row>
    <row r="229" customFormat="false" ht="15" hidden="false" customHeight="false" outlineLevel="0" collapsed="false">
      <c r="A229" s="0" t="s">
        <v>2375</v>
      </c>
      <c r="B229" s="0" t="s">
        <v>2376</v>
      </c>
      <c r="C229" s="0" t="n">
        <v>0</v>
      </c>
      <c r="D229" s="0" t="s">
        <v>1930</v>
      </c>
      <c r="E229" s="0" t="n">
        <v>1E-009</v>
      </c>
    </row>
    <row r="230" customFormat="false" ht="15" hidden="false" customHeight="false" outlineLevel="0" collapsed="false">
      <c r="A230" s="0" t="s">
        <v>2377</v>
      </c>
      <c r="B230" s="0" t="s">
        <v>2378</v>
      </c>
      <c r="C230" s="0" t="n">
        <v>0</v>
      </c>
      <c r="D230" s="0" t="s">
        <v>1930</v>
      </c>
      <c r="E230" s="0" t="n">
        <v>1E-009</v>
      </c>
    </row>
    <row r="231" customFormat="false" ht="15" hidden="false" customHeight="false" outlineLevel="0" collapsed="false">
      <c r="A231" s="0" t="s">
        <v>2379</v>
      </c>
      <c r="B231" s="0" t="s">
        <v>2380</v>
      </c>
      <c r="C231" s="0" t="n">
        <v>4057.91345786532</v>
      </c>
      <c r="D231" s="0" t="s">
        <v>1930</v>
      </c>
      <c r="E231" s="0" t="n">
        <v>1E-009</v>
      </c>
    </row>
    <row r="232" customFormat="false" ht="15" hidden="false" customHeight="false" outlineLevel="0" collapsed="false">
      <c r="A232" s="0" t="s">
        <v>2381</v>
      </c>
      <c r="B232" s="0" t="s">
        <v>2382</v>
      </c>
      <c r="C232" s="0" t="n">
        <v>-3956.16269322761</v>
      </c>
      <c r="D232" s="0" t="s">
        <v>1930</v>
      </c>
      <c r="E232" s="0" t="n">
        <v>1E-009</v>
      </c>
    </row>
    <row r="233" customFormat="false" ht="15" hidden="false" customHeight="false" outlineLevel="0" collapsed="false">
      <c r="A233" s="0" t="s">
        <v>2383</v>
      </c>
      <c r="B233" s="0" t="s">
        <v>2384</v>
      </c>
      <c r="C233" s="0" t="n">
        <v>0</v>
      </c>
      <c r="D233" s="0" t="s">
        <v>1930</v>
      </c>
      <c r="E233" s="0" t="n">
        <v>1E-009</v>
      </c>
    </row>
    <row r="234" customFormat="false" ht="15" hidden="false" customHeight="false" outlineLevel="0" collapsed="false">
      <c r="A234" s="0" t="s">
        <v>2385</v>
      </c>
      <c r="B234" s="0" t="s">
        <v>2386</v>
      </c>
      <c r="C234" s="0" t="n">
        <v>0</v>
      </c>
      <c r="D234" s="0" t="s">
        <v>1930</v>
      </c>
      <c r="E234" s="0" t="n">
        <v>1E-009</v>
      </c>
    </row>
    <row r="235" customFormat="false" ht="15" hidden="false" customHeight="false" outlineLevel="0" collapsed="false">
      <c r="A235" s="0" t="s">
        <v>2387</v>
      </c>
      <c r="B235" s="0" t="s">
        <v>2388</v>
      </c>
      <c r="C235" s="0" t="n">
        <v>0</v>
      </c>
      <c r="D235" s="0" t="s">
        <v>1930</v>
      </c>
      <c r="E235" s="0" t="n">
        <v>1E-009</v>
      </c>
    </row>
    <row r="236" customFormat="false" ht="15" hidden="false" customHeight="false" outlineLevel="0" collapsed="false">
      <c r="A236" s="0" t="s">
        <v>2389</v>
      </c>
      <c r="B236" s="0" t="s">
        <v>2390</v>
      </c>
      <c r="C236" s="0" t="n">
        <v>0</v>
      </c>
      <c r="D236" s="0" t="s">
        <v>1930</v>
      </c>
      <c r="E236" s="0" t="n">
        <v>1E-009</v>
      </c>
    </row>
    <row r="237" customFormat="false" ht="15" hidden="false" customHeight="false" outlineLevel="0" collapsed="false">
      <c r="A237" s="0" t="s">
        <v>2391</v>
      </c>
      <c r="B237" s="0" t="s">
        <v>2392</v>
      </c>
      <c r="C237" s="0" t="n">
        <v>0</v>
      </c>
      <c r="D237" s="0" t="s">
        <v>1930</v>
      </c>
      <c r="E237" s="0" t="n">
        <v>1E-009</v>
      </c>
    </row>
    <row r="238" customFormat="false" ht="15" hidden="false" customHeight="false" outlineLevel="0" collapsed="false">
      <c r="A238" s="0" t="s">
        <v>2393</v>
      </c>
      <c r="B238" s="0" t="s">
        <v>2394</v>
      </c>
      <c r="C238" s="0" t="n">
        <v>0</v>
      </c>
      <c r="D238" s="0" t="s">
        <v>1930</v>
      </c>
      <c r="E238" s="0" t="n">
        <v>1E-009</v>
      </c>
    </row>
    <row r="239" customFormat="false" ht="15" hidden="false" customHeight="false" outlineLevel="0" collapsed="false">
      <c r="A239" s="0" t="s">
        <v>2395</v>
      </c>
      <c r="B239" s="0" t="s">
        <v>2396</v>
      </c>
      <c r="C239" s="0" t="n">
        <v>0</v>
      </c>
      <c r="D239" s="0" t="s">
        <v>1930</v>
      </c>
      <c r="E239" s="0" t="n">
        <v>1E-009</v>
      </c>
    </row>
    <row r="240" customFormat="false" ht="15" hidden="false" customHeight="false" outlineLevel="0" collapsed="false">
      <c r="A240" s="0" t="s">
        <v>2397</v>
      </c>
      <c r="B240" s="0" t="s">
        <v>2398</v>
      </c>
      <c r="C240" s="0" t="n">
        <v>0</v>
      </c>
      <c r="D240" s="0" t="s">
        <v>1930</v>
      </c>
      <c r="E240" s="0" t="n">
        <v>1E-009</v>
      </c>
    </row>
    <row r="241" customFormat="false" ht="15" hidden="false" customHeight="false" outlineLevel="0" collapsed="false">
      <c r="A241" s="0" t="s">
        <v>2399</v>
      </c>
      <c r="B241" s="0" t="s">
        <v>2400</v>
      </c>
      <c r="C241" s="0" t="n">
        <v>0</v>
      </c>
      <c r="D241" s="0" t="s">
        <v>1930</v>
      </c>
      <c r="E241" s="0" t="n">
        <v>1E-009</v>
      </c>
    </row>
    <row r="242" customFormat="false" ht="15" hidden="false" customHeight="false" outlineLevel="0" collapsed="false">
      <c r="A242" s="0" t="s">
        <v>2401</v>
      </c>
      <c r="B242" s="0" t="s">
        <v>2402</v>
      </c>
      <c r="C242" s="0" t="n">
        <v>0</v>
      </c>
      <c r="D242" s="0" t="s">
        <v>1930</v>
      </c>
      <c r="E242" s="0" t="n">
        <v>1E-009</v>
      </c>
    </row>
    <row r="243" customFormat="false" ht="15" hidden="false" customHeight="false" outlineLevel="0" collapsed="false">
      <c r="A243" s="0" t="s">
        <v>2403</v>
      </c>
      <c r="B243" s="0" t="s">
        <v>2404</v>
      </c>
      <c r="C243" s="0" t="n">
        <v>0</v>
      </c>
      <c r="D243" s="0" t="s">
        <v>1930</v>
      </c>
      <c r="E243" s="0" t="n">
        <v>1E-009</v>
      </c>
    </row>
    <row r="244" customFormat="false" ht="15" hidden="false" customHeight="false" outlineLevel="0" collapsed="false">
      <c r="A244" s="0" t="s">
        <v>2405</v>
      </c>
      <c r="B244" s="0" t="s">
        <v>2406</v>
      </c>
      <c r="C244" s="0" t="n">
        <v>0</v>
      </c>
      <c r="D244" s="0" t="s">
        <v>1930</v>
      </c>
      <c r="E244" s="0" t="n">
        <v>1E-009</v>
      </c>
    </row>
    <row r="245" customFormat="false" ht="15" hidden="false" customHeight="false" outlineLevel="0" collapsed="false">
      <c r="A245" s="0" t="s">
        <v>2407</v>
      </c>
      <c r="B245" s="0" t="s">
        <v>2408</v>
      </c>
      <c r="C245" s="0" t="n">
        <v>0</v>
      </c>
      <c r="D245" s="0" t="s">
        <v>1930</v>
      </c>
      <c r="E245" s="0" t="n">
        <v>1E-009</v>
      </c>
    </row>
    <row r="246" customFormat="false" ht="15" hidden="false" customHeight="false" outlineLevel="0" collapsed="false">
      <c r="A246" s="0" t="s">
        <v>2409</v>
      </c>
      <c r="B246" s="0" t="s">
        <v>2410</v>
      </c>
      <c r="C246" s="0" t="n">
        <v>0</v>
      </c>
      <c r="D246" s="0" t="s">
        <v>1930</v>
      </c>
      <c r="E246" s="0" t="n">
        <v>1E-009</v>
      </c>
    </row>
    <row r="247" customFormat="false" ht="15" hidden="false" customHeight="false" outlineLevel="0" collapsed="false">
      <c r="A247" s="0" t="s">
        <v>2411</v>
      </c>
      <c r="B247" s="0" t="s">
        <v>2412</v>
      </c>
      <c r="C247" s="0" t="n">
        <v>0</v>
      </c>
      <c r="D247" s="0" t="s">
        <v>1930</v>
      </c>
      <c r="E247" s="0" t="n">
        <v>1E-009</v>
      </c>
    </row>
    <row r="248" customFormat="false" ht="15" hidden="false" customHeight="false" outlineLevel="0" collapsed="false">
      <c r="A248" s="0" t="s">
        <v>2413</v>
      </c>
      <c r="B248" s="0" t="s">
        <v>2414</v>
      </c>
      <c r="C248" s="0" t="n">
        <v>0</v>
      </c>
      <c r="D248" s="0" t="s">
        <v>1930</v>
      </c>
      <c r="E248" s="0" t="n">
        <v>1E-009</v>
      </c>
    </row>
    <row r="249" customFormat="false" ht="15" hidden="false" customHeight="false" outlineLevel="0" collapsed="false">
      <c r="A249" s="0" t="s">
        <v>2415</v>
      </c>
      <c r="B249" s="0" t="s">
        <v>2416</v>
      </c>
      <c r="C249" s="0" t="n">
        <v>0</v>
      </c>
      <c r="D249" s="0" t="s">
        <v>1930</v>
      </c>
      <c r="E249" s="0" t="n">
        <v>1E-009</v>
      </c>
    </row>
    <row r="250" customFormat="false" ht="15" hidden="false" customHeight="false" outlineLevel="0" collapsed="false">
      <c r="A250" s="0" t="s">
        <v>2417</v>
      </c>
      <c r="B250" s="0" t="s">
        <v>2418</v>
      </c>
      <c r="C250" s="0" t="n">
        <v>0</v>
      </c>
      <c r="D250" s="0" t="s">
        <v>1930</v>
      </c>
      <c r="E250" s="0" t="n">
        <v>1E-009</v>
      </c>
    </row>
    <row r="251" customFormat="false" ht="15" hidden="false" customHeight="false" outlineLevel="0" collapsed="false">
      <c r="A251" s="0" t="s">
        <v>2419</v>
      </c>
      <c r="B251" s="0" t="s">
        <v>2420</v>
      </c>
      <c r="C251" s="0" t="n">
        <v>0</v>
      </c>
      <c r="D251" s="0" t="s">
        <v>1930</v>
      </c>
      <c r="E251" s="0" t="n">
        <v>1E-009</v>
      </c>
    </row>
    <row r="252" customFormat="false" ht="15" hidden="false" customHeight="false" outlineLevel="0" collapsed="false">
      <c r="A252" s="0" t="s">
        <v>2421</v>
      </c>
      <c r="B252" s="0" t="s">
        <v>2422</v>
      </c>
      <c r="C252" s="0" t="n">
        <v>0</v>
      </c>
      <c r="D252" s="0" t="s">
        <v>1930</v>
      </c>
      <c r="E252" s="0" t="n">
        <v>1E-009</v>
      </c>
    </row>
    <row r="253" customFormat="false" ht="15" hidden="false" customHeight="false" outlineLevel="0" collapsed="false">
      <c r="A253" s="0" t="s">
        <v>2423</v>
      </c>
      <c r="B253" s="0" t="s">
        <v>2424</v>
      </c>
      <c r="C253" s="0" t="n">
        <v>0</v>
      </c>
      <c r="D253" s="0" t="s">
        <v>1930</v>
      </c>
      <c r="E253" s="0" t="n">
        <v>1E-009</v>
      </c>
    </row>
    <row r="254" customFormat="false" ht="15" hidden="false" customHeight="false" outlineLevel="0" collapsed="false">
      <c r="A254" s="0" t="s">
        <v>2425</v>
      </c>
      <c r="B254" s="0" t="s">
        <v>2426</v>
      </c>
      <c r="C254" s="0" t="n">
        <v>0</v>
      </c>
      <c r="D254" s="0" t="s">
        <v>1930</v>
      </c>
      <c r="E254" s="0" t="n">
        <v>1E-009</v>
      </c>
    </row>
    <row r="255" customFormat="false" ht="15" hidden="false" customHeight="false" outlineLevel="0" collapsed="false">
      <c r="A255" s="0" t="s">
        <v>2427</v>
      </c>
      <c r="B255" s="0" t="s">
        <v>2428</v>
      </c>
      <c r="C255" s="0" t="n">
        <v>0</v>
      </c>
      <c r="D255" s="0" t="s">
        <v>1930</v>
      </c>
      <c r="E255" s="0" t="n">
        <v>1E-009</v>
      </c>
    </row>
    <row r="256" customFormat="false" ht="15" hidden="false" customHeight="false" outlineLevel="0" collapsed="false">
      <c r="A256" s="0" t="s">
        <v>2429</v>
      </c>
      <c r="B256" s="0" t="s">
        <v>2430</v>
      </c>
      <c r="C256" s="0" t="n">
        <v>5.63489660102121</v>
      </c>
      <c r="D256" s="0" t="s">
        <v>1930</v>
      </c>
      <c r="E256" s="0" t="n">
        <v>1E-009</v>
      </c>
    </row>
    <row r="257" customFormat="false" ht="15" hidden="false" customHeight="false" outlineLevel="0" collapsed="false">
      <c r="A257" s="0" t="s">
        <v>2431</v>
      </c>
      <c r="B257" s="0" t="s">
        <v>2432</v>
      </c>
      <c r="C257" s="0" t="n">
        <v>12248.0394442069</v>
      </c>
      <c r="D257" s="0" t="s">
        <v>1930</v>
      </c>
      <c r="E257" s="0" t="n">
        <v>1E-009</v>
      </c>
    </row>
    <row r="258" customFormat="false" ht="15" hidden="false" customHeight="false" outlineLevel="0" collapsed="false">
      <c r="A258" s="0" t="s">
        <v>2433</v>
      </c>
      <c r="B258" s="0" t="s">
        <v>2434</v>
      </c>
      <c r="C258" s="0" t="n">
        <v>12248.0394442069</v>
      </c>
      <c r="D258" s="0" t="s">
        <v>1930</v>
      </c>
      <c r="E258" s="0" t="n">
        <v>1E-009</v>
      </c>
    </row>
    <row r="259" customFormat="false" ht="15" hidden="false" customHeight="false" outlineLevel="0" collapsed="false">
      <c r="A259" s="0" t="s">
        <v>2435</v>
      </c>
      <c r="B259" s="0" t="s">
        <v>2436</v>
      </c>
      <c r="C259" s="0" t="n">
        <v>10670.1606430939</v>
      </c>
      <c r="D259" s="0" t="s">
        <v>1930</v>
      </c>
      <c r="E259" s="0" t="n">
        <v>1E-009</v>
      </c>
    </row>
    <row r="260" customFormat="false" ht="15" hidden="false" customHeight="false" outlineLevel="0" collapsed="false">
      <c r="A260" s="0" t="s">
        <v>2437</v>
      </c>
      <c r="B260" s="0" t="s">
        <v>2438</v>
      </c>
      <c r="C260" s="0" t="n">
        <v>10670.1606430939</v>
      </c>
      <c r="D260" s="0" t="s">
        <v>1930</v>
      </c>
      <c r="E260" s="0" t="n">
        <v>1E-009</v>
      </c>
    </row>
    <row r="261" customFormat="false" ht="15" hidden="false" customHeight="false" outlineLevel="0" collapsed="false">
      <c r="A261" s="0" t="s">
        <v>2439</v>
      </c>
      <c r="B261" s="0" t="s">
        <v>2440</v>
      </c>
      <c r="C261" s="0" t="n">
        <v>3956.16269322761</v>
      </c>
      <c r="D261" s="0" t="s">
        <v>1930</v>
      </c>
      <c r="E261" s="0" t="n">
        <v>1E-009</v>
      </c>
    </row>
    <row r="262" customFormat="false" ht="15" hidden="false" customHeight="false" outlineLevel="0" collapsed="false">
      <c r="A262" s="0" t="s">
        <v>2441</v>
      </c>
      <c r="B262" s="0" t="s">
        <v>2442</v>
      </c>
      <c r="C262" s="0" t="n">
        <v>-3956.16269322761</v>
      </c>
      <c r="D262" s="0" t="s">
        <v>1930</v>
      </c>
      <c r="E262" s="0" t="n">
        <v>1E-009</v>
      </c>
    </row>
    <row r="263" customFormat="false" ht="15" hidden="false" customHeight="false" outlineLevel="0" collapsed="false">
      <c r="A263" s="0" t="s">
        <v>2443</v>
      </c>
      <c r="B263" s="0" t="s">
        <v>2444</v>
      </c>
      <c r="C263" s="0" t="n">
        <v>0</v>
      </c>
      <c r="D263" s="0" t="s">
        <v>1930</v>
      </c>
      <c r="E263" s="0" t="n">
        <v>1E-009</v>
      </c>
    </row>
    <row r="264" customFormat="false" ht="15" hidden="false" customHeight="false" outlineLevel="0" collapsed="false">
      <c r="A264" s="0" t="s">
        <v>2445</v>
      </c>
      <c r="B264" s="0" t="s">
        <v>2446</v>
      </c>
      <c r="C264" s="0" t="n">
        <v>0</v>
      </c>
      <c r="D264" s="0" t="s">
        <v>1930</v>
      </c>
      <c r="E264" s="0" t="n">
        <v>1E-009</v>
      </c>
    </row>
    <row r="265" customFormat="false" ht="15" hidden="false" customHeight="false" outlineLevel="0" collapsed="false">
      <c r="A265" s="0" t="s">
        <v>2447</v>
      </c>
      <c r="B265" s="0" t="s">
        <v>2448</v>
      </c>
      <c r="C265" s="0" t="n">
        <v>0</v>
      </c>
      <c r="D265" s="0" t="s">
        <v>1930</v>
      </c>
      <c r="E265" s="0" t="n">
        <v>1E-009</v>
      </c>
    </row>
    <row r="266" customFormat="false" ht="15" hidden="false" customHeight="false" outlineLevel="0" collapsed="false">
      <c r="A266" s="0" t="s">
        <v>2449</v>
      </c>
      <c r="B266" s="0" t="s">
        <v>2450</v>
      </c>
      <c r="C266" s="0" t="n">
        <v>0</v>
      </c>
      <c r="D266" s="0" t="s">
        <v>1930</v>
      </c>
      <c r="E266" s="0" t="n">
        <v>1E-009</v>
      </c>
    </row>
    <row r="267" customFormat="false" ht="15" hidden="false" customHeight="false" outlineLevel="0" collapsed="false">
      <c r="A267" s="0" t="s">
        <v>2451</v>
      </c>
      <c r="B267" s="0" t="s">
        <v>2452</v>
      </c>
      <c r="C267" s="0" t="n">
        <v>209933.787737354</v>
      </c>
      <c r="D267" s="0" t="s">
        <v>1930</v>
      </c>
      <c r="E267" s="0" t="n">
        <v>1E-009</v>
      </c>
    </row>
    <row r="268" customFormat="false" ht="15" hidden="false" customHeight="false" outlineLevel="0" collapsed="false">
      <c r="A268" s="0" t="s">
        <v>2453</v>
      </c>
      <c r="B268" s="0" t="s">
        <v>2454</v>
      </c>
      <c r="C268" s="0" t="n">
        <v>737.534941163706</v>
      </c>
      <c r="D268" s="0" t="s">
        <v>1930</v>
      </c>
      <c r="E268" s="0" t="n">
        <v>1E-009</v>
      </c>
    </row>
    <row r="269" customFormat="false" ht="15" hidden="false" customHeight="false" outlineLevel="0" collapsed="false">
      <c r="A269" s="0" t="s">
        <v>2455</v>
      </c>
      <c r="B269" s="0" t="s">
        <v>2456</v>
      </c>
      <c r="C269" s="0" t="n">
        <v>65523.4028509084</v>
      </c>
      <c r="D269" s="0" t="s">
        <v>1930</v>
      </c>
      <c r="E269" s="0" t="n">
        <v>1E-009</v>
      </c>
    </row>
    <row r="270" customFormat="false" ht="15" hidden="false" customHeight="false" outlineLevel="0" collapsed="false">
      <c r="A270" s="0" t="s">
        <v>2457</v>
      </c>
      <c r="B270" s="0" t="s">
        <v>2458</v>
      </c>
      <c r="C270" s="0" t="n">
        <v>0</v>
      </c>
      <c r="D270" s="0" t="s">
        <v>1930</v>
      </c>
      <c r="E270" s="0" t="n">
        <v>1E-009</v>
      </c>
    </row>
    <row r="271" customFormat="false" ht="15" hidden="false" customHeight="false" outlineLevel="0" collapsed="false">
      <c r="A271" s="0" t="s">
        <v>2459</v>
      </c>
      <c r="B271" s="0" t="s">
        <v>2460</v>
      </c>
      <c r="C271" s="0" t="n">
        <v>9331.03599411952</v>
      </c>
      <c r="D271" s="0" t="s">
        <v>1930</v>
      </c>
      <c r="E271" s="0" t="n">
        <v>1E-009</v>
      </c>
    </row>
    <row r="272" customFormat="false" ht="15" hidden="false" customHeight="false" outlineLevel="0" collapsed="false">
      <c r="A272" s="0" t="s">
        <v>2461</v>
      </c>
      <c r="B272" s="0" t="s">
        <v>2462</v>
      </c>
      <c r="C272" s="0" t="n">
        <v>0</v>
      </c>
      <c r="D272" s="0" t="s">
        <v>1930</v>
      </c>
      <c r="E272" s="0" t="n">
        <v>1E-009</v>
      </c>
    </row>
    <row r="273" customFormat="false" ht="15" hidden="false" customHeight="false" outlineLevel="0" collapsed="false">
      <c r="A273" s="0" t="s">
        <v>2463</v>
      </c>
      <c r="B273" s="0" t="s">
        <v>2464</v>
      </c>
      <c r="C273" s="0" t="n">
        <v>5.63489660102121</v>
      </c>
      <c r="D273" s="0" t="s">
        <v>1930</v>
      </c>
      <c r="E273" s="0" t="n">
        <v>1E-009</v>
      </c>
    </row>
    <row r="274" customFormat="false" ht="15" hidden="false" customHeight="false" outlineLevel="0" collapsed="false">
      <c r="A274" s="0" t="s">
        <v>2465</v>
      </c>
      <c r="B274" s="0" t="s">
        <v>2466</v>
      </c>
      <c r="C274" s="0" t="n">
        <v>68660.2724213911</v>
      </c>
      <c r="D274" s="0" t="s">
        <v>1930</v>
      </c>
      <c r="E274" s="0" t="n">
        <v>1E-009</v>
      </c>
    </row>
    <row r="275" customFormat="false" ht="15" hidden="false" customHeight="false" outlineLevel="0" collapsed="false">
      <c r="A275" s="0" t="s">
        <v>2467</v>
      </c>
      <c r="B275" s="0" t="s">
        <v>2468</v>
      </c>
      <c r="C275" s="0" t="n">
        <v>462485.509478679</v>
      </c>
      <c r="D275" s="0" t="s">
        <v>1930</v>
      </c>
      <c r="E275" s="0" t="n">
        <v>1E-009</v>
      </c>
    </row>
    <row r="276" customFormat="false" ht="15" hidden="false" customHeight="false" outlineLevel="0" collapsed="false">
      <c r="A276" s="0" t="s">
        <v>2469</v>
      </c>
      <c r="B276" s="0" t="s">
        <v>2470</v>
      </c>
      <c r="C276" s="0" t="n">
        <v>2368655.42190476</v>
      </c>
      <c r="D276" s="0" t="s">
        <v>2471</v>
      </c>
      <c r="E276" s="0" t="n">
        <v>0.01</v>
      </c>
    </row>
    <row r="277" customFormat="false" ht="15" hidden="false" customHeight="false" outlineLevel="0" collapsed="false">
      <c r="A277" s="0" t="s">
        <v>2472</v>
      </c>
      <c r="B277" s="0" t="s">
        <v>2473</v>
      </c>
      <c r="C277" s="0" t="n">
        <v>4583372.86975386</v>
      </c>
      <c r="D277" s="0" t="s">
        <v>2471</v>
      </c>
      <c r="E277" s="0" t="n">
        <v>0.01</v>
      </c>
    </row>
    <row r="278" customFormat="false" ht="15" hidden="false" customHeight="false" outlineLevel="0" collapsed="false">
      <c r="A278" s="0" t="s">
        <v>2474</v>
      </c>
      <c r="B278" s="0" t="s">
        <v>2474</v>
      </c>
      <c r="C278" s="0" t="n">
        <v>5465781.24978311</v>
      </c>
      <c r="D278" s="0" t="s">
        <v>2471</v>
      </c>
      <c r="E278" s="0" t="n">
        <v>0.01</v>
      </c>
    </row>
    <row r="279" customFormat="false" ht="15" hidden="false" customHeight="false" outlineLevel="0" collapsed="false">
      <c r="A279" s="0" t="s">
        <v>2475</v>
      </c>
      <c r="B279" s="0" t="s">
        <v>2476</v>
      </c>
      <c r="C279" s="0" t="n">
        <v>0.02</v>
      </c>
      <c r="D279" s="0" t="s">
        <v>1930</v>
      </c>
      <c r="E279" s="0" t="n">
        <v>1E-009</v>
      </c>
    </row>
    <row r="280" customFormat="false" ht="15" hidden="false" customHeight="false" outlineLevel="0" collapsed="false">
      <c r="A280" s="0" t="s">
        <v>2477</v>
      </c>
      <c r="B280" s="0" t="s">
        <v>2478</v>
      </c>
      <c r="C280" s="0" t="n">
        <v>1200000</v>
      </c>
      <c r="D280" s="0" t="s">
        <v>1930</v>
      </c>
      <c r="E280" s="0" t="n">
        <v>1E-009</v>
      </c>
    </row>
    <row r="281" customFormat="false" ht="15" hidden="false" customHeight="false" outlineLevel="0" collapsed="false">
      <c r="A281" s="0" t="s">
        <v>2479</v>
      </c>
      <c r="B281" s="0" t="s">
        <v>2480</v>
      </c>
      <c r="C281" s="0" t="n">
        <v>0.04</v>
      </c>
      <c r="D281" s="0" t="s">
        <v>1930</v>
      </c>
      <c r="E281" s="0" t="n">
        <v>1E-009</v>
      </c>
    </row>
    <row r="282" customFormat="false" ht="15" hidden="false" customHeight="false" outlineLevel="0" collapsed="false">
      <c r="A282" s="0" t="s">
        <v>2481</v>
      </c>
      <c r="B282" s="0" t="s">
        <v>2482</v>
      </c>
      <c r="C282" s="0" t="n">
        <v>1600000</v>
      </c>
      <c r="D282" s="0" t="s">
        <v>1930</v>
      </c>
      <c r="E282" s="0" t="n">
        <v>1E-009</v>
      </c>
    </row>
    <row r="283" customFormat="false" ht="15" hidden="false" customHeight="false" outlineLevel="0" collapsed="false">
      <c r="A283" s="0" t="s">
        <v>2483</v>
      </c>
      <c r="B283" s="0" t="s">
        <v>2484</v>
      </c>
      <c r="C283" s="0" t="n">
        <v>0.04</v>
      </c>
      <c r="D283" s="0" t="s">
        <v>1930</v>
      </c>
      <c r="E283" s="0" t="n">
        <v>1E-009</v>
      </c>
    </row>
    <row r="284" customFormat="false" ht="15" hidden="false" customHeight="false" outlineLevel="0" collapsed="false">
      <c r="A284" s="0" t="s">
        <v>2485</v>
      </c>
      <c r="B284" s="0" t="s">
        <v>2486</v>
      </c>
      <c r="C284" s="0" t="n">
        <v>1000000</v>
      </c>
      <c r="D284" s="0" t="s">
        <v>1930</v>
      </c>
      <c r="E284" s="0" t="n">
        <v>1E-009</v>
      </c>
    </row>
    <row r="285" customFormat="false" ht="15" hidden="false" customHeight="false" outlineLevel="0" collapsed="false">
      <c r="A285" s="0" t="s">
        <v>2487</v>
      </c>
      <c r="B285" s="0" t="s">
        <v>2488</v>
      </c>
      <c r="C285" s="0" t="n">
        <v>0.04</v>
      </c>
      <c r="D285" s="0" t="s">
        <v>1930</v>
      </c>
      <c r="E285" s="0" t="n">
        <v>1E-009</v>
      </c>
    </row>
    <row r="286" customFormat="false" ht="15" hidden="false" customHeight="false" outlineLevel="0" collapsed="false">
      <c r="A286" s="0" t="s">
        <v>2489</v>
      </c>
      <c r="B286" s="0" t="s">
        <v>2490</v>
      </c>
      <c r="C286" s="0" t="n">
        <v>400000</v>
      </c>
      <c r="D286" s="0" t="s">
        <v>1930</v>
      </c>
      <c r="E286" s="0" t="n">
        <v>1E-009</v>
      </c>
    </row>
    <row r="287" customFormat="false" ht="15" hidden="false" customHeight="false" outlineLevel="0" collapsed="false">
      <c r="A287" s="0" t="s">
        <v>2491</v>
      </c>
      <c r="B287" s="0" t="s">
        <v>2492</v>
      </c>
      <c r="C287" s="0" t="n">
        <v>0.04</v>
      </c>
      <c r="D287" s="0" t="s">
        <v>1930</v>
      </c>
      <c r="E287" s="0" t="n">
        <v>1E-009</v>
      </c>
    </row>
    <row r="288" customFormat="false" ht="15" hidden="false" customHeight="false" outlineLevel="0" collapsed="false">
      <c r="A288" s="0" t="s">
        <v>2493</v>
      </c>
      <c r="B288" s="0" t="s">
        <v>2494</v>
      </c>
      <c r="C288" s="0" t="n">
        <v>1296000</v>
      </c>
      <c r="D288" s="0" t="s">
        <v>1930</v>
      </c>
      <c r="E288" s="0" t="n">
        <v>1E-009</v>
      </c>
    </row>
    <row r="289" customFormat="false" ht="15" hidden="false" customHeight="false" outlineLevel="0" collapsed="false">
      <c r="A289" s="0" t="s">
        <v>2495</v>
      </c>
      <c r="B289" s="0" t="s">
        <v>2496</v>
      </c>
      <c r="C289" s="0" t="n">
        <v>0.04</v>
      </c>
      <c r="D289" s="0" t="s">
        <v>1930</v>
      </c>
      <c r="E289" s="0" t="n">
        <v>1E-009</v>
      </c>
    </row>
    <row r="290" customFormat="false" ht="15" hidden="false" customHeight="false" outlineLevel="0" collapsed="false">
      <c r="A290" s="0" t="s">
        <v>2497</v>
      </c>
      <c r="B290" s="0" t="s">
        <v>2498</v>
      </c>
      <c r="C290" s="0" t="n">
        <v>864000</v>
      </c>
      <c r="D290" s="0" t="s">
        <v>1930</v>
      </c>
      <c r="E290" s="0" t="n">
        <v>1E-009</v>
      </c>
    </row>
    <row r="291" customFormat="false" ht="15" hidden="false" customHeight="false" outlineLevel="0" collapsed="false">
      <c r="A291" s="0" t="s">
        <v>2499</v>
      </c>
      <c r="B291" s="0" t="s">
        <v>2500</v>
      </c>
      <c r="C291" s="0" t="n">
        <v>0.04</v>
      </c>
      <c r="D291" s="0" t="s">
        <v>1930</v>
      </c>
      <c r="E291" s="0" t="n">
        <v>1E-009</v>
      </c>
    </row>
    <row r="292" customFormat="false" ht="15" hidden="false" customHeight="false" outlineLevel="0" collapsed="false">
      <c r="A292" s="0" t="s">
        <v>2501</v>
      </c>
      <c r="B292" s="0" t="s">
        <v>2502</v>
      </c>
      <c r="C292" s="0" t="n">
        <v>1270000</v>
      </c>
      <c r="D292" s="0" t="s">
        <v>1930</v>
      </c>
      <c r="E292" s="0" t="n">
        <v>1E-009</v>
      </c>
    </row>
    <row r="293" customFormat="false" ht="15" hidden="false" customHeight="false" outlineLevel="0" collapsed="false">
      <c r="A293" s="0" t="s">
        <v>2503</v>
      </c>
      <c r="B293" s="0" t="s">
        <v>2504</v>
      </c>
      <c r="C293" s="0" t="n">
        <v>0.04</v>
      </c>
      <c r="D293" s="0" t="s">
        <v>1930</v>
      </c>
      <c r="E293" s="0" t="n">
        <v>1E-009</v>
      </c>
    </row>
    <row r="294" customFormat="false" ht="15" hidden="false" customHeight="false" outlineLevel="0" collapsed="false">
      <c r="A294" s="0" t="s">
        <v>2505</v>
      </c>
      <c r="B294" s="0" t="s">
        <v>2506</v>
      </c>
      <c r="C294" s="0" t="n">
        <v>1081081.08108108</v>
      </c>
      <c r="D294" s="0" t="s">
        <v>1930</v>
      </c>
      <c r="E294" s="0" t="n">
        <v>1E-009</v>
      </c>
    </row>
    <row r="295" customFormat="false" ht="15" hidden="false" customHeight="false" outlineLevel="0" collapsed="false">
      <c r="A295" s="0" t="s">
        <v>2507</v>
      </c>
      <c r="B295" s="0" t="s">
        <v>2508</v>
      </c>
      <c r="C295" s="0" t="n">
        <v>0.02</v>
      </c>
      <c r="D295" s="0" t="s">
        <v>1930</v>
      </c>
      <c r="E295" s="0" t="n">
        <v>1E-009</v>
      </c>
    </row>
    <row r="296" customFormat="false" ht="15" hidden="false" customHeight="false" outlineLevel="0" collapsed="false">
      <c r="A296" s="0" t="s">
        <v>2509</v>
      </c>
      <c r="B296" s="0" t="s">
        <v>2510</v>
      </c>
      <c r="C296" s="0" t="n">
        <v>555555.555555556</v>
      </c>
      <c r="D296" s="0" t="s">
        <v>1930</v>
      </c>
      <c r="E296" s="0" t="n">
        <v>1E-009</v>
      </c>
    </row>
    <row r="297" customFormat="false" ht="15" hidden="false" customHeight="false" outlineLevel="0" collapsed="false">
      <c r="A297" s="0" t="s">
        <v>2511</v>
      </c>
      <c r="B297" s="0" t="s">
        <v>2512</v>
      </c>
      <c r="C297" s="0" t="n">
        <v>0.04</v>
      </c>
      <c r="D297" s="0" t="s">
        <v>1930</v>
      </c>
      <c r="E297" s="0" t="n">
        <v>1E-009</v>
      </c>
    </row>
    <row r="298" customFormat="false" ht="15" hidden="false" customHeight="false" outlineLevel="0" collapsed="false">
      <c r="A298" s="0" t="s">
        <v>2513</v>
      </c>
      <c r="B298" s="0" t="s">
        <v>2514</v>
      </c>
      <c r="C298" s="0" t="n">
        <v>2000000</v>
      </c>
      <c r="D298" s="0" t="s">
        <v>1930</v>
      </c>
      <c r="E298" s="0" t="n">
        <v>1E-009</v>
      </c>
    </row>
    <row r="299" customFormat="false" ht="15" hidden="false" customHeight="false" outlineLevel="0" collapsed="false">
      <c r="A299" s="0" t="s">
        <v>2515</v>
      </c>
      <c r="B299" s="0" t="s">
        <v>2516</v>
      </c>
      <c r="C299" s="0" t="n">
        <v>0.04</v>
      </c>
      <c r="D299" s="0" t="s">
        <v>1930</v>
      </c>
      <c r="E299" s="0" t="n">
        <v>1E-009</v>
      </c>
    </row>
    <row r="300" customFormat="false" ht="15" hidden="false" customHeight="false" outlineLevel="0" collapsed="false">
      <c r="A300" s="0" t="s">
        <v>2517</v>
      </c>
      <c r="B300" s="0" t="s">
        <v>2518</v>
      </c>
      <c r="C300" s="0" t="n">
        <v>1296000</v>
      </c>
      <c r="D300" s="0" t="s">
        <v>1930</v>
      </c>
      <c r="E300" s="0" t="n">
        <v>1E-009</v>
      </c>
    </row>
    <row r="301" customFormat="false" ht="15" hidden="false" customHeight="false" outlineLevel="0" collapsed="false">
      <c r="A301" s="0" t="s">
        <v>2519</v>
      </c>
      <c r="B301" s="0" t="s">
        <v>2520</v>
      </c>
      <c r="C301" s="0" t="n">
        <v>0.04</v>
      </c>
      <c r="D301" s="0" t="s">
        <v>1930</v>
      </c>
      <c r="E301" s="0" t="n">
        <v>1E-009</v>
      </c>
    </row>
    <row r="302" customFormat="false" ht="15" hidden="false" customHeight="false" outlineLevel="0" collapsed="false">
      <c r="A302" s="0" t="s">
        <v>2521</v>
      </c>
      <c r="B302" s="0" t="s">
        <v>2522</v>
      </c>
      <c r="C302" s="0" t="n">
        <v>1270000</v>
      </c>
      <c r="D302" s="0" t="s">
        <v>1930</v>
      </c>
      <c r="E302" s="0" t="n">
        <v>1E-009</v>
      </c>
    </row>
    <row r="303" customFormat="false" ht="15" hidden="false" customHeight="false" outlineLevel="0" collapsed="false">
      <c r="A303" s="0" t="s">
        <v>2523</v>
      </c>
      <c r="B303" s="0" t="s">
        <v>2524</v>
      </c>
      <c r="C303" s="0" t="n">
        <v>0.06</v>
      </c>
      <c r="D303" s="0" t="s">
        <v>1930</v>
      </c>
      <c r="E303" s="0" t="n">
        <v>1E-009</v>
      </c>
    </row>
    <row r="304" customFormat="false" ht="15" hidden="false" customHeight="false" outlineLevel="0" collapsed="false">
      <c r="A304" s="0" t="s">
        <v>2525</v>
      </c>
      <c r="B304" s="0" t="s">
        <v>2526</v>
      </c>
      <c r="C304" s="0" t="n">
        <v>1620000</v>
      </c>
      <c r="D304" s="0" t="s">
        <v>1930</v>
      </c>
      <c r="E304" s="0" t="n">
        <v>1E-009</v>
      </c>
    </row>
    <row r="305" customFormat="false" ht="15" hidden="false" customHeight="false" outlineLevel="0" collapsed="false">
      <c r="A305" s="0" t="s">
        <v>2527</v>
      </c>
      <c r="B305" s="0" t="s">
        <v>2528</v>
      </c>
      <c r="C305" s="0" t="n">
        <v>0.06</v>
      </c>
      <c r="D305" s="0" t="s">
        <v>1930</v>
      </c>
      <c r="E305" s="0" t="n">
        <v>1E-009</v>
      </c>
    </row>
    <row r="306" customFormat="false" ht="15" hidden="false" customHeight="false" outlineLevel="0" collapsed="false">
      <c r="A306" s="0" t="s">
        <v>2529</v>
      </c>
      <c r="B306" s="0" t="s">
        <v>2530</v>
      </c>
      <c r="C306" s="0" t="n">
        <v>1143000</v>
      </c>
      <c r="D306" s="0" t="s">
        <v>1930</v>
      </c>
      <c r="E306" s="0" t="n">
        <v>1E-009</v>
      </c>
    </row>
    <row r="307" customFormat="false" ht="15" hidden="false" customHeight="false" outlineLevel="0" collapsed="false">
      <c r="A307" s="0" t="s">
        <v>2531</v>
      </c>
      <c r="B307" s="0" t="s">
        <v>2532</v>
      </c>
      <c r="C307" s="0" t="n">
        <v>0.06</v>
      </c>
      <c r="D307" s="0" t="s">
        <v>1930</v>
      </c>
      <c r="E307" s="0" t="n">
        <v>1E-009</v>
      </c>
    </row>
    <row r="308" customFormat="false" ht="15" hidden="false" customHeight="false" outlineLevel="0" collapsed="false">
      <c r="A308" s="0" t="s">
        <v>2533</v>
      </c>
      <c r="B308" s="0" t="s">
        <v>2534</v>
      </c>
      <c r="C308" s="0" t="n">
        <v>1200000</v>
      </c>
      <c r="D308" s="0" t="s">
        <v>1930</v>
      </c>
      <c r="E308" s="0" t="n">
        <v>1E-009</v>
      </c>
    </row>
    <row r="309" customFormat="false" ht="15" hidden="false" customHeight="false" outlineLevel="0" collapsed="false">
      <c r="A309" s="0" t="s">
        <v>2535</v>
      </c>
      <c r="B309" s="0" t="s">
        <v>2536</v>
      </c>
      <c r="C309" s="0" t="n">
        <v>0.06</v>
      </c>
      <c r="D309" s="0" t="s">
        <v>1930</v>
      </c>
      <c r="E309" s="0" t="n">
        <v>1E-009</v>
      </c>
    </row>
    <row r="310" customFormat="false" ht="15" hidden="false" customHeight="false" outlineLevel="0" collapsed="false">
      <c r="A310" s="0" t="s">
        <v>2537</v>
      </c>
      <c r="B310" s="0" t="s">
        <v>2538</v>
      </c>
      <c r="C310" s="0" t="n">
        <v>600000</v>
      </c>
      <c r="D310" s="0" t="s">
        <v>1930</v>
      </c>
      <c r="E310" s="0" t="n">
        <v>1E-009</v>
      </c>
    </row>
    <row r="311" customFormat="false" ht="15" hidden="false" customHeight="false" outlineLevel="0" collapsed="false">
      <c r="A311" s="0" t="s">
        <v>2539</v>
      </c>
      <c r="B311" s="0" t="s">
        <v>2540</v>
      </c>
      <c r="C311" s="0" t="n">
        <v>0.06</v>
      </c>
      <c r="D311" s="0" t="s">
        <v>1930</v>
      </c>
      <c r="E311" s="0" t="n">
        <v>1E-009</v>
      </c>
    </row>
    <row r="312" customFormat="false" ht="15" hidden="false" customHeight="false" outlineLevel="0" collapsed="false">
      <c r="A312" s="0" t="s">
        <v>2541</v>
      </c>
      <c r="B312" s="0" t="s">
        <v>2542</v>
      </c>
      <c r="C312" s="0" t="n">
        <v>1296000</v>
      </c>
      <c r="D312" s="0" t="s">
        <v>1930</v>
      </c>
      <c r="E312" s="0" t="n">
        <v>1E-009</v>
      </c>
    </row>
    <row r="313" customFormat="false" ht="15" hidden="false" customHeight="false" outlineLevel="0" collapsed="false">
      <c r="A313" s="0" t="s">
        <v>2543</v>
      </c>
      <c r="B313" s="0" t="s">
        <v>2544</v>
      </c>
      <c r="C313" s="0" t="n">
        <v>0.06</v>
      </c>
      <c r="D313" s="0" t="s">
        <v>1930</v>
      </c>
      <c r="E313" s="0" t="n">
        <v>1E-009</v>
      </c>
    </row>
    <row r="314" customFormat="false" ht="15" hidden="false" customHeight="false" outlineLevel="0" collapsed="false">
      <c r="A314" s="0" t="s">
        <v>2545</v>
      </c>
      <c r="B314" s="0" t="s">
        <v>2546</v>
      </c>
      <c r="C314" s="0" t="n">
        <v>600000</v>
      </c>
      <c r="D314" s="0" t="s">
        <v>1930</v>
      </c>
      <c r="E314" s="0" t="n">
        <v>1E-009</v>
      </c>
    </row>
    <row r="315" customFormat="false" ht="15" hidden="false" customHeight="false" outlineLevel="0" collapsed="false">
      <c r="A315" s="0" t="s">
        <v>2547</v>
      </c>
      <c r="B315" s="0" t="s">
        <v>2548</v>
      </c>
      <c r="C315" s="0" t="n">
        <v>0.06</v>
      </c>
      <c r="D315" s="0" t="s">
        <v>1930</v>
      </c>
      <c r="E315" s="0" t="n">
        <v>1E-009</v>
      </c>
    </row>
    <row r="316" customFormat="false" ht="15" hidden="false" customHeight="false" outlineLevel="0" collapsed="false">
      <c r="A316" s="0" t="s">
        <v>2549</v>
      </c>
      <c r="B316" s="0" t="s">
        <v>2550</v>
      </c>
      <c r="C316" s="0" t="n">
        <v>1143000</v>
      </c>
      <c r="D316" s="0" t="s">
        <v>1930</v>
      </c>
      <c r="E316" s="0" t="n">
        <v>1E-009</v>
      </c>
    </row>
    <row r="317" customFormat="false" ht="15" hidden="false" customHeight="false" outlineLevel="0" collapsed="false">
      <c r="A317" s="0" t="s">
        <v>2551</v>
      </c>
      <c r="B317" s="0" t="s">
        <v>2552</v>
      </c>
      <c r="C317" s="0" t="n">
        <v>0.06</v>
      </c>
      <c r="D317" s="0" t="s">
        <v>1930</v>
      </c>
      <c r="E317" s="0" t="n">
        <v>1E-009</v>
      </c>
    </row>
    <row r="318" customFormat="false" ht="15" hidden="false" customHeight="false" outlineLevel="0" collapsed="false">
      <c r="A318" s="0" t="s">
        <v>2553</v>
      </c>
      <c r="B318" s="0" t="s">
        <v>2554</v>
      </c>
      <c r="C318" s="0" t="n">
        <v>1143000</v>
      </c>
      <c r="D318" s="0" t="s">
        <v>1930</v>
      </c>
      <c r="E318" s="0" t="n">
        <v>1E-009</v>
      </c>
    </row>
    <row r="319" customFormat="false" ht="15" hidden="false" customHeight="false" outlineLevel="0" collapsed="false">
      <c r="A319" s="0" t="s">
        <v>2555</v>
      </c>
      <c r="B319" s="0" t="s">
        <v>2556</v>
      </c>
      <c r="C319" s="0" t="n">
        <v>22577636.6366366</v>
      </c>
      <c r="D319" s="0" t="s">
        <v>2471</v>
      </c>
      <c r="E319" s="0" t="n">
        <v>0.01</v>
      </c>
    </row>
    <row r="320" customFormat="false" ht="15" hidden="false" customHeight="false" outlineLevel="0" collapsed="false">
      <c r="A320" s="0" t="s">
        <v>2557</v>
      </c>
      <c r="B320" s="0" t="s">
        <v>2558</v>
      </c>
      <c r="C320" s="0" t="n">
        <v>0.743246290170524</v>
      </c>
      <c r="D320" s="0" t="s">
        <v>1930</v>
      </c>
      <c r="E320" s="0" t="n">
        <v>1E-009</v>
      </c>
    </row>
    <row r="321" customFormat="false" ht="15" hidden="false" customHeight="false" outlineLevel="0" collapsed="false">
      <c r="A321" s="0" t="s">
        <v>2559</v>
      </c>
      <c r="B321" s="0" t="s">
        <v>2560</v>
      </c>
      <c r="C321" s="0" t="n">
        <v>19099501.4572536</v>
      </c>
      <c r="D321" s="0" t="s">
        <v>2471</v>
      </c>
      <c r="E321" s="0" t="n">
        <v>0.01</v>
      </c>
    </row>
    <row r="322" customFormat="false" ht="15" hidden="false" customHeight="false" outlineLevel="0" collapsed="false">
      <c r="A322" s="0" t="s">
        <v>2561</v>
      </c>
      <c r="B322" s="0" t="s">
        <v>2562</v>
      </c>
      <c r="C322" s="0" t="n">
        <v>1327</v>
      </c>
      <c r="D322" s="0" t="s">
        <v>2471</v>
      </c>
      <c r="E322" s="0" t="n">
        <v>0</v>
      </c>
    </row>
    <row r="323" customFormat="false" ht="15" hidden="false" customHeight="false" outlineLevel="0" collapsed="false">
      <c r="A323" s="0" t="s">
        <v>2563</v>
      </c>
      <c r="B323" s="0" t="s">
        <v>2564</v>
      </c>
      <c r="C323" s="0" t="n">
        <v>18</v>
      </c>
      <c r="D323" s="0" t="s">
        <v>2471</v>
      </c>
      <c r="E323" s="0" t="n">
        <v>0</v>
      </c>
    </row>
    <row r="324" customFormat="false" ht="15" hidden="false" customHeight="false" outlineLevel="0" collapsed="false">
      <c r="A324" s="0" t="s">
        <v>2565</v>
      </c>
      <c r="B324" s="0" t="s">
        <v>2566</v>
      </c>
      <c r="C324" s="0" t="n">
        <v>1.53222327873928</v>
      </c>
      <c r="D324" s="0" t="s">
        <v>2471</v>
      </c>
      <c r="E324" s="0" t="n">
        <v>1E-009</v>
      </c>
    </row>
    <row r="325" customFormat="false" ht="15" hidden="false" customHeight="false" outlineLevel="0" collapsed="false">
      <c r="A325" s="0" t="s">
        <v>2567</v>
      </c>
      <c r="B325" s="0" t="s">
        <v>2568</v>
      </c>
      <c r="C325" s="0" t="n">
        <v>0.215779076698966</v>
      </c>
      <c r="D325" s="0" t="s">
        <v>2471</v>
      </c>
      <c r="E325" s="0" t="n">
        <v>1E-010</v>
      </c>
    </row>
    <row r="326" customFormat="false" ht="15" hidden="false" customHeight="false" outlineLevel="0" collapsed="false">
      <c r="A326" s="0" t="s">
        <v>2569</v>
      </c>
      <c r="B326" s="0" t="s">
        <v>2570</v>
      </c>
      <c r="C326" s="0" t="n">
        <v>1292</v>
      </c>
      <c r="D326" s="0" t="s">
        <v>2471</v>
      </c>
      <c r="E326" s="0" t="n">
        <v>0</v>
      </c>
    </row>
    <row r="327" customFormat="false" ht="15" hidden="false" customHeight="false" outlineLevel="0" collapsed="false">
      <c r="A327" s="0" t="s">
        <v>2571</v>
      </c>
      <c r="B327" s="0" t="s">
        <v>2572</v>
      </c>
      <c r="C327" s="0" t="n">
        <v>16</v>
      </c>
      <c r="D327" s="0" t="s">
        <v>2471</v>
      </c>
      <c r="E327" s="0" t="n">
        <v>0</v>
      </c>
    </row>
    <row r="328" customFormat="false" ht="15" hidden="false" customHeight="false" outlineLevel="0" collapsed="false">
      <c r="A328" s="0" t="s">
        <v>2573</v>
      </c>
      <c r="B328" s="0" t="s">
        <v>2574</v>
      </c>
      <c r="C328" s="0" t="n">
        <v>16</v>
      </c>
      <c r="D328" s="0" t="s">
        <v>2471</v>
      </c>
      <c r="E328" s="0" t="n">
        <v>0</v>
      </c>
    </row>
    <row r="329" customFormat="false" ht="15" hidden="false" customHeight="false" outlineLevel="0" collapsed="false">
      <c r="A329" s="0" t="s">
        <v>2575</v>
      </c>
      <c r="B329" s="0" t="s">
        <v>2576</v>
      </c>
      <c r="C329" s="0" t="n">
        <v>2</v>
      </c>
      <c r="D329" s="0" t="s">
        <v>2471</v>
      </c>
      <c r="E329" s="0" t="n">
        <v>0</v>
      </c>
    </row>
    <row r="330" customFormat="false" ht="15" hidden="false" customHeight="false" outlineLevel="0" collapsed="false">
      <c r="A330" s="0" t="s">
        <v>2577</v>
      </c>
      <c r="B330" s="0" t="s">
        <v>2578</v>
      </c>
      <c r="C330" s="0" t="n">
        <v>5.25961802238859</v>
      </c>
      <c r="D330" s="0" t="s">
        <v>2471</v>
      </c>
      <c r="E330" s="0" t="n">
        <v>1E-009</v>
      </c>
    </row>
    <row r="331" customFormat="false" ht="15" hidden="false" customHeight="false" outlineLevel="0" collapsed="false">
      <c r="A331" s="0" t="s">
        <v>2579</v>
      </c>
      <c r="B331" s="0" t="s">
        <v>2580</v>
      </c>
      <c r="C331" s="0" t="n">
        <v>0.0218258085109973</v>
      </c>
      <c r="D331" s="0" t="s">
        <v>2471</v>
      </c>
      <c r="E331" s="0" t="n">
        <v>1E-010</v>
      </c>
    </row>
    <row r="332" customFormat="false" ht="15" hidden="false" customHeight="false" outlineLevel="0" collapsed="false">
      <c r="A332" s="0" t="s">
        <v>2581</v>
      </c>
      <c r="B332" s="0" t="s">
        <v>2582</v>
      </c>
      <c r="C332" s="0" t="n">
        <v>6.79184130112787</v>
      </c>
      <c r="D332" s="0" t="s">
        <v>2471</v>
      </c>
      <c r="E332" s="0" t="n">
        <v>1E-009</v>
      </c>
    </row>
    <row r="333" customFormat="false" ht="15" hidden="false" customHeight="false" outlineLevel="0" collapsed="false">
      <c r="A333" s="0" t="s">
        <v>2583</v>
      </c>
      <c r="B333" s="0" t="s">
        <v>2584</v>
      </c>
      <c r="C333" s="0" t="n">
        <v>0.0335096892521184</v>
      </c>
      <c r="D333" s="0" t="s">
        <v>2471</v>
      </c>
      <c r="E333" s="0" t="n">
        <v>1E-010</v>
      </c>
    </row>
    <row r="334" customFormat="false" ht="15" hidden="false" customHeight="false" outlineLevel="0" collapsed="false">
      <c r="A334" s="0" t="s">
        <v>2585</v>
      </c>
      <c r="B334" s="0" t="s">
        <v>2586</v>
      </c>
      <c r="C334" s="0" t="s">
        <v>308</v>
      </c>
      <c r="D334" s="0" t="s">
        <v>2587</v>
      </c>
      <c r="E334" s="0" t="n">
        <v>0</v>
      </c>
    </row>
    <row r="335" customFormat="false" ht="15" hidden="false" customHeight="false" outlineLevel="0" collapsed="false">
      <c r="A335" s="0" t="s">
        <v>2588</v>
      </c>
      <c r="B335" s="0" t="s">
        <v>2589</v>
      </c>
      <c r="C335" s="0" t="n">
        <v>132</v>
      </c>
      <c r="D335" s="0" t="s">
        <v>2471</v>
      </c>
      <c r="E335" s="0" t="n">
        <v>0</v>
      </c>
    </row>
    <row r="336" customFormat="false" ht="15" hidden="false" customHeight="false" outlineLevel="0" collapsed="false">
      <c r="A336" s="0" t="s">
        <v>2590</v>
      </c>
      <c r="B336" s="0" t="s">
        <v>2591</v>
      </c>
      <c r="C336" s="0" t="n">
        <v>1</v>
      </c>
      <c r="D336" s="0" t="s">
        <v>2471</v>
      </c>
      <c r="E336" s="0" t="n">
        <v>0</v>
      </c>
    </row>
    <row r="337" customFormat="false" ht="15" hidden="false" customHeight="false" outlineLevel="0" collapsed="false">
      <c r="A337" s="0" t="s">
        <v>2592</v>
      </c>
      <c r="B337" s="0" t="s">
        <v>2593</v>
      </c>
      <c r="C337" s="0" t="n">
        <v>0.0855194814933622</v>
      </c>
      <c r="D337" s="0" t="s">
        <v>2471</v>
      </c>
      <c r="E337" s="0" t="n">
        <v>1E-009</v>
      </c>
    </row>
    <row r="338" customFormat="false" ht="15" hidden="false" customHeight="false" outlineLevel="0" collapsed="false">
      <c r="A338" s="0" t="s">
        <v>2594</v>
      </c>
      <c r="B338" s="0" t="s">
        <v>2595</v>
      </c>
      <c r="C338" s="0" t="n">
        <v>0.769952414212101</v>
      </c>
      <c r="D338" s="0" t="s">
        <v>2471</v>
      </c>
      <c r="E338" s="0" t="n">
        <v>1E-010</v>
      </c>
    </row>
    <row r="339" customFormat="false" ht="15" hidden="false" customHeight="false" outlineLevel="0" collapsed="false">
      <c r="A339" s="0" t="s">
        <v>2596</v>
      </c>
      <c r="B339" s="0" t="s">
        <v>2597</v>
      </c>
      <c r="C339" s="0" t="n">
        <v>129</v>
      </c>
      <c r="D339" s="0" t="s">
        <v>2471</v>
      </c>
      <c r="E339" s="0" t="n">
        <v>0</v>
      </c>
    </row>
    <row r="340" customFormat="false" ht="15" hidden="false" customHeight="false" outlineLevel="0" collapsed="false">
      <c r="A340" s="0" t="s">
        <v>2598</v>
      </c>
      <c r="B340" s="0" t="s">
        <v>2599</v>
      </c>
      <c r="C340" s="0" t="n">
        <v>1</v>
      </c>
      <c r="D340" s="0" t="s">
        <v>2471</v>
      </c>
      <c r="E340" s="0" t="n">
        <v>0</v>
      </c>
    </row>
    <row r="341" customFormat="false" ht="15" hidden="false" customHeight="false" outlineLevel="0" collapsed="false">
      <c r="A341" s="0" t="s">
        <v>2600</v>
      </c>
      <c r="B341" s="0" t="s">
        <v>2601</v>
      </c>
      <c r="C341" s="0" t="n">
        <v>1</v>
      </c>
      <c r="D341" s="0" t="s">
        <v>2471</v>
      </c>
      <c r="E341" s="0" t="n">
        <v>0</v>
      </c>
    </row>
    <row r="342" customFormat="false" ht="15" hidden="false" customHeight="false" outlineLevel="0" collapsed="false">
      <c r="A342" s="0" t="s">
        <v>2602</v>
      </c>
      <c r="B342" s="0" t="s">
        <v>2603</v>
      </c>
      <c r="C342" s="0" t="n">
        <v>0</v>
      </c>
      <c r="D342" s="0" t="s">
        <v>2471</v>
      </c>
      <c r="E342" s="0" t="n">
        <v>0</v>
      </c>
    </row>
    <row r="343" customFormat="false" ht="15" hidden="false" customHeight="false" outlineLevel="0" collapsed="false">
      <c r="A343" s="0" t="s">
        <v>2604</v>
      </c>
      <c r="B343" s="0" t="s">
        <v>2605</v>
      </c>
      <c r="C343" s="0" t="n">
        <v>0.0153847671102625</v>
      </c>
      <c r="D343" s="0" t="s">
        <v>2471</v>
      </c>
      <c r="E343" s="0" t="n">
        <v>1E-009</v>
      </c>
    </row>
    <row r="344" customFormat="false" ht="15" hidden="false" customHeight="false" outlineLevel="0" collapsed="false">
      <c r="A344" s="0" t="s">
        <v>2606</v>
      </c>
      <c r="B344" s="0" t="s">
        <v>2607</v>
      </c>
      <c r="C344" s="0" t="n">
        <v>0.901287288914089</v>
      </c>
      <c r="D344" s="0" t="s">
        <v>2471</v>
      </c>
      <c r="E344" s="0" t="n">
        <v>1E-010</v>
      </c>
    </row>
    <row r="345" customFormat="false" ht="15" hidden="false" customHeight="false" outlineLevel="0" collapsed="false">
      <c r="A345" s="0" t="s">
        <v>2608</v>
      </c>
      <c r="B345" s="0" t="s">
        <v>2609</v>
      </c>
      <c r="C345" s="0" t="n">
        <v>0.100904248603625</v>
      </c>
      <c r="D345" s="0" t="s">
        <v>2471</v>
      </c>
      <c r="E345" s="0" t="n">
        <v>1E-009</v>
      </c>
    </row>
    <row r="346" customFormat="false" ht="15" hidden="false" customHeight="false" outlineLevel="0" collapsed="false">
      <c r="A346" s="0" t="s">
        <v>2610</v>
      </c>
      <c r="B346" s="0" t="s">
        <v>2611</v>
      </c>
      <c r="C346" s="0" t="n">
        <v>0.950799447770087</v>
      </c>
      <c r="D346" s="0" t="s">
        <v>2471</v>
      </c>
      <c r="E346" s="0" t="n">
        <v>1E-010</v>
      </c>
    </row>
    <row r="347" customFormat="false" ht="15" hidden="false" customHeight="false" outlineLevel="0" collapsed="false">
      <c r="A347" s="0" t="s">
        <v>2612</v>
      </c>
      <c r="B347" s="0" t="s">
        <v>2613</v>
      </c>
      <c r="C347" s="0" t="s">
        <v>308</v>
      </c>
      <c r="D347" s="0" t="s">
        <v>2587</v>
      </c>
      <c r="E347" s="0" t="n">
        <v>0</v>
      </c>
    </row>
    <row r="348" customFormat="false" ht="15" hidden="false" customHeight="false" outlineLevel="0" collapsed="false">
      <c r="A348" s="0" t="s">
        <v>2614</v>
      </c>
      <c r="B348" s="0" t="s">
        <v>2615</v>
      </c>
      <c r="C348" s="0" t="n">
        <v>0</v>
      </c>
      <c r="D348" s="0" t="s">
        <v>2471</v>
      </c>
      <c r="E348" s="0" t="n">
        <v>0</v>
      </c>
    </row>
    <row r="349" customFormat="false" ht="15" hidden="false" customHeight="false" outlineLevel="0" collapsed="false">
      <c r="A349" s="0" t="s">
        <v>2616</v>
      </c>
      <c r="B349" s="0" t="s">
        <v>2617</v>
      </c>
      <c r="C349" s="0" t="s">
        <v>308</v>
      </c>
      <c r="D349" s="0" t="s">
        <v>2587</v>
      </c>
      <c r="E349" s="0" t="n">
        <v>0</v>
      </c>
    </row>
    <row r="350" customFormat="false" ht="15" hidden="false" customHeight="false" outlineLevel="0" collapsed="false">
      <c r="A350" s="0" t="s">
        <v>2618</v>
      </c>
      <c r="B350" s="0" t="s">
        <v>2619</v>
      </c>
      <c r="C350" s="0" t="n">
        <v>-691528.257431957</v>
      </c>
      <c r="D350" s="0" t="s">
        <v>2471</v>
      </c>
      <c r="E350" s="0" t="n">
        <v>0.01</v>
      </c>
    </row>
    <row r="351" customFormat="false" ht="15" hidden="false" customHeight="false" outlineLevel="0" collapsed="false">
      <c r="A351" s="0" t="s">
        <v>2620</v>
      </c>
      <c r="B351" s="0" t="s">
        <v>2621</v>
      </c>
      <c r="C351" s="0" t="n">
        <v>-914220.831390393</v>
      </c>
      <c r="D351" s="0" t="s">
        <v>2471</v>
      </c>
      <c r="E351" s="0" t="n">
        <v>0.01</v>
      </c>
    </row>
    <row r="352" customFormat="false" ht="15" hidden="false" customHeight="false" outlineLevel="0" collapsed="false">
      <c r="A352" s="0" t="s">
        <v>2622</v>
      </c>
      <c r="B352" s="0" t="s">
        <v>2623</v>
      </c>
      <c r="C352" s="0" t="n">
        <v>-914220.831390393</v>
      </c>
      <c r="D352" s="0" t="s">
        <v>2471</v>
      </c>
      <c r="E352" s="0" t="n">
        <v>0.01</v>
      </c>
    </row>
    <row r="353" customFormat="false" ht="15" hidden="false" customHeight="false" outlineLevel="0" collapsed="false">
      <c r="A353" s="0" t="s">
        <v>2624</v>
      </c>
      <c r="B353" s="0" t="s">
        <v>2625</v>
      </c>
      <c r="C353" s="0" t="n">
        <v>4674897.99620127</v>
      </c>
      <c r="D353" s="0" t="s">
        <v>2471</v>
      </c>
      <c r="E353" s="0" t="n">
        <v>0.01</v>
      </c>
    </row>
    <row r="354" customFormat="false" ht="15" hidden="false" customHeight="false" outlineLevel="0" collapsed="false">
      <c r="A354" s="0" t="s">
        <v>2626</v>
      </c>
      <c r="B354" s="0" t="s">
        <v>2627</v>
      </c>
      <c r="C354" s="0" t="n">
        <v>4576775.40226244</v>
      </c>
      <c r="D354" s="0" t="s">
        <v>2471</v>
      </c>
      <c r="E354" s="0" t="n">
        <v>0.01</v>
      </c>
    </row>
    <row r="355" customFormat="false" ht="15" hidden="false" customHeight="false" outlineLevel="0" collapsed="false">
      <c r="A355" s="0" t="s">
        <v>2628</v>
      </c>
      <c r="B355" s="0" t="s">
        <v>2629</v>
      </c>
      <c r="C355" s="0" t="n">
        <v>4964959.19903923</v>
      </c>
      <c r="D355" s="0" t="s">
        <v>2471</v>
      </c>
      <c r="E355" s="0" t="n">
        <v>0.01</v>
      </c>
    </row>
    <row r="356" customFormat="false" ht="15" hidden="false" customHeight="false" outlineLevel="0" collapsed="false">
      <c r="A356" s="0" t="s">
        <v>2630</v>
      </c>
      <c r="B356" s="0" t="s">
        <v>2631</v>
      </c>
      <c r="C356" s="0" t="n">
        <v>-146710.71559169</v>
      </c>
      <c r="D356" s="0" t="s">
        <v>2471</v>
      </c>
      <c r="E356" s="0" t="n">
        <v>0.01</v>
      </c>
    </row>
    <row r="357" customFormat="false" ht="15" hidden="false" customHeight="false" outlineLevel="0" collapsed="false">
      <c r="A357" s="0" t="s">
        <v>2632</v>
      </c>
      <c r="B357" s="0" t="s">
        <v>2633</v>
      </c>
      <c r="C357" s="0" t="n">
        <v>-127876.806503549</v>
      </c>
      <c r="D357" s="0" t="s">
        <v>2471</v>
      </c>
      <c r="E357" s="0" t="n">
        <v>0.01</v>
      </c>
    </row>
    <row r="358" customFormat="false" ht="15" hidden="false" customHeight="false" outlineLevel="0" collapsed="false">
      <c r="A358" s="0" t="s">
        <v>2634</v>
      </c>
      <c r="B358" s="0" t="s">
        <v>2635</v>
      </c>
      <c r="C358" s="0" t="n">
        <v>-183275.792091064</v>
      </c>
      <c r="D358" s="0" t="s">
        <v>2471</v>
      </c>
      <c r="E358" s="0" t="n">
        <v>0.01</v>
      </c>
    </row>
    <row r="359" customFormat="false" ht="15" hidden="false" customHeight="false" outlineLevel="0" collapsed="false">
      <c r="A359" s="0" t="s">
        <v>2636</v>
      </c>
      <c r="B359" s="0" t="s">
        <v>2637</v>
      </c>
      <c r="C359" s="0" t="n">
        <v>203810.804582094</v>
      </c>
      <c r="D359" s="0" t="s">
        <v>2471</v>
      </c>
      <c r="E359" s="0" t="n">
        <v>0.01</v>
      </c>
    </row>
    <row r="360" customFormat="false" ht="15" hidden="false" customHeight="false" outlineLevel="0" collapsed="false">
      <c r="A360" s="0" t="s">
        <v>2638</v>
      </c>
      <c r="B360" s="0" t="s">
        <v>2639</v>
      </c>
      <c r="C360" s="0" t="n">
        <v>231657.577515144</v>
      </c>
      <c r="D360" s="0" t="s">
        <v>2471</v>
      </c>
      <c r="E360" s="0" t="n">
        <v>0.01</v>
      </c>
    </row>
    <row r="361" customFormat="false" ht="15" hidden="false" customHeight="false" outlineLevel="0" collapsed="false">
      <c r="A361" s="0" t="s">
        <v>2640</v>
      </c>
      <c r="B361" s="0" t="s">
        <v>2641</v>
      </c>
      <c r="C361" s="0" t="n">
        <v>173007.252201943</v>
      </c>
      <c r="D361" s="0" t="s">
        <v>2471</v>
      </c>
      <c r="E361" s="0" t="n">
        <v>0.01</v>
      </c>
    </row>
    <row r="362" customFormat="false" ht="15" hidden="false" customHeight="false" outlineLevel="0" collapsed="false">
      <c r="A362" s="0" t="s">
        <v>2642</v>
      </c>
      <c r="B362" s="0" t="s">
        <v>2643</v>
      </c>
      <c r="C362" s="0" t="n">
        <v>4040469.82775972</v>
      </c>
      <c r="D362" s="0" t="s">
        <v>2471</v>
      </c>
      <c r="E362" s="0" t="n">
        <v>0.01</v>
      </c>
    </row>
    <row r="363" customFormat="false" ht="15" hidden="false" customHeight="false" outlineLevel="0" collapsed="false">
      <c r="A363" s="0" t="s">
        <v>2644</v>
      </c>
      <c r="B363" s="0" t="s">
        <v>2645</v>
      </c>
      <c r="C363" s="0" t="n">
        <v>4040469.82775971</v>
      </c>
      <c r="D363" s="0" t="s">
        <v>2471</v>
      </c>
      <c r="E363" s="0" t="n">
        <v>0.01</v>
      </c>
    </row>
    <row r="364" customFormat="false" ht="15" hidden="false" customHeight="false" outlineLevel="0" collapsed="false">
      <c r="A364" s="0" t="s">
        <v>2646</v>
      </c>
      <c r="B364" s="0" t="s">
        <v>2647</v>
      </c>
      <c r="C364" s="0" t="n">
        <v>274134.485876075</v>
      </c>
      <c r="D364" s="0" t="s">
        <v>2471</v>
      </c>
      <c r="E364" s="0" t="n">
        <v>0.01</v>
      </c>
    </row>
    <row r="365" customFormat="false" ht="15" hidden="false" customHeight="false" outlineLevel="0" collapsed="false">
      <c r="A365" s="0" t="s">
        <v>2648</v>
      </c>
      <c r="B365" s="0" t="s">
        <v>2649</v>
      </c>
      <c r="C365" s="0" t="n">
        <v>-183275.792091064</v>
      </c>
      <c r="D365" s="0" t="s">
        <v>2471</v>
      </c>
      <c r="E365" s="0" t="n">
        <v>0.01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LibreOffice/26.8.0.3$Windows_X86_64 LibreOffice_project/bce0998afefdbc355585ca324285661a2170ba77</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2026-10-02T20:10:40Z</dcterms:created>
  <dc:creator>Deepak Chaudhary</dc:creator>
  <dc:description/>
  <dc:language>en-IN</dc:language>
  <cp:lastModifiedBy>Deepak Chaudhary</cp:lastModifiedBy>
  <dcterms:modified xsi:type="dcterms:W3CDTF">2026-10-02T20:10:40Z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